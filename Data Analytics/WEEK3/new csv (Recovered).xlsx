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WEEK3\"/>
    </mc:Choice>
  </mc:AlternateContent>
  <xr:revisionPtr revIDLastSave="0" documentId="13_ncr:1_{3D9A7CC5-FF32-45AA-A840-10D4218E2D60}" xr6:coauthVersionLast="47" xr6:coauthVersionMax="47" xr10:uidLastSave="{00000000-0000-0000-0000-000000000000}"/>
  <bookViews>
    <workbookView xWindow="-120" yWindow="-120" windowWidth="20730" windowHeight="11040" xr2:uid="{D7E3E210-8654-495E-BF22-10C90695BA88}"/>
  </bookViews>
  <sheets>
    <sheet name="pivot-table" sheetId="5" r:id="rId1"/>
    <sheet name="Estimates-on-the-use-of-water-(" sheetId="2" r:id="rId2"/>
    <sheet name="Global 2020 Report" sheetId="1" r:id="rId3"/>
    <sheet name="pivot table" sheetId="4" r:id="rId4"/>
  </sheets>
  <definedNames>
    <definedName name="ExternalData_1" localSheetId="1" hidden="1">'Estimates-on-the-use-of-water-('!$A$1:$AA$214</definedName>
  </definedNames>
  <calcPr calcId="191029"/>
  <pivotCaches>
    <pivotCache cacheId="0" r:id="rId5"/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0" i="1" l="1"/>
  <c r="I60" i="1"/>
  <c r="H60" i="1"/>
  <c r="F60" i="1"/>
  <c r="J59" i="1"/>
  <c r="I59" i="1"/>
  <c r="H59" i="1"/>
  <c r="F59" i="1"/>
  <c r="J58" i="1"/>
  <c r="I58" i="1"/>
  <c r="H58" i="1"/>
  <c r="F58" i="1"/>
  <c r="J57" i="1"/>
  <c r="I57" i="1"/>
  <c r="H57" i="1"/>
  <c r="F57" i="1"/>
  <c r="M60" i="1"/>
  <c r="L60" i="1"/>
  <c r="M59" i="1"/>
  <c r="L59" i="1"/>
  <c r="M58" i="1"/>
  <c r="L58" i="1"/>
  <c r="M57" i="1"/>
  <c r="L57" i="1"/>
  <c r="E60" i="1"/>
  <c r="D60" i="1"/>
  <c r="E59" i="1"/>
  <c r="D59" i="1"/>
  <c r="E58" i="1"/>
  <c r="D58" i="1"/>
  <c r="E57" i="1"/>
  <c r="D57" i="1"/>
  <c r="D53" i="1"/>
  <c r="D52" i="1"/>
  <c r="D51" i="1"/>
  <c r="D50" i="1"/>
  <c r="D48" i="1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Q2" i="2"/>
  <c r="D47" i="1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D46" i="1"/>
  <c r="D45" i="1"/>
  <c r="K57" i="1" l="1"/>
  <c r="K59" i="1"/>
  <c r="K58" i="1"/>
  <c r="K60" i="1"/>
  <c r="E7" i="2" l="1"/>
  <c r="F7" i="2" s="1"/>
  <c r="E4" i="2"/>
  <c r="F4" i="2" s="1"/>
  <c r="E3" i="2"/>
  <c r="H3" i="2" s="1"/>
  <c r="E5" i="2"/>
  <c r="G5" i="2" s="1"/>
  <c r="E6" i="2"/>
  <c r="G6" i="2" s="1"/>
  <c r="E8" i="2"/>
  <c r="G8" i="2" s="1"/>
  <c r="E9" i="2"/>
  <c r="H9" i="2" s="1"/>
  <c r="E10" i="2"/>
  <c r="G10" i="2" s="1"/>
  <c r="E11" i="2"/>
  <c r="E12" i="2"/>
  <c r="F12" i="2" s="1"/>
  <c r="E13" i="2"/>
  <c r="G13" i="2" s="1"/>
  <c r="E14" i="2"/>
  <c r="G14" i="2" s="1"/>
  <c r="E15" i="2"/>
  <c r="G15" i="2" s="1"/>
  <c r="E16" i="2"/>
  <c r="G16" i="2" s="1"/>
  <c r="E17" i="2"/>
  <c r="H17" i="2" s="1"/>
  <c r="E18" i="2"/>
  <c r="G18" i="2" s="1"/>
  <c r="E19" i="2"/>
  <c r="E20" i="2"/>
  <c r="F20" i="2" s="1"/>
  <c r="E21" i="2"/>
  <c r="F21" i="2" s="1"/>
  <c r="E22" i="2"/>
  <c r="G22" i="2" s="1"/>
  <c r="E23" i="2"/>
  <c r="G23" i="2" s="1"/>
  <c r="E24" i="2"/>
  <c r="G24" i="2" s="1"/>
  <c r="E25" i="2"/>
  <c r="H25" i="2" s="1"/>
  <c r="E26" i="2"/>
  <c r="G26" i="2" s="1"/>
  <c r="E27" i="2"/>
  <c r="E28" i="2"/>
  <c r="F28" i="2" s="1"/>
  <c r="E29" i="2"/>
  <c r="F29" i="2" s="1"/>
  <c r="E30" i="2"/>
  <c r="G30" i="2" s="1"/>
  <c r="E31" i="2"/>
  <c r="G31" i="2" s="1"/>
  <c r="E32" i="2"/>
  <c r="G32" i="2" s="1"/>
  <c r="E33" i="2"/>
  <c r="H33" i="2" s="1"/>
  <c r="E34" i="2"/>
  <c r="G34" i="2" s="1"/>
  <c r="E35" i="2"/>
  <c r="E36" i="2"/>
  <c r="F36" i="2" s="1"/>
  <c r="E37" i="2"/>
  <c r="F37" i="2" s="1"/>
  <c r="E38" i="2"/>
  <c r="F38" i="2" s="1"/>
  <c r="E39" i="2"/>
  <c r="H39" i="2" s="1"/>
  <c r="E40" i="2"/>
  <c r="G40" i="2" s="1"/>
  <c r="E41" i="2"/>
  <c r="H41" i="2" s="1"/>
  <c r="E42" i="2"/>
  <c r="G42" i="2" s="1"/>
  <c r="E43" i="2"/>
  <c r="E44" i="2"/>
  <c r="F44" i="2" s="1"/>
  <c r="E45" i="2"/>
  <c r="F45" i="2" s="1"/>
  <c r="E46" i="2"/>
  <c r="G46" i="2" s="1"/>
  <c r="E47" i="2"/>
  <c r="H47" i="2" s="1"/>
  <c r="E48" i="2"/>
  <c r="H48" i="2" s="1"/>
  <c r="E49" i="2"/>
  <c r="H49" i="2" s="1"/>
  <c r="E50" i="2"/>
  <c r="G50" i="2" s="1"/>
  <c r="E51" i="2"/>
  <c r="E52" i="2"/>
  <c r="G52" i="2" s="1"/>
  <c r="E53" i="2"/>
  <c r="G53" i="2" s="1"/>
  <c r="E54" i="2"/>
  <c r="G54" i="2" s="1"/>
  <c r="E55" i="2"/>
  <c r="G55" i="2" s="1"/>
  <c r="E56" i="2"/>
  <c r="G56" i="2" s="1"/>
  <c r="E57" i="2"/>
  <c r="H57" i="2" s="1"/>
  <c r="E58" i="2"/>
  <c r="G58" i="2" s="1"/>
  <c r="E59" i="2"/>
  <c r="E60" i="2"/>
  <c r="G60" i="2" s="1"/>
  <c r="E61" i="2"/>
  <c r="G61" i="2" s="1"/>
  <c r="E62" i="2"/>
  <c r="G62" i="2" s="1"/>
  <c r="E63" i="2"/>
  <c r="G63" i="2" s="1"/>
  <c r="E64" i="2"/>
  <c r="G64" i="2" s="1"/>
  <c r="E65" i="2"/>
  <c r="H65" i="2" s="1"/>
  <c r="E66" i="2"/>
  <c r="G66" i="2" s="1"/>
  <c r="E67" i="2"/>
  <c r="E68" i="2"/>
  <c r="G68" i="2" s="1"/>
  <c r="E69" i="2"/>
  <c r="G69" i="2" s="1"/>
  <c r="E70" i="2"/>
  <c r="G70" i="2" s="1"/>
  <c r="E71" i="2"/>
  <c r="G71" i="2" s="1"/>
  <c r="E72" i="2"/>
  <c r="G72" i="2" s="1"/>
  <c r="E73" i="2"/>
  <c r="H73" i="2" s="1"/>
  <c r="E74" i="2"/>
  <c r="G74" i="2" s="1"/>
  <c r="E75" i="2"/>
  <c r="E76" i="2"/>
  <c r="F76" i="2" s="1"/>
  <c r="E77" i="2"/>
  <c r="G77" i="2" s="1"/>
  <c r="E78" i="2"/>
  <c r="G78" i="2" s="1"/>
  <c r="E79" i="2"/>
  <c r="G79" i="2" s="1"/>
  <c r="E80" i="2"/>
  <c r="G80" i="2" s="1"/>
  <c r="E81" i="2"/>
  <c r="H81" i="2" s="1"/>
  <c r="E82" i="2"/>
  <c r="G82" i="2" s="1"/>
  <c r="E83" i="2"/>
  <c r="E84" i="2"/>
  <c r="F84" i="2" s="1"/>
  <c r="E85" i="2"/>
  <c r="G85" i="2" s="1"/>
  <c r="E86" i="2"/>
  <c r="G86" i="2" s="1"/>
  <c r="E87" i="2"/>
  <c r="G87" i="2" s="1"/>
  <c r="E88" i="2"/>
  <c r="G88" i="2" s="1"/>
  <c r="E89" i="2"/>
  <c r="H89" i="2" s="1"/>
  <c r="E90" i="2"/>
  <c r="G90" i="2" s="1"/>
  <c r="E91" i="2"/>
  <c r="E92" i="2"/>
  <c r="F92" i="2" s="1"/>
  <c r="E93" i="2"/>
  <c r="F93" i="2" s="1"/>
  <c r="E94" i="2"/>
  <c r="F94" i="2" s="1"/>
  <c r="E95" i="2"/>
  <c r="G95" i="2" s="1"/>
  <c r="E96" i="2"/>
  <c r="G96" i="2" s="1"/>
  <c r="E97" i="2"/>
  <c r="H97" i="2" s="1"/>
  <c r="E98" i="2"/>
  <c r="G98" i="2" s="1"/>
  <c r="E99" i="2"/>
  <c r="E100" i="2"/>
  <c r="F100" i="2" s="1"/>
  <c r="E101" i="2"/>
  <c r="F101" i="2" s="1"/>
  <c r="E102" i="2"/>
  <c r="G102" i="2" s="1"/>
  <c r="E103" i="2"/>
  <c r="H103" i="2" s="1"/>
  <c r="E104" i="2"/>
  <c r="G104" i="2" s="1"/>
  <c r="E105" i="2"/>
  <c r="H105" i="2" s="1"/>
  <c r="E106" i="2"/>
  <c r="G106" i="2" s="1"/>
  <c r="E107" i="2"/>
  <c r="E108" i="2"/>
  <c r="F108" i="2" s="1"/>
  <c r="E109" i="2"/>
  <c r="F109" i="2" s="1"/>
  <c r="E110" i="2"/>
  <c r="F110" i="2" s="1"/>
  <c r="E111" i="2"/>
  <c r="H111" i="2" s="1"/>
  <c r="E112" i="2"/>
  <c r="H112" i="2" s="1"/>
  <c r="E113" i="2"/>
  <c r="H113" i="2" s="1"/>
  <c r="E114" i="2"/>
  <c r="G114" i="2" s="1"/>
  <c r="E115" i="2"/>
  <c r="E116" i="2"/>
  <c r="G116" i="2" s="1"/>
  <c r="E117" i="2"/>
  <c r="G117" i="2" s="1"/>
  <c r="E118" i="2"/>
  <c r="G118" i="2" s="1"/>
  <c r="E119" i="2"/>
  <c r="G119" i="2" s="1"/>
  <c r="E120" i="2"/>
  <c r="G120" i="2" s="1"/>
  <c r="E121" i="2"/>
  <c r="H121" i="2" s="1"/>
  <c r="E122" i="2"/>
  <c r="G122" i="2" s="1"/>
  <c r="E123" i="2"/>
  <c r="G123" i="2" s="1"/>
  <c r="E124" i="2"/>
  <c r="G124" i="2" s="1"/>
  <c r="E125" i="2"/>
  <c r="G125" i="2" s="1"/>
  <c r="E126" i="2"/>
  <c r="G126" i="2" s="1"/>
  <c r="E127" i="2"/>
  <c r="G127" i="2" s="1"/>
  <c r="E128" i="2"/>
  <c r="G128" i="2" s="1"/>
  <c r="E129" i="2"/>
  <c r="H129" i="2" s="1"/>
  <c r="E130" i="2"/>
  <c r="G130" i="2" s="1"/>
  <c r="E131" i="2"/>
  <c r="H131" i="2" s="1"/>
  <c r="E132" i="2"/>
  <c r="G132" i="2" s="1"/>
  <c r="E133" i="2"/>
  <c r="G133" i="2" s="1"/>
  <c r="E134" i="2"/>
  <c r="G134" i="2" s="1"/>
  <c r="E135" i="2"/>
  <c r="G135" i="2" s="1"/>
  <c r="E136" i="2"/>
  <c r="G136" i="2" s="1"/>
  <c r="E137" i="2"/>
  <c r="H137" i="2" s="1"/>
  <c r="E138" i="2"/>
  <c r="G138" i="2" s="1"/>
  <c r="E139" i="2"/>
  <c r="E140" i="2"/>
  <c r="F140" i="2" s="1"/>
  <c r="E141" i="2"/>
  <c r="G141" i="2" s="1"/>
  <c r="E142" i="2"/>
  <c r="G142" i="2" s="1"/>
  <c r="E143" i="2"/>
  <c r="G143" i="2" s="1"/>
  <c r="E144" i="2"/>
  <c r="G144" i="2" s="1"/>
  <c r="E145" i="2"/>
  <c r="H145" i="2" s="1"/>
  <c r="E146" i="2"/>
  <c r="G146" i="2" s="1"/>
  <c r="E147" i="2"/>
  <c r="E148" i="2"/>
  <c r="F148" i="2" s="1"/>
  <c r="E149" i="2"/>
  <c r="F149" i="2" s="1"/>
  <c r="E150" i="2"/>
  <c r="G150" i="2" s="1"/>
  <c r="E151" i="2"/>
  <c r="G151" i="2" s="1"/>
  <c r="E152" i="2"/>
  <c r="G152" i="2" s="1"/>
  <c r="E153" i="2"/>
  <c r="H153" i="2" s="1"/>
  <c r="E154" i="2"/>
  <c r="G154" i="2" s="1"/>
  <c r="E155" i="2"/>
  <c r="E156" i="2"/>
  <c r="F156" i="2" s="1"/>
  <c r="E157" i="2"/>
  <c r="F157" i="2" s="1"/>
  <c r="E158" i="2"/>
  <c r="G158" i="2" s="1"/>
  <c r="E159" i="2"/>
  <c r="G159" i="2" s="1"/>
  <c r="E160" i="2"/>
  <c r="G160" i="2" s="1"/>
  <c r="E161" i="2"/>
  <c r="H161" i="2" s="1"/>
  <c r="E162" i="2"/>
  <c r="G162" i="2" s="1"/>
  <c r="E163" i="2"/>
  <c r="E164" i="2"/>
  <c r="F164" i="2" s="1"/>
  <c r="E165" i="2"/>
  <c r="F165" i="2" s="1"/>
  <c r="E166" i="2"/>
  <c r="F166" i="2" s="1"/>
  <c r="E167" i="2"/>
  <c r="H167" i="2" s="1"/>
  <c r="E168" i="2"/>
  <c r="G168" i="2" s="1"/>
  <c r="E169" i="2"/>
  <c r="H169" i="2" s="1"/>
  <c r="E170" i="2"/>
  <c r="G170" i="2" s="1"/>
  <c r="E171" i="2"/>
  <c r="H171" i="2" s="1"/>
  <c r="E172" i="2"/>
  <c r="F172" i="2" s="1"/>
  <c r="E173" i="2"/>
  <c r="F173" i="2" s="1"/>
  <c r="E174" i="2"/>
  <c r="G174" i="2" s="1"/>
  <c r="E175" i="2"/>
  <c r="H175" i="2" s="1"/>
  <c r="E176" i="2"/>
  <c r="H176" i="2" s="1"/>
  <c r="E177" i="2"/>
  <c r="H177" i="2" s="1"/>
  <c r="E178" i="2"/>
  <c r="G178" i="2" s="1"/>
  <c r="E179" i="2"/>
  <c r="G179" i="2" s="1"/>
  <c r="E180" i="2"/>
  <c r="G180" i="2" s="1"/>
  <c r="E181" i="2"/>
  <c r="G181" i="2" s="1"/>
  <c r="E182" i="2"/>
  <c r="G182" i="2" s="1"/>
  <c r="E183" i="2"/>
  <c r="G183" i="2" s="1"/>
  <c r="E184" i="2"/>
  <c r="G184" i="2" s="1"/>
  <c r="E185" i="2"/>
  <c r="H185" i="2" s="1"/>
  <c r="E186" i="2"/>
  <c r="G186" i="2" s="1"/>
  <c r="E187" i="2"/>
  <c r="G187" i="2" s="1"/>
  <c r="E188" i="2"/>
  <c r="G188" i="2" s="1"/>
  <c r="E189" i="2"/>
  <c r="G189" i="2" s="1"/>
  <c r="E190" i="2"/>
  <c r="G190" i="2" s="1"/>
  <c r="E191" i="2"/>
  <c r="G191" i="2" s="1"/>
  <c r="E192" i="2"/>
  <c r="G192" i="2" s="1"/>
  <c r="E193" i="2"/>
  <c r="H193" i="2" s="1"/>
  <c r="E194" i="2"/>
  <c r="G194" i="2" s="1"/>
  <c r="E195" i="2"/>
  <c r="E196" i="2"/>
  <c r="G196" i="2" s="1"/>
  <c r="E197" i="2"/>
  <c r="G197" i="2" s="1"/>
  <c r="E198" i="2"/>
  <c r="G198" i="2" s="1"/>
  <c r="E199" i="2"/>
  <c r="G199" i="2" s="1"/>
  <c r="E200" i="2"/>
  <c r="G200" i="2" s="1"/>
  <c r="E201" i="2"/>
  <c r="H201" i="2" s="1"/>
  <c r="E202" i="2"/>
  <c r="G202" i="2" s="1"/>
  <c r="E203" i="2"/>
  <c r="E204" i="2"/>
  <c r="F204" i="2" s="1"/>
  <c r="E205" i="2"/>
  <c r="G205" i="2" s="1"/>
  <c r="E206" i="2"/>
  <c r="G206" i="2" s="1"/>
  <c r="E207" i="2"/>
  <c r="G207" i="2" s="1"/>
  <c r="E208" i="2"/>
  <c r="G208" i="2" s="1"/>
  <c r="E209" i="2"/>
  <c r="H209" i="2" s="1"/>
  <c r="E210" i="2"/>
  <c r="G210" i="2" s="1"/>
  <c r="E211" i="2"/>
  <c r="E212" i="2"/>
  <c r="F212" i="2" s="1"/>
  <c r="E213" i="2"/>
  <c r="G213" i="2" s="1"/>
  <c r="E214" i="2"/>
  <c r="G214" i="2" s="1"/>
  <c r="E2" i="2"/>
  <c r="H2" i="2" s="1"/>
  <c r="B41" i="1"/>
  <c r="E37" i="1"/>
  <c r="E36" i="1"/>
  <c r="E41" i="1" s="1"/>
  <c r="F7" i="1"/>
  <c r="B10" i="1" s="1"/>
  <c r="D7" i="1"/>
  <c r="E4" i="1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4" i="2" l="1"/>
  <c r="H136" i="2"/>
  <c r="H77" i="2"/>
  <c r="F2" i="2"/>
  <c r="H191" i="2"/>
  <c r="H72" i="2"/>
  <c r="G111" i="2"/>
  <c r="H8" i="2"/>
  <c r="G92" i="2"/>
  <c r="H6" i="2"/>
  <c r="G28" i="2"/>
  <c r="G176" i="2"/>
  <c r="H64" i="2"/>
  <c r="G164" i="2"/>
  <c r="H160" i="2"/>
  <c r="H32" i="2"/>
  <c r="H141" i="2"/>
  <c r="H13" i="2"/>
  <c r="G84" i="2"/>
  <c r="H128" i="2"/>
  <c r="G29" i="2"/>
  <c r="H96" i="2"/>
  <c r="H46" i="2"/>
  <c r="H173" i="2"/>
  <c r="H109" i="2"/>
  <c r="H45" i="2"/>
  <c r="G212" i="2"/>
  <c r="G156" i="2"/>
  <c r="G76" i="2"/>
  <c r="G20" i="2"/>
  <c r="AB20" i="2" s="1"/>
  <c r="H197" i="2"/>
  <c r="H172" i="2"/>
  <c r="H134" i="2"/>
  <c r="H108" i="2"/>
  <c r="H70" i="2"/>
  <c r="H44" i="2"/>
  <c r="G204" i="2"/>
  <c r="G112" i="2"/>
  <c r="G48" i="2"/>
  <c r="G12" i="2"/>
  <c r="AB12" i="2" s="1"/>
  <c r="H196" i="2"/>
  <c r="H162" i="2"/>
  <c r="H133" i="2"/>
  <c r="H98" i="2"/>
  <c r="H69" i="2"/>
  <c r="H34" i="2"/>
  <c r="H5" i="2"/>
  <c r="H206" i="2"/>
  <c r="H110" i="2"/>
  <c r="G173" i="2"/>
  <c r="G108" i="2"/>
  <c r="G44" i="2"/>
  <c r="AC44" i="2" s="1"/>
  <c r="H213" i="2"/>
  <c r="H188" i="2"/>
  <c r="AC188" i="2" s="1"/>
  <c r="H158" i="2"/>
  <c r="H124" i="2"/>
  <c r="H94" i="2"/>
  <c r="H60" i="2"/>
  <c r="H30" i="2"/>
  <c r="F187" i="2"/>
  <c r="H174" i="2"/>
  <c r="G157" i="2"/>
  <c r="G45" i="2"/>
  <c r="G172" i="2"/>
  <c r="AC172" i="2" s="1"/>
  <c r="G101" i="2"/>
  <c r="G39" i="2"/>
  <c r="H208" i="2"/>
  <c r="H184" i="2"/>
  <c r="H149" i="2"/>
  <c r="H120" i="2"/>
  <c r="H85" i="2"/>
  <c r="H56" i="2"/>
  <c r="H21" i="2"/>
  <c r="F123" i="2"/>
  <c r="H198" i="2"/>
  <c r="G167" i="2"/>
  <c r="G100" i="2"/>
  <c r="AC100" i="2" s="1"/>
  <c r="G36" i="2"/>
  <c r="H207" i="2"/>
  <c r="AB207" i="2" s="1"/>
  <c r="H180" i="2"/>
  <c r="H148" i="2"/>
  <c r="H116" i="2"/>
  <c r="H84" i="2"/>
  <c r="H52" i="2"/>
  <c r="H20" i="2"/>
  <c r="F42" i="2"/>
  <c r="H211" i="2"/>
  <c r="G211" i="2"/>
  <c r="H203" i="2"/>
  <c r="G203" i="2"/>
  <c r="H195" i="2"/>
  <c r="G195" i="2"/>
  <c r="H163" i="2"/>
  <c r="G163" i="2"/>
  <c r="H155" i="2"/>
  <c r="G155" i="2"/>
  <c r="AB155" i="2" s="1"/>
  <c r="H139" i="2"/>
  <c r="G139" i="2"/>
  <c r="G115" i="2"/>
  <c r="F115" i="2"/>
  <c r="H99" i="2"/>
  <c r="F99" i="2"/>
  <c r="G99" i="2"/>
  <c r="H91" i="2"/>
  <c r="G91" i="2"/>
  <c r="F91" i="2"/>
  <c r="H83" i="2"/>
  <c r="F83" i="2"/>
  <c r="G83" i="2"/>
  <c r="H67" i="2"/>
  <c r="G67" i="2"/>
  <c r="F67" i="2"/>
  <c r="G59" i="2"/>
  <c r="F59" i="2"/>
  <c r="G51" i="2"/>
  <c r="F51" i="2"/>
  <c r="H43" i="2"/>
  <c r="F43" i="2"/>
  <c r="H35" i="2"/>
  <c r="G35" i="2"/>
  <c r="F35" i="2"/>
  <c r="H27" i="2"/>
  <c r="F27" i="2"/>
  <c r="G27" i="2"/>
  <c r="H19" i="2"/>
  <c r="F19" i="2"/>
  <c r="G19" i="2"/>
  <c r="H11" i="2"/>
  <c r="G11" i="2"/>
  <c r="F11" i="2"/>
  <c r="G131" i="2"/>
  <c r="F171" i="2"/>
  <c r="F163" i="2"/>
  <c r="H147" i="2"/>
  <c r="G147" i="2"/>
  <c r="H107" i="2"/>
  <c r="F107" i="2"/>
  <c r="H75" i="2"/>
  <c r="F75" i="2"/>
  <c r="G75" i="2"/>
  <c r="F155" i="2"/>
  <c r="F211" i="2"/>
  <c r="F147" i="2"/>
  <c r="F203" i="2"/>
  <c r="F139" i="2"/>
  <c r="F195" i="2"/>
  <c r="F131" i="2"/>
  <c r="F179" i="2"/>
  <c r="F193" i="2"/>
  <c r="F177" i="2"/>
  <c r="F169" i="2"/>
  <c r="F161" i="2"/>
  <c r="F153" i="2"/>
  <c r="F137" i="2"/>
  <c r="F129" i="2"/>
  <c r="F121" i="2"/>
  <c r="F113" i="2"/>
  <c r="F105" i="2"/>
  <c r="F97" i="2"/>
  <c r="F89" i="2"/>
  <c r="AC89" i="2" s="1"/>
  <c r="F81" i="2"/>
  <c r="F73" i="2"/>
  <c r="F65" i="2"/>
  <c r="F57" i="2"/>
  <c r="F49" i="2"/>
  <c r="F41" i="2"/>
  <c r="F33" i="2"/>
  <c r="F25" i="2"/>
  <c r="F17" i="2"/>
  <c r="F9" i="2"/>
  <c r="G166" i="2"/>
  <c r="G149" i="2"/>
  <c r="G110" i="2"/>
  <c r="AC110" i="2" s="1"/>
  <c r="G94" i="2"/>
  <c r="G38" i="2"/>
  <c r="AB38" i="2" s="1"/>
  <c r="G21" i="2"/>
  <c r="AB21" i="2" s="1"/>
  <c r="G3" i="2"/>
  <c r="H205" i="2"/>
  <c r="H194" i="2"/>
  <c r="H182" i="2"/>
  <c r="H170" i="2"/>
  <c r="H157" i="2"/>
  <c r="AB157" i="2" s="1"/>
  <c r="H144" i="2"/>
  <c r="H132" i="2"/>
  <c r="H118" i="2"/>
  <c r="H106" i="2"/>
  <c r="AB106" i="2" s="1"/>
  <c r="H93" i="2"/>
  <c r="H80" i="2"/>
  <c r="H68" i="2"/>
  <c r="H54" i="2"/>
  <c r="H42" i="2"/>
  <c r="H29" i="2"/>
  <c r="AB29" i="2" s="1"/>
  <c r="H16" i="2"/>
  <c r="H4" i="2"/>
  <c r="AC4" i="2" s="1"/>
  <c r="F208" i="2"/>
  <c r="F200" i="2"/>
  <c r="F192" i="2"/>
  <c r="F184" i="2"/>
  <c r="F176" i="2"/>
  <c r="AC176" i="2" s="1"/>
  <c r="F168" i="2"/>
  <c r="F160" i="2"/>
  <c r="F152" i="2"/>
  <c r="F144" i="2"/>
  <c r="F136" i="2"/>
  <c r="AB136" i="2" s="1"/>
  <c r="F128" i="2"/>
  <c r="AC128" i="2" s="1"/>
  <c r="F120" i="2"/>
  <c r="F112" i="2"/>
  <c r="F104" i="2"/>
  <c r="F96" i="2"/>
  <c r="F88" i="2"/>
  <c r="F80" i="2"/>
  <c r="F72" i="2"/>
  <c r="F64" i="2"/>
  <c r="AB64" i="2" s="1"/>
  <c r="F56" i="2"/>
  <c r="AC56" i="2" s="1"/>
  <c r="F48" i="2"/>
  <c r="AC48" i="2" s="1"/>
  <c r="F40" i="2"/>
  <c r="F32" i="2"/>
  <c r="F24" i="2"/>
  <c r="F16" i="2"/>
  <c r="F8" i="2"/>
  <c r="F202" i="2"/>
  <c r="AC202" i="2" s="1"/>
  <c r="F178" i="2"/>
  <c r="AC178" i="2" s="1"/>
  <c r="F154" i="2"/>
  <c r="F130" i="2"/>
  <c r="F106" i="2"/>
  <c r="F82" i="2"/>
  <c r="F58" i="2"/>
  <c r="F34" i="2"/>
  <c r="F18" i="2"/>
  <c r="H146" i="2"/>
  <c r="H82" i="2"/>
  <c r="H18" i="2"/>
  <c r="F209" i="2"/>
  <c r="F201" i="2"/>
  <c r="F185" i="2"/>
  <c r="F145" i="2"/>
  <c r="G165" i="2"/>
  <c r="G148" i="2"/>
  <c r="G109" i="2"/>
  <c r="G93" i="2"/>
  <c r="G37" i="2"/>
  <c r="H214" i="2"/>
  <c r="H204" i="2"/>
  <c r="H192" i="2"/>
  <c r="H181" i="2"/>
  <c r="H168" i="2"/>
  <c r="H156" i="2"/>
  <c r="H142" i="2"/>
  <c r="H130" i="2"/>
  <c r="H117" i="2"/>
  <c r="H104" i="2"/>
  <c r="H92" i="2"/>
  <c r="H78" i="2"/>
  <c r="H66" i="2"/>
  <c r="H53" i="2"/>
  <c r="H40" i="2"/>
  <c r="AB40" i="2" s="1"/>
  <c r="H28" i="2"/>
  <c r="H14" i="2"/>
  <c r="F207" i="2"/>
  <c r="F199" i="2"/>
  <c r="F191" i="2"/>
  <c r="AB191" i="2" s="1"/>
  <c r="F183" i="2"/>
  <c r="F175" i="2"/>
  <c r="F167" i="2"/>
  <c r="AC167" i="2" s="1"/>
  <c r="F159" i="2"/>
  <c r="F151" i="2"/>
  <c r="F143" i="2"/>
  <c r="F135" i="2"/>
  <c r="F127" i="2"/>
  <c r="F119" i="2"/>
  <c r="F111" i="2"/>
  <c r="AC111" i="2" s="1"/>
  <c r="F103" i="2"/>
  <c r="F95" i="2"/>
  <c r="F87" i="2"/>
  <c r="F79" i="2"/>
  <c r="F71" i="2"/>
  <c r="F63" i="2"/>
  <c r="F55" i="2"/>
  <c r="F47" i="2"/>
  <c r="F39" i="2"/>
  <c r="F31" i="2"/>
  <c r="F23" i="2"/>
  <c r="F15" i="2"/>
  <c r="F6" i="2"/>
  <c r="H122" i="2"/>
  <c r="H58" i="2"/>
  <c r="F194" i="2"/>
  <c r="F170" i="2"/>
  <c r="F138" i="2"/>
  <c r="F114" i="2"/>
  <c r="AB114" i="2" s="1"/>
  <c r="F66" i="2"/>
  <c r="H202" i="2"/>
  <c r="H26" i="2"/>
  <c r="F174" i="2"/>
  <c r="F5" i="2"/>
  <c r="H166" i="2"/>
  <c r="H38" i="2"/>
  <c r="F214" i="2"/>
  <c r="F198" i="2"/>
  <c r="F182" i="2"/>
  <c r="F158" i="2"/>
  <c r="F126" i="2"/>
  <c r="F78" i="2"/>
  <c r="F70" i="2"/>
  <c r="F54" i="2"/>
  <c r="F46" i="2"/>
  <c r="F30" i="2"/>
  <c r="F14" i="2"/>
  <c r="G175" i="2"/>
  <c r="G140" i="2"/>
  <c r="G103" i="2"/>
  <c r="G47" i="2"/>
  <c r="AB47" i="2" s="1"/>
  <c r="H212" i="2"/>
  <c r="H200" i="2"/>
  <c r="H190" i="2"/>
  <c r="H178" i="2"/>
  <c r="H165" i="2"/>
  <c r="H152" i="2"/>
  <c r="H140" i="2"/>
  <c r="H126" i="2"/>
  <c r="AC126" i="2" s="1"/>
  <c r="H114" i="2"/>
  <c r="H101" i="2"/>
  <c r="H88" i="2"/>
  <c r="H76" i="2"/>
  <c r="H62" i="2"/>
  <c r="H50" i="2"/>
  <c r="H37" i="2"/>
  <c r="H24" i="2"/>
  <c r="H12" i="2"/>
  <c r="F213" i="2"/>
  <c r="F205" i="2"/>
  <c r="AC205" i="2" s="1"/>
  <c r="F197" i="2"/>
  <c r="F189" i="2"/>
  <c r="AB189" i="2" s="1"/>
  <c r="F181" i="2"/>
  <c r="F141" i="2"/>
  <c r="AC141" i="2" s="1"/>
  <c r="F133" i="2"/>
  <c r="F125" i="2"/>
  <c r="F117" i="2"/>
  <c r="F85" i="2"/>
  <c r="F77" i="2"/>
  <c r="AB77" i="2" s="1"/>
  <c r="F69" i="2"/>
  <c r="F61" i="2"/>
  <c r="F53" i="2"/>
  <c r="AC53" i="2" s="1"/>
  <c r="F13" i="2"/>
  <c r="H186" i="2"/>
  <c r="F210" i="2"/>
  <c r="F186" i="2"/>
  <c r="AC186" i="2" s="1"/>
  <c r="F162" i="2"/>
  <c r="F146" i="2"/>
  <c r="F122" i="2"/>
  <c r="F98" i="2"/>
  <c r="F90" i="2"/>
  <c r="AB90" i="2" s="1"/>
  <c r="F74" i="2"/>
  <c r="F50" i="2"/>
  <c r="F26" i="2"/>
  <c r="F10" i="2"/>
  <c r="H154" i="2"/>
  <c r="H102" i="2"/>
  <c r="H90" i="2"/>
  <c r="F206" i="2"/>
  <c r="AC206" i="2" s="1"/>
  <c r="F190" i="2"/>
  <c r="F150" i="2"/>
  <c r="F142" i="2"/>
  <c r="F134" i="2"/>
  <c r="F118" i="2"/>
  <c r="F102" i="2"/>
  <c r="F86" i="2"/>
  <c r="F62" i="2"/>
  <c r="F22" i="2"/>
  <c r="H210" i="2"/>
  <c r="AB210" i="2" s="1"/>
  <c r="H199" i="2"/>
  <c r="H189" i="2"/>
  <c r="H164" i="2"/>
  <c r="H150" i="2"/>
  <c r="H138" i="2"/>
  <c r="H125" i="2"/>
  <c r="H100" i="2"/>
  <c r="H86" i="2"/>
  <c r="H74" i="2"/>
  <c r="AC74" i="2" s="1"/>
  <c r="H61" i="2"/>
  <c r="H36" i="2"/>
  <c r="H22" i="2"/>
  <c r="H10" i="2"/>
  <c r="F196" i="2"/>
  <c r="F188" i="2"/>
  <c r="F180" i="2"/>
  <c r="F132" i="2"/>
  <c r="F124" i="2"/>
  <c r="F116" i="2"/>
  <c r="F68" i="2"/>
  <c r="F60" i="2"/>
  <c r="F52" i="2"/>
  <c r="F3" i="2"/>
  <c r="G7" i="2"/>
  <c r="G193" i="2"/>
  <c r="H183" i="2"/>
  <c r="H159" i="2"/>
  <c r="H151" i="2"/>
  <c r="H143" i="2"/>
  <c r="H135" i="2"/>
  <c r="H127" i="2"/>
  <c r="H119" i="2"/>
  <c r="H95" i="2"/>
  <c r="H87" i="2"/>
  <c r="H79" i="2"/>
  <c r="H71" i="2"/>
  <c r="AC71" i="2" s="1"/>
  <c r="H63" i="2"/>
  <c r="AB63" i="2" s="1"/>
  <c r="H55" i="2"/>
  <c r="H31" i="2"/>
  <c r="H23" i="2"/>
  <c r="H15" i="2"/>
  <c r="H7" i="2"/>
  <c r="G185" i="2"/>
  <c r="G57" i="2"/>
  <c r="G121" i="2"/>
  <c r="G153" i="2"/>
  <c r="G171" i="2"/>
  <c r="G161" i="2"/>
  <c r="G107" i="2"/>
  <c r="G97" i="2"/>
  <c r="G43" i="2"/>
  <c r="G33" i="2"/>
  <c r="AB33" i="2" s="1"/>
  <c r="H187" i="2"/>
  <c r="H179" i="2"/>
  <c r="H123" i="2"/>
  <c r="H115" i="2"/>
  <c r="H59" i="2"/>
  <c r="H51" i="2"/>
  <c r="G129" i="2"/>
  <c r="G65" i="2"/>
  <c r="G201" i="2"/>
  <c r="G137" i="2"/>
  <c r="G145" i="2"/>
  <c r="AC145" i="2" s="1"/>
  <c r="G81" i="2"/>
  <c r="G9" i="2"/>
  <c r="G89" i="2"/>
  <c r="G25" i="2"/>
  <c r="G2" i="2"/>
  <c r="AB2" i="2" s="1"/>
  <c r="G169" i="2"/>
  <c r="G105" i="2"/>
  <c r="G41" i="2"/>
  <c r="G73" i="2"/>
  <c r="G209" i="2"/>
  <c r="G17" i="2"/>
  <c r="G177" i="2"/>
  <c r="G113" i="2"/>
  <c r="AC113" i="2" s="1"/>
  <c r="G49" i="2"/>
  <c r="AC101" i="2"/>
  <c r="E3" i="1"/>
  <c r="AB128" i="2"/>
  <c r="AB176" i="2"/>
  <c r="AC78" i="2" l="1"/>
  <c r="AC175" i="2"/>
  <c r="AC112" i="2"/>
  <c r="AB97" i="2"/>
  <c r="AB147" i="2"/>
  <c r="AB102" i="2"/>
  <c r="AB177" i="2"/>
  <c r="AC49" i="2"/>
  <c r="AB112" i="2"/>
  <c r="AB78" i="2"/>
  <c r="AB193" i="2"/>
  <c r="AB76" i="2"/>
  <c r="AB178" i="2"/>
  <c r="AB72" i="2"/>
  <c r="AB172" i="2"/>
  <c r="AB161" i="2"/>
  <c r="AC132" i="2"/>
  <c r="AB199" i="2"/>
  <c r="AB26" i="2"/>
  <c r="AB190" i="2"/>
  <c r="AC79" i="2"/>
  <c r="AC207" i="2"/>
  <c r="AB144" i="2"/>
  <c r="AB212" i="2"/>
  <c r="AC28" i="2"/>
  <c r="AB174" i="2"/>
  <c r="AB48" i="2"/>
  <c r="AB180" i="2"/>
  <c r="AC150" i="2"/>
  <c r="AB50" i="2"/>
  <c r="AC213" i="2"/>
  <c r="AB46" i="2"/>
  <c r="AB82" i="2"/>
  <c r="AC137" i="2"/>
  <c r="AC11" i="2"/>
  <c r="AC91" i="2"/>
  <c r="AC139" i="2"/>
  <c r="AC203" i="2"/>
  <c r="AC173" i="2"/>
  <c r="AB175" i="2"/>
  <c r="AC22" i="2"/>
  <c r="AC12" i="2"/>
  <c r="AB95" i="2"/>
  <c r="AC130" i="2"/>
  <c r="AB37" i="2"/>
  <c r="AC32" i="2"/>
  <c r="AB96" i="2"/>
  <c r="AB160" i="2"/>
  <c r="AC17" i="2"/>
  <c r="AB35" i="2"/>
  <c r="AB101" i="2"/>
  <c r="AB110" i="2"/>
  <c r="AB84" i="2"/>
  <c r="AC30" i="2"/>
  <c r="AC73" i="2"/>
  <c r="AC190" i="2"/>
  <c r="AC3" i="2"/>
  <c r="AC153" i="2"/>
  <c r="AC161" i="2"/>
  <c r="AC96" i="2"/>
  <c r="AC196" i="2"/>
  <c r="AC70" i="2"/>
  <c r="AC21" i="2"/>
  <c r="AC29" i="2"/>
  <c r="AB141" i="2"/>
  <c r="AC5" i="2"/>
  <c r="AB213" i="2"/>
  <c r="AB186" i="2"/>
  <c r="AC144" i="2"/>
  <c r="AC185" i="2"/>
  <c r="AB22" i="2"/>
  <c r="AC50" i="2"/>
  <c r="AB55" i="2"/>
  <c r="AC119" i="2"/>
  <c r="AB183" i="2"/>
  <c r="AC168" i="2"/>
  <c r="AB148" i="2"/>
  <c r="AB56" i="2"/>
  <c r="AC54" i="2"/>
  <c r="AC94" i="2"/>
  <c r="AC42" i="2"/>
  <c r="AC36" i="2"/>
  <c r="AB188" i="2"/>
  <c r="AC20" i="2"/>
  <c r="AC214" i="2"/>
  <c r="AB88" i="2"/>
  <c r="AB31" i="2"/>
  <c r="AB28" i="2"/>
  <c r="AC106" i="2"/>
  <c r="AC212" i="2"/>
  <c r="AC143" i="2"/>
  <c r="AC125" i="2"/>
  <c r="AC13" i="2"/>
  <c r="AB93" i="2"/>
  <c r="AC138" i="2"/>
  <c r="AC97" i="2"/>
  <c r="AB154" i="2"/>
  <c r="AC181" i="2"/>
  <c r="AB100" i="2"/>
  <c r="AC204" i="2"/>
  <c r="AB117" i="2"/>
  <c r="AB123" i="2"/>
  <c r="AC26" i="2"/>
  <c r="AB81" i="2"/>
  <c r="AC133" i="2"/>
  <c r="AC166" i="2"/>
  <c r="AB104" i="2"/>
  <c r="AC180" i="2"/>
  <c r="AC60" i="2"/>
  <c r="AC86" i="2"/>
  <c r="AC194" i="2"/>
  <c r="AC160" i="2"/>
  <c r="AC38" i="2"/>
  <c r="AB206" i="2"/>
  <c r="AB107" i="2"/>
  <c r="AC15" i="2"/>
  <c r="AC95" i="2"/>
  <c r="AC124" i="2"/>
  <c r="AB134" i="2"/>
  <c r="AC162" i="2"/>
  <c r="AB197" i="2"/>
  <c r="AC6" i="2"/>
  <c r="AC92" i="2"/>
  <c r="AC8" i="2"/>
  <c r="AC80" i="2"/>
  <c r="AB149" i="2"/>
  <c r="AC84" i="2"/>
  <c r="AB59" i="2"/>
  <c r="AB108" i="2"/>
  <c r="AB45" i="2"/>
  <c r="AC183" i="2"/>
  <c r="AC64" i="2"/>
  <c r="AB11" i="2"/>
  <c r="AB159" i="2"/>
  <c r="AB68" i="2"/>
  <c r="AB122" i="2"/>
  <c r="AB61" i="2"/>
  <c r="AB181" i="2"/>
  <c r="AC140" i="2"/>
  <c r="AB126" i="2"/>
  <c r="AB170" i="2"/>
  <c r="AB39" i="2"/>
  <c r="AB103" i="2"/>
  <c r="AB18" i="2"/>
  <c r="AB130" i="2"/>
  <c r="AB168" i="2"/>
  <c r="AC82" i="2"/>
  <c r="AB4" i="2"/>
  <c r="AC2" i="2"/>
  <c r="AC191" i="2"/>
  <c r="AC116" i="2"/>
  <c r="AC164" i="2"/>
  <c r="AB69" i="2"/>
  <c r="AB62" i="2"/>
  <c r="AC165" i="2"/>
  <c r="AC158" i="2"/>
  <c r="AB5" i="2"/>
  <c r="AC109" i="2"/>
  <c r="AC131" i="2"/>
  <c r="AB196" i="2"/>
  <c r="AC177" i="2"/>
  <c r="AB32" i="2"/>
  <c r="AB54" i="2"/>
  <c r="AC81" i="2"/>
  <c r="AC85" i="2"/>
  <c r="AC198" i="2"/>
  <c r="AC147" i="2"/>
  <c r="AB67" i="2"/>
  <c r="AC120" i="2"/>
  <c r="AC41" i="2"/>
  <c r="AC200" i="2"/>
  <c r="AC201" i="2"/>
  <c r="AB125" i="2"/>
  <c r="AC9" i="2"/>
  <c r="AB115" i="2"/>
  <c r="AB30" i="2"/>
  <c r="AB211" i="2"/>
  <c r="AB19" i="2"/>
  <c r="AB99" i="2"/>
  <c r="AC157" i="2"/>
  <c r="AB53" i="2"/>
  <c r="AC37" i="2"/>
  <c r="AB131" i="2"/>
  <c r="AB42" i="2"/>
  <c r="AC31" i="2"/>
  <c r="AC46" i="2"/>
  <c r="AB202" i="2"/>
  <c r="AC192" i="2"/>
  <c r="AB34" i="2"/>
  <c r="AB121" i="2"/>
  <c r="AC76" i="2"/>
  <c r="AC155" i="2"/>
  <c r="AB92" i="2"/>
  <c r="AC35" i="2"/>
  <c r="AB94" i="2"/>
  <c r="AB49" i="2"/>
  <c r="AB105" i="2"/>
  <c r="AB135" i="2"/>
  <c r="AB3" i="2"/>
  <c r="AB204" i="2"/>
  <c r="AB16" i="2"/>
  <c r="AC208" i="2"/>
  <c r="AC75" i="2"/>
  <c r="AB171" i="2"/>
  <c r="AC27" i="2"/>
  <c r="AB83" i="2"/>
  <c r="AB195" i="2"/>
  <c r="AB52" i="2"/>
  <c r="AC184" i="2"/>
  <c r="AC156" i="2"/>
  <c r="AC193" i="2"/>
  <c r="AC90" i="2"/>
  <c r="AB44" i="2"/>
  <c r="AC104" i="2"/>
  <c r="AB91" i="2"/>
  <c r="AC149" i="2"/>
  <c r="AB27" i="2"/>
  <c r="AC117" i="2"/>
  <c r="AC59" i="2"/>
  <c r="AB87" i="2"/>
  <c r="AB98" i="2"/>
  <c r="AC209" i="2"/>
  <c r="AC58" i="2"/>
  <c r="AB80" i="2"/>
  <c r="AB166" i="2"/>
  <c r="AB65" i="2"/>
  <c r="AB129" i="2"/>
  <c r="AB163" i="2"/>
  <c r="AC83" i="2"/>
  <c r="AB152" i="2"/>
  <c r="AC24" i="2"/>
  <c r="AC179" i="2"/>
  <c r="AB201" i="2"/>
  <c r="AB41" i="2"/>
  <c r="AC45" i="2"/>
  <c r="AB164" i="2"/>
  <c r="AB140" i="2"/>
  <c r="AB203" i="2"/>
  <c r="AC77" i="2"/>
  <c r="AC99" i="2"/>
  <c r="AC123" i="2"/>
  <c r="AB23" i="2"/>
  <c r="AC108" i="2"/>
  <c r="AC61" i="2"/>
  <c r="AC146" i="2"/>
  <c r="AC189" i="2"/>
  <c r="AC47" i="2"/>
  <c r="AC118" i="2"/>
  <c r="AB17" i="2"/>
  <c r="AB75" i="2"/>
  <c r="AB10" i="2"/>
  <c r="AC182" i="2"/>
  <c r="AC40" i="2"/>
  <c r="AB70" i="2"/>
  <c r="AB116" i="2"/>
  <c r="AC114" i="2"/>
  <c r="AB36" i="2"/>
  <c r="AC187" i="2"/>
  <c r="AB7" i="2"/>
  <c r="AB86" i="2"/>
  <c r="AB150" i="2"/>
  <c r="AB205" i="2"/>
  <c r="AC122" i="2"/>
  <c r="AC127" i="2"/>
  <c r="AC154" i="2"/>
  <c r="AC169" i="2"/>
  <c r="AB139" i="2"/>
  <c r="AB142" i="2"/>
  <c r="AC14" i="2"/>
  <c r="AC195" i="2"/>
  <c r="AC136" i="2"/>
  <c r="AB156" i="2"/>
  <c r="AC72" i="2"/>
  <c r="AC67" i="2"/>
  <c r="AB25" i="2"/>
  <c r="AC68" i="2"/>
  <c r="AC210" i="2"/>
  <c r="AB214" i="2"/>
  <c r="AC135" i="2"/>
  <c r="AB120" i="2"/>
  <c r="AB184" i="2"/>
  <c r="AC34" i="2"/>
  <c r="AB173" i="2"/>
  <c r="AB137" i="2"/>
  <c r="AB138" i="2"/>
  <c r="AC88" i="2"/>
  <c r="AC152" i="2"/>
  <c r="AC98" i="2"/>
  <c r="AB89" i="2"/>
  <c r="AB60" i="2"/>
  <c r="AB151" i="2"/>
  <c r="AC52" i="2"/>
  <c r="AC62" i="2"/>
  <c r="AB74" i="2"/>
  <c r="AC66" i="2"/>
  <c r="AB79" i="2"/>
  <c r="AC211" i="2"/>
  <c r="AB182" i="2"/>
  <c r="AC25" i="2"/>
  <c r="AB158" i="2"/>
  <c r="AB198" i="2"/>
  <c r="AC103" i="2"/>
  <c r="AC93" i="2"/>
  <c r="AB73" i="2"/>
  <c r="AC51" i="2"/>
  <c r="AB109" i="2"/>
  <c r="AC69" i="2"/>
  <c r="AC142" i="2"/>
  <c r="AC65" i="2"/>
  <c r="AC163" i="2"/>
  <c r="AC43" i="2"/>
  <c r="AB208" i="2"/>
  <c r="AC16" i="2"/>
  <c r="AC148" i="2"/>
  <c r="AC129" i="2"/>
  <c r="AC170" i="2"/>
  <c r="AB209" i="2"/>
  <c r="AC134" i="2"/>
  <c r="AC33" i="2"/>
  <c r="AC39" i="2"/>
  <c r="AC121" i="2"/>
  <c r="AB165" i="2"/>
  <c r="AB162" i="2"/>
  <c r="AC7" i="2"/>
  <c r="AB8" i="2"/>
  <c r="AB85" i="2"/>
  <c r="AB58" i="2"/>
  <c r="AB132" i="2"/>
  <c r="AC18" i="2"/>
  <c r="AC115" i="2"/>
  <c r="AC199" i="2"/>
  <c r="AB57" i="2"/>
  <c r="AB24" i="2"/>
  <c r="AB124" i="2"/>
  <c r="AB200" i="2"/>
  <c r="AB192" i="2"/>
  <c r="AC19" i="2"/>
  <c r="AC55" i="2"/>
  <c r="AB167" i="2"/>
  <c r="AB14" i="2"/>
  <c r="AC10" i="2"/>
  <c r="AB187" i="2"/>
  <c r="AB145" i="2"/>
  <c r="AB15" i="2"/>
  <c r="AB127" i="2"/>
  <c r="AB13" i="2"/>
  <c r="AB111" i="2"/>
  <c r="AB6" i="2"/>
  <c r="AB179" i="2"/>
  <c r="AB66" i="2"/>
  <c r="AC174" i="2"/>
  <c r="AC197" i="2"/>
  <c r="AB118" i="2"/>
  <c r="AB169" i="2"/>
  <c r="AC171" i="2"/>
  <c r="AB119" i="2"/>
  <c r="AB133" i="2"/>
  <c r="AB146" i="2"/>
  <c r="AB194" i="2"/>
  <c r="AC102" i="2"/>
  <c r="AB153" i="2"/>
  <c r="AC63" i="2"/>
  <c r="AB9" i="2"/>
  <c r="AB71" i="2"/>
  <c r="AC57" i="2"/>
  <c r="AC159" i="2"/>
  <c r="AB185" i="2"/>
  <c r="AC151" i="2"/>
  <c r="AB143" i="2"/>
  <c r="AB113" i="2"/>
  <c r="AC107" i="2"/>
  <c r="AB43" i="2"/>
  <c r="AC105" i="2"/>
  <c r="AC87" i="2"/>
  <c r="AB51" i="2"/>
  <c r="AC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49A827-2947-4A03-865F-D633E719F7E6}" keepAlive="1" name="Query - Estimates-on-the-use-of-water-(2020)-a-3712" description="Connection to the 'Estimates-on-the-use-of-water-(2020)-a-3712' query in the workbook." type="5" refreshedVersion="8" background="1" saveData="1">
    <dbPr connection="Provider=Microsoft.Mashup.OleDb.1;Data Source=$Workbook$;Location=Estimates-on-the-use-of-water-(2020)-a-3712;Extended Properties=&quot;&quot;" command="SELECT * FROM [Estimates-on-the-use-of-water-(2020)-a-3712]"/>
  </connection>
</connections>
</file>

<file path=xl/sharedStrings.xml><?xml version="1.0" encoding="utf-8"?>
<sst xmlns="http://schemas.openxmlformats.org/spreadsheetml/2006/main" count="2913" uniqueCount="1823">
  <si>
    <t>Tokelau</t>
  </si>
  <si>
    <t>NAN</t>
  </si>
  <si>
    <t>0</t>
  </si>
  <si>
    <t>99.70767665</t>
  </si>
  <si>
    <t>0.2923233459</t>
  </si>
  <si>
    <t>Niue</t>
  </si>
  <si>
    <t>46.20200348</t>
  </si>
  <si>
    <t>97.01087618</t>
  </si>
  <si>
    <t>2.989123822</t>
  </si>
  <si>
    <t>Falkland Islands (Malvinas)</t>
  </si>
  <si>
    <t>78.50799561</t>
  </si>
  <si>
    <t>95.3089274</t>
  </si>
  <si>
    <t>4.691072596</t>
  </si>
  <si>
    <t>78.17294282</t>
  </si>
  <si>
    <t>21.82705718</t>
  </si>
  <si>
    <t>100</t>
  </si>
  <si>
    <t>Montserrat</t>
  </si>
  <si>
    <t>9.114999771</t>
  </si>
  <si>
    <t>98.07748262</t>
  </si>
  <si>
    <t>1.922517378</t>
  </si>
  <si>
    <t>Saint Pierre and Miquelon</t>
  </si>
  <si>
    <t>89.96199799</t>
  </si>
  <si>
    <t>8.6</t>
  </si>
  <si>
    <t>Saint Helena</t>
  </si>
  <si>
    <t>40.08200073</t>
  </si>
  <si>
    <t>99.1</t>
  </si>
  <si>
    <t>0.9</t>
  </si>
  <si>
    <t>Saint Barthelemy</t>
  </si>
  <si>
    <t>Nauru</t>
  </si>
  <si>
    <t>High income</t>
  </si>
  <si>
    <t>Wallis and Futuna Islands</t>
  </si>
  <si>
    <t>99.14328736</t>
  </si>
  <si>
    <t>0.856712639</t>
  </si>
  <si>
    <t>Tuvalu</t>
  </si>
  <si>
    <t>Upper middle income</t>
  </si>
  <si>
    <t>64.01399994</t>
  </si>
  <si>
    <t>Cook Islands</t>
  </si>
  <si>
    <t>99.97161022</t>
  </si>
  <si>
    <t>0.0283897827</t>
  </si>
  <si>
    <t>Palau</t>
  </si>
  <si>
    <t>80.98799896</t>
  </si>
  <si>
    <t>99.6575455</t>
  </si>
  <si>
    <t>0.3424544984</t>
  </si>
  <si>
    <t>99.75698503</t>
  </si>
  <si>
    <t>0.2430149677</t>
  </si>
  <si>
    <t>99.63420199</t>
  </si>
  <si>
    <t>0.3657980078</t>
  </si>
  <si>
    <t>British Virgin Islands</t>
  </si>
  <si>
    <t>48.51499939</t>
  </si>
  <si>
    <t>99.86438356</t>
  </si>
  <si>
    <t>0.1356164384</t>
  </si>
  <si>
    <t>Gibraltar</t>
  </si>
  <si>
    <t>San Marino</t>
  </si>
  <si>
    <t>97.49900055</t>
  </si>
  <si>
    <t>Liechtenstein</t>
  </si>
  <si>
    <t>14.41600037</t>
  </si>
  <si>
    <t>Saint Martin (French part)</t>
  </si>
  <si>
    <t>99.99927139</t>
  </si>
  <si>
    <t>0.0007286105507</t>
  </si>
  <si>
    <t>Monaco</t>
  </si>
  <si>
    <t>Faeroe Islands</t>
  </si>
  <si>
    <t>42.39799881</t>
  </si>
  <si>
    <t>American Samoa</t>
  </si>
  <si>
    <t>87.15299988</t>
  </si>
  <si>
    <t>99.77377166</t>
  </si>
  <si>
    <t>0.2262283415</t>
  </si>
  <si>
    <t>Greenland</t>
  </si>
  <si>
    <t>87.28200531</t>
  </si>
  <si>
    <t>100.0000017</t>
  </si>
  <si>
    <t>Northern Mariana Islands</t>
  </si>
  <si>
    <t>91.79799652</t>
  </si>
  <si>
    <t>Marshall Islands</t>
  </si>
  <si>
    <t>Upper middle income;59.19400024</t>
  </si>
  <si>
    <t>88.57204698</t>
  </si>
  <si>
    <t>11.387979</t>
  </si>
  <si>
    <t>94.42972</t>
  </si>
  <si>
    <t>5.39028</t>
  </si>
  <si>
    <t>0.18</t>
  </si>
  <si>
    <t>86.9</t>
  </si>
  <si>
    <t>13.1</t>
  </si>
  <si>
    <t/>
  </si>
  <si>
    <t>Bermuda</t>
  </si>
  <si>
    <t>99.90314002</t>
  </si>
  <si>
    <t>0.09685998294</t>
  </si>
  <si>
    <t>Andorra</t>
  </si>
  <si>
    <t>87.91600037</t>
  </si>
  <si>
    <t>100.0000037</t>
  </si>
  <si>
    <t>Isle of Man</t>
  </si>
  <si>
    <t>52.89800262</t>
  </si>
  <si>
    <t>99.075</t>
  </si>
  <si>
    <t>0.925</t>
  </si>
  <si>
    <t>United States Virgin Islands</t>
  </si>
  <si>
    <t>95.93900299</t>
  </si>
  <si>
    <t>98.71826738</t>
  </si>
  <si>
    <t>1.281732624</t>
  </si>
  <si>
    <t>Tonga</t>
  </si>
  <si>
    <t>23.09899902</t>
  </si>
  <si>
    <t>98.73108083</t>
  </si>
  <si>
    <t>0.3874218777</t>
  </si>
  <si>
    <t>98.46807854</t>
  </si>
  <si>
    <t>1.103159706</t>
  </si>
  <si>
    <t>0.4287617551;0</t>
  </si>
  <si>
    <t>99.60665819</t>
  </si>
  <si>
    <t>0.143540536</t>
  </si>
  <si>
    <t>0.2498012758</t>
  </si>
  <si>
    <t>Kiribati</t>
  </si>
  <si>
    <t>Lower middle income</t>
  </si>
  <si>
    <t>55.59399796</t>
  </si>
  <si>
    <t>77.97092085</t>
  </si>
  <si>
    <t>17.95217953</t>
  </si>
  <si>
    <t>60.99418489</t>
  </si>
  <si>
    <t>2.096609799</t>
  </si>
  <si>
    <t>36.90920532</t>
  </si>
  <si>
    <t>91.53117485</t>
  </si>
  <si>
    <t>5.658666461</t>
  </si>
  <si>
    <t>2.810158691</t>
  </si>
  <si>
    <t>Guam</t>
  </si>
  <si>
    <t>94.93800354</t>
  </si>
  <si>
    <t>99.6952</t>
  </si>
  <si>
    <t>0.3048</t>
  </si>
  <si>
    <t>Saint Lucia</t>
  </si>
  <si>
    <t>18.8409996</t>
  </si>
  <si>
    <t>96.88784457</t>
  </si>
  <si>
    <t>1.296503269</t>
  </si>
  <si>
    <t>96.81402383</t>
  </si>
  <si>
    <t>1.734152255</t>
  </si>
  <si>
    <t>1.451823918</t>
  </si>
  <si>
    <t>97.20582219</t>
  </si>
  <si>
    <t>2.166718886</t>
  </si>
  <si>
    <t>0.6274589237</t>
  </si>
  <si>
    <t>Samoa</t>
  </si>
  <si>
    <t>17.88899994</t>
  </si>
  <si>
    <t>91.83772455</t>
  </si>
  <si>
    <t>1.418623428</t>
  </si>
  <si>
    <t>0.2227520679</t>
  </si>
  <si>
    <t>91.78032287</t>
  </si>
  <si>
    <t>6.220703339</t>
  </si>
  <si>
    <t>1.72769216</t>
  </si>
  <si>
    <t>0.2712816327</t>
  </si>
  <si>
    <t>92.10119</t>
  </si>
  <si>
    <t>7.89881</t>
  </si>
  <si>
    <t>Sao Tome and Principe</t>
  </si>
  <si>
    <t>74.35400391</t>
  </si>
  <si>
    <t>78.22645516</t>
  </si>
  <si>
    <t>0.4435199284</t>
  </si>
  <si>
    <t>1.09204193</t>
  </si>
  <si>
    <t>74.30061449</t>
  </si>
  <si>
    <t>19.71184258</t>
  </si>
  <si>
    <t>1.729405704</t>
  </si>
  <si>
    <t>4.258137228</t>
  </si>
  <si>
    <t>79.5805429</t>
  </si>
  <si>
    <t>20.4194571</t>
  </si>
  <si>
    <t>Mayotte</t>
  </si>
  <si>
    <t>45.75099945</t>
  </si>
  <si>
    <t>96.37117971</t>
  </si>
  <si>
    <t>3.628820295</t>
  </si>
  <si>
    <t>French Polynesia</t>
  </si>
  <si>
    <t>61.97500229</t>
  </si>
  <si>
    <t>New Caledonia</t>
  </si>
  <si>
    <t>71.51799774</t>
  </si>
  <si>
    <t>99.30532057</t>
  </si>
  <si>
    <t>0.6946794278</t>
  </si>
  <si>
    <t>Barbados</t>
  </si>
  <si>
    <t>31.19099998</t>
  </si>
  <si>
    <t>98.51445042</t>
  </si>
  <si>
    <t>1.217949005</t>
  </si>
  <si>
    <t>French Guiana</t>
  </si>
  <si>
    <t>85.81999969</t>
  </si>
  <si>
    <t>93.78221635</t>
  </si>
  <si>
    <t>6.217783652</t>
  </si>
  <si>
    <t>Vanuatu</t>
  </si>
  <si>
    <t>25.52500153</t>
  </si>
  <si>
    <t>91.23119075</t>
  </si>
  <si>
    <t>7.706424202</t>
  </si>
  <si>
    <t>88.39720123</t>
  </si>
  <si>
    <t>1.255132675</t>
  </si>
  <si>
    <t>10.3476661</t>
  </si>
  <si>
    <t>99.5</t>
  </si>
  <si>
    <t>0.5</t>
  </si>
  <si>
    <t>Iceland</t>
  </si>
  <si>
    <t>93.897995</t>
  </si>
  <si>
    <t>99.99999721</t>
  </si>
  <si>
    <t>0.000002794650015</t>
  </si>
  <si>
    <t>Martinique</t>
  </si>
  <si>
    <t>89.13999939</t>
  </si>
  <si>
    <t>99.84197078</t>
  </si>
  <si>
    <t>0.1580292158</t>
  </si>
  <si>
    <t>Belize</t>
  </si>
  <si>
    <t>46.02500153</t>
  </si>
  <si>
    <t>98.40195463</t>
  </si>
  <si>
    <t>0.3489347411</t>
  </si>
  <si>
    <t>97.99520758</t>
  </si>
  <si>
    <t>1.358317682</t>
  </si>
  <si>
    <t>0.6464747393</t>
  </si>
  <si>
    <t>98.87896</t>
  </si>
  <si>
    <t>1.12104</t>
  </si>
  <si>
    <t>Guadeloupe</t>
  </si>
  <si>
    <t>98.49899292</t>
  </si>
  <si>
    <t>99.80312604</t>
  </si>
  <si>
    <t>0.1968739613</t>
  </si>
  <si>
    <t>Brunei Darussalam</t>
  </si>
  <si>
    <t>78.25000763</t>
  </si>
  <si>
    <t>99.9000368</t>
  </si>
  <si>
    <t>0.09996320036</t>
  </si>
  <si>
    <t>99.65</t>
  </si>
  <si>
    <t>0.35</t>
  </si>
  <si>
    <t>Malta</t>
  </si>
  <si>
    <t>94.7440033</t>
  </si>
  <si>
    <t>100.0000004</t>
  </si>
  <si>
    <t>Maldives</t>
  </si>
  <si>
    <t>40.66899872</t>
  </si>
  <si>
    <t>99.5444386</t>
  </si>
  <si>
    <t>0.407510705</t>
  </si>
  <si>
    <t>99.9190125</t>
  </si>
  <si>
    <t>0.0809875</t>
  </si>
  <si>
    <t>98.99798893</t>
  </si>
  <si>
    <t>1.002011069</t>
  </si>
  <si>
    <t>Cabo Verde</t>
  </si>
  <si>
    <t>7.904150846</t>
  </si>
  <si>
    <t>0.1170950144</t>
  </si>
  <si>
    <t>80.11452544</t>
  </si>
  <si>
    <t>9.911127022</t>
  </si>
  <si>
    <t>9.623217003</t>
  </si>
  <si>
    <t>0.3511305397</t>
  </si>
  <si>
    <t>93.1</t>
  </si>
  <si>
    <t>6.9</t>
  </si>
  <si>
    <t>Suriname</t>
  </si>
  <si>
    <t>66.14900208</t>
  </si>
  <si>
    <t>97.98963167</t>
  </si>
  <si>
    <t>0.3793365073</t>
  </si>
  <si>
    <t>0.563784884</t>
  </si>
  <si>
    <t>96.57441263</t>
  </si>
  <si>
    <t>1.60029586</t>
  </si>
  <si>
    <t>0.1598017947</t>
  </si>
  <si>
    <t>1.66548972</t>
  </si>
  <si>
    <t>98.71385387</t>
  </si>
  <si>
    <t>0.7944652371</t>
  </si>
  <si>
    <t>0.4916808925</t>
  </si>
  <si>
    <t>Luxembourg</t>
  </si>
  <si>
    <t>91.4529953</t>
  </si>
  <si>
    <t>99.87993254</t>
  </si>
  <si>
    <t>0.1200674649</t>
  </si>
  <si>
    <t>98.5952381</t>
  </si>
  <si>
    <t>1.404761905</t>
  </si>
  <si>
    <t>Montenegro</t>
  </si>
  <si>
    <t>67.48800659</t>
  </si>
  <si>
    <t>98.85691652</t>
  </si>
  <si>
    <t>0.592312011</t>
  </si>
  <si>
    <t>0.005292650894</t>
  </si>
  <si>
    <t>98.16188754</t>
  </si>
  <si>
    <t>1.821833386</t>
  </si>
  <si>
    <t>0.01627906977</t>
  </si>
  <si>
    <t>99.19173959</t>
  </si>
  <si>
    <t>0.8082604128</t>
  </si>
  <si>
    <t>China, Macao SAR</t>
  </si>
  <si>
    <t>Solomon Islands</t>
  </si>
  <si>
    <t>24.67000008</t>
  </si>
  <si>
    <t>67.30102554</t>
  </si>
  <si>
    <t>21.26784313</t>
  </si>
  <si>
    <t>5.635653025</t>
  </si>
  <si>
    <t>59.40526749</t>
  </si>
  <si>
    <t>6.528523649</t>
  </si>
  <si>
    <t>26.955911</t>
  </si>
  <si>
    <t>7.110297857</t>
  </si>
  <si>
    <t>91.41077689</t>
  </si>
  <si>
    <t>3.557120425</t>
  </si>
  <si>
    <t>3.899286137</t>
  </si>
  <si>
    <t>1.132816553</t>
  </si>
  <si>
    <t>Bhutan</t>
  </si>
  <si>
    <t>42.31599808</t>
  </si>
  <si>
    <t>97.31322263</t>
  </si>
  <si>
    <t>0.1764242183</t>
  </si>
  <si>
    <t>0.04964054142</t>
  </si>
  <si>
    <t>96.73119365</t>
  </si>
  <si>
    <t>3.268806351</t>
  </si>
  <si>
    <t>98.10662849</t>
  </si>
  <si>
    <t>1.3591415</t>
  </si>
  <si>
    <t>0.4169208475</t>
  </si>
  <si>
    <t>0.1173091586</t>
  </si>
  <si>
    <t>Guyana</t>
  </si>
  <si>
    <t>26.7859993</t>
  </si>
  <si>
    <t>95.55480685</t>
  </si>
  <si>
    <t>1.143069849</t>
  </si>
  <si>
    <t>2.096878897</t>
  </si>
  <si>
    <t>93.9284905</t>
  </si>
  <si>
    <t>1.646193862</t>
  </si>
  <si>
    <t>1.561274833</t>
  </si>
  <si>
    <t>2.864040809</t>
  </si>
  <si>
    <t>Réunion</t>
  </si>
  <si>
    <t>99.65900421</t>
  </si>
  <si>
    <t>Fiji</t>
  </si>
  <si>
    <t>57.24700546</t>
  </si>
  <si>
    <t>94.30106524</t>
  </si>
  <si>
    <t>3.318602766</t>
  </si>
  <si>
    <t>2.380331999</t>
  </si>
  <si>
    <t>89.08802405</t>
  </si>
  <si>
    <t>5.759897938</t>
  </si>
  <si>
    <t>5.152078012</t>
  </si>
  <si>
    <t>98.19424406</t>
  </si>
  <si>
    <t>1.495409344</t>
  </si>
  <si>
    <t>0.3103465922</t>
  </si>
  <si>
    <t>Djibouti</t>
  </si>
  <si>
    <t>78.06199646</t>
  </si>
  <si>
    <t>76.04992021</t>
  </si>
  <si>
    <t>7.015876051</t>
  </si>
  <si>
    <t>2.176722038</t>
  </si>
  <si>
    <t>47.28073293</t>
  </si>
  <si>
    <t>12.06161014</t>
  </si>
  <si>
    <t>30.73550468</t>
  </si>
  <si>
    <t>9.922152249</t>
  </si>
  <si>
    <t>84.13501493</t>
  </si>
  <si>
    <t>15.51511107</t>
  </si>
  <si>
    <t>0.3498740029</t>
  </si>
  <si>
    <t>Eswatini</t>
  </si>
  <si>
    <t>24.17100143</t>
  </si>
  <si>
    <t>70.75307095</t>
  </si>
  <si>
    <t>9.835567931</t>
  </si>
  <si>
    <t>9.904293959</t>
  </si>
  <si>
    <t>62.46644874</t>
  </si>
  <si>
    <t>12.29969513</t>
  </si>
  <si>
    <t>12.45046093</t>
  </si>
  <si>
    <t>12.78339519</t>
  </si>
  <si>
    <t>96.74976305</t>
  </si>
  <si>
    <t>0.7460644731</t>
  </si>
  <si>
    <t>1.632164244</t>
  </si>
  <si>
    <t>0.8720082294</t>
  </si>
  <si>
    <t>Cyprus</t>
  </si>
  <si>
    <t>66.82099915</t>
  </si>
  <si>
    <t>99.76517318</t>
  </si>
  <si>
    <t>0.2348268167</t>
  </si>
  <si>
    <t>99.84576172</t>
  </si>
  <si>
    <t>0.1542382836</t>
  </si>
  <si>
    <t>99.72515812</t>
  </si>
  <si>
    <t>0.2748418825</t>
  </si>
  <si>
    <t>Mauritius</t>
  </si>
  <si>
    <t>40.75999832</t>
  </si>
  <si>
    <t>99.8662547</t>
  </si>
  <si>
    <t>0.1337453014</t>
  </si>
  <si>
    <t>99.82768234</t>
  </si>
  <si>
    <t>0.1723176618</t>
  </si>
  <si>
    <t>99.92231522</t>
  </si>
  <si>
    <t>0.07768478119</t>
  </si>
  <si>
    <t>Timor-Leste</t>
  </si>
  <si>
    <t>31.31999969</t>
  </si>
  <si>
    <t>85.4956012</t>
  </si>
  <si>
    <t>8.360029397</t>
  </si>
  <si>
    <t>4.258503433</t>
  </si>
  <si>
    <t>80.48779562</t>
  </si>
  <si>
    <t>2.049364675</t>
  </si>
  <si>
    <t>11.26233968</t>
  </si>
  <si>
    <t>6.200500018</t>
  </si>
  <si>
    <t>96.47695792</t>
  </si>
  <si>
    <t>1.527338152</t>
  </si>
  <si>
    <t>1.995703929</t>
  </si>
  <si>
    <t>Estonia</t>
  </si>
  <si>
    <t>69.22900391</t>
  </si>
  <si>
    <t>99.59078178</t>
  </si>
  <si>
    <t>0.4092182232</t>
  </si>
  <si>
    <t>99.98545421</t>
  </si>
  <si>
    <t>0.01454579307</t>
  </si>
  <si>
    <t>Trinidad and Tobago</t>
  </si>
  <si>
    <t>53.2140007</t>
  </si>
  <si>
    <t>98.87517077</t>
  </si>
  <si>
    <t>Bahrain</t>
  </si>
  <si>
    <t>89.50600433</t>
  </si>
  <si>
    <t>Latvia</t>
  </si>
  <si>
    <t>68.31500244</t>
  </si>
  <si>
    <t>98.78260115</t>
  </si>
  <si>
    <t>0.5350981037</t>
  </si>
  <si>
    <t>98.57922314</t>
  </si>
  <si>
    <t>1.42077686</t>
  </si>
  <si>
    <t>98.87692469</t>
  </si>
  <si>
    <t>0.9987568151</t>
  </si>
  <si>
    <t>0.1243184908</t>
  </si>
  <si>
    <t>Guinea-Bissau</t>
  </si>
  <si>
    <t>Low income</t>
  </si>
  <si>
    <t>44.19599915</t>
  </si>
  <si>
    <t>59.01691221</t>
  </si>
  <si>
    <t>26.6263769</t>
  </si>
  <si>
    <t>0.3221395192</t>
  </si>
  <si>
    <t>49.8319053</t>
  </si>
  <si>
    <t>9.285773026</t>
  </si>
  <si>
    <t>40.31645129</t>
  </si>
  <si>
    <t>0.5658703845</t>
  </si>
  <si>
    <t>70.61434791</t>
  </si>
  <si>
    <t>20.03063358</t>
  </si>
  <si>
    <t>9.340625284</t>
  </si>
  <si>
    <t>0.01439322693</t>
  </si>
  <si>
    <t>Slovenia</t>
  </si>
  <si>
    <t>55.11800385</t>
  </si>
  <si>
    <t>North Macedonia</t>
  </si>
  <si>
    <t>58.48199844</t>
  </si>
  <si>
    <t>97.74281579</t>
  </si>
  <si>
    <t>0.5742284762</t>
  </si>
  <si>
    <t>0.04796159706</t>
  </si>
  <si>
    <t>97.46871457</t>
  </si>
  <si>
    <t>1.505202232</t>
  </si>
  <si>
    <t>0.9105631982</t>
  </si>
  <si>
    <t>0.11552</t>
  </si>
  <si>
    <t>97.93740299</t>
  </si>
  <si>
    <t>1.727136954</t>
  </si>
  <si>
    <t>0.3354600563</t>
  </si>
  <si>
    <t>Lesotho</t>
  </si>
  <si>
    <t>29.02799988</t>
  </si>
  <si>
    <t>72.17603927</t>
  </si>
  <si>
    <t>12.21725464</t>
  </si>
  <si>
    <t>5.200780116</t>
  </si>
  <si>
    <t>63.65035482</t>
  </si>
  <si>
    <t>13.55843013</t>
  </si>
  <si>
    <t>15.73132479</t>
  </si>
  <si>
    <t>7.059890254</t>
  </si>
  <si>
    <t>93.02090855</t>
  </si>
  <si>
    <t>2.698211997</t>
  </si>
  <si>
    <t>3.625530038</t>
  </si>
  <si>
    <t>0.65534942</t>
  </si>
  <si>
    <t>Gabon</t>
  </si>
  <si>
    <t>90.09200287</t>
  </si>
  <si>
    <t>85.3419306</t>
  </si>
  <si>
    <t>6.922808357</t>
  </si>
  <si>
    <t>44.74588901</t>
  </si>
  <si>
    <t>10.51114859</t>
  </si>
  <si>
    <t>44.7429624</t>
  </si>
  <si>
    <t>89.80653917</t>
  </si>
  <si>
    <t>7.42998076</t>
  </si>
  <si>
    <t>2.763480072</t>
  </si>
  <si>
    <t>Botswana</t>
  </si>
  <si>
    <t>70.8769989</t>
  </si>
  <si>
    <t>92.21356307</t>
  </si>
  <si>
    <t>1.732526476</t>
  </si>
  <si>
    <t>1.330871481</t>
  </si>
  <si>
    <t>79.04372386</t>
  </si>
  <si>
    <t>15.15494718</t>
  </si>
  <si>
    <t>1.596119156</t>
  </si>
  <si>
    <t>4.20520981</t>
  </si>
  <si>
    <t>97.62498058</t>
  </si>
  <si>
    <t>0.4366200322</t>
  </si>
  <si>
    <t>1.788579159</t>
  </si>
  <si>
    <t>0.1498202281</t>
  </si>
  <si>
    <t>Gambia</t>
  </si>
  <si>
    <t>62.58199692</t>
  </si>
  <si>
    <t>80.94040714</t>
  </si>
  <si>
    <t>10.35285207</t>
  </si>
  <si>
    <t>0.1093493927</t>
  </si>
  <si>
    <t>69.18852321</t>
  </si>
  <si>
    <t>16.49783239</t>
  </si>
  <si>
    <t>14.24376547</t>
  </si>
  <si>
    <t>0.0698789368</t>
  </si>
  <si>
    <t>87.96690427</t>
  </si>
  <si>
    <t>3.873689522</t>
  </si>
  <si>
    <t>8.026457278</t>
  </si>
  <si>
    <t>0.1329489253</t>
  </si>
  <si>
    <t>Namibia</t>
  </si>
  <si>
    <t>52.03300095</t>
  </si>
  <si>
    <t>84.27003628</t>
  </si>
  <si>
    <t>3.740143722</t>
  </si>
  <si>
    <t>4.902192485</t>
  </si>
  <si>
    <t>71.25616743</t>
  </si>
  <si>
    <t>11.97218925</t>
  </si>
  <si>
    <t>7.081803759</t>
  </si>
  <si>
    <t>9.689839563</t>
  </si>
  <si>
    <t>96.26696535</t>
  </si>
  <si>
    <t>2.584758965</t>
  </si>
  <si>
    <t>0.6596102638</t>
  </si>
  <si>
    <t>0.4886654211</t>
  </si>
  <si>
    <t>Lithuania</t>
  </si>
  <si>
    <t>68.04599762</t>
  </si>
  <si>
    <t>98.01334724</t>
  </si>
  <si>
    <t>1.98665276</t>
  </si>
  <si>
    <t>93.78278023</t>
  </si>
  <si>
    <t>6.217219771</t>
  </si>
  <si>
    <t>Puerto Rico</t>
  </si>
  <si>
    <t>93.58100128</t>
  </si>
  <si>
    <t>Albania</t>
  </si>
  <si>
    <t>62.11199951</t>
  </si>
  <si>
    <t>95.06803883</t>
  </si>
  <si>
    <t>3.047305081</t>
  </si>
  <si>
    <t>94.09135806</t>
  </si>
  <si>
    <t>2.305264955</t>
  </si>
  <si>
    <t>3.603376986</t>
  </si>
  <si>
    <t>95.66380912</t>
  </si>
  <si>
    <t>1.62808683</t>
  </si>
  <si>
    <t>2.708104054</t>
  </si>
  <si>
    <t>Qatar</t>
  </si>
  <si>
    <t>99.23500061</t>
  </si>
  <si>
    <t>99.56810194</t>
  </si>
  <si>
    <t>0.4318980637</t>
  </si>
  <si>
    <t>Jamaica</t>
  </si>
  <si>
    <t>56.31100082</t>
  </si>
  <si>
    <t>91.0299445</t>
  </si>
  <si>
    <t>1.864010203</t>
  </si>
  <si>
    <t>1.738474379</t>
  </si>
  <si>
    <t>85.39991216</t>
  </si>
  <si>
    <t>8.490737371</t>
  </si>
  <si>
    <t>2.568971895</t>
  </si>
  <si>
    <t>3.540378574</t>
  </si>
  <si>
    <t>95.39801591</t>
  </si>
  <si>
    <t>2.944456223</t>
  </si>
  <si>
    <t>1.317064322</t>
  </si>
  <si>
    <t>0.34046355</t>
  </si>
  <si>
    <t>Armenia</t>
  </si>
  <si>
    <t>63.31299973</t>
  </si>
  <si>
    <t>99.97118069</t>
  </si>
  <si>
    <t>0.02881930801</t>
  </si>
  <si>
    <t>99.95448122</t>
  </si>
  <si>
    <t>0.04551878364</t>
  </si>
  <si>
    <t>Mongolia</t>
  </si>
  <si>
    <t>68.65699768</t>
  </si>
  <si>
    <t>85.49562527</t>
  </si>
  <si>
    <t>6.633366714</t>
  </si>
  <si>
    <t>5.724579081</t>
  </si>
  <si>
    <t>61.07075114</t>
  </si>
  <si>
    <t>3.084170572</t>
  </si>
  <si>
    <t>17.58078116</t>
  </si>
  <si>
    <t>18.26429713</t>
  </si>
  <si>
    <t>96.64596558</t>
  </si>
  <si>
    <t>1.718335079</t>
  </si>
  <si>
    <t>1.635699341</t>
  </si>
  <si>
    <t>Bosnia and Herzegovina</t>
  </si>
  <si>
    <t>49.02000046</t>
  </si>
  <si>
    <t>96.11389762</t>
  </si>
  <si>
    <t>0.06243843752</t>
  </si>
  <si>
    <t>97.33333333</t>
  </si>
  <si>
    <t>2.666666667</t>
  </si>
  <si>
    <t>94.8457044</t>
  </si>
  <si>
    <t>5.026922206</t>
  </si>
  <si>
    <t>0.1273733928</t>
  </si>
  <si>
    <t>Uruguay</t>
  </si>
  <si>
    <t>95.51499939</t>
  </si>
  <si>
    <t>99.49575756</t>
  </si>
  <si>
    <t>95.30083</t>
  </si>
  <si>
    <t>4.69917</t>
  </si>
  <si>
    <t>99.69273444</t>
  </si>
  <si>
    <t>0.3072655617</t>
  </si>
  <si>
    <t>Georgia</t>
  </si>
  <si>
    <t>59.4529953</t>
  </si>
  <si>
    <t>97.3481397</t>
  </si>
  <si>
    <t>2.632761379</t>
  </si>
  <si>
    <t>0.01909892327</t>
  </si>
  <si>
    <t>94.2718842</t>
  </si>
  <si>
    <t>5.703923618</t>
  </si>
  <si>
    <t>0.02419218345</t>
  </si>
  <si>
    <t>99.44615394</t>
  </si>
  <si>
    <t>0.538220742</t>
  </si>
  <si>
    <t>0.01562531586</t>
  </si>
  <si>
    <t>Republic of Moldova</t>
  </si>
  <si>
    <t>42.84900284</t>
  </si>
  <si>
    <t>90.56996224</t>
  </si>
  <si>
    <t>7.910260997</t>
  </si>
  <si>
    <t>85.48103812</t>
  </si>
  <si>
    <t>1.52256302</t>
  </si>
  <si>
    <t>12.99639886</t>
  </si>
  <si>
    <t>97.35744448</t>
  </si>
  <si>
    <t>1.516060408</t>
  </si>
  <si>
    <t>1.126495111</t>
  </si>
  <si>
    <t>Croatia</t>
  </si>
  <si>
    <t>57.55299759</t>
  </si>
  <si>
    <t>Kuwait</t>
  </si>
  <si>
    <t>Panama</t>
  </si>
  <si>
    <t>68.41400146</t>
  </si>
  <si>
    <t>94.37254436</t>
  </si>
  <si>
    <t>2.262304247</t>
  </si>
  <si>
    <t>1.491670799</t>
  </si>
  <si>
    <t>86.32308326</t>
  </si>
  <si>
    <t>1.791982583</t>
  </si>
  <si>
    <t>7.162364342</t>
  </si>
  <si>
    <t>4.722569811</t>
  </si>
  <si>
    <t>98.08889267</t>
  </si>
  <si>
    <t>1.911107333</t>
  </si>
  <si>
    <t>Mauritania</t>
  </si>
  <si>
    <t>55.32699585</t>
  </si>
  <si>
    <t>71.68104923</t>
  </si>
  <si>
    <t>14.82032681</t>
  </si>
  <si>
    <t>0.02173203433</t>
  </si>
  <si>
    <t>49.9113389</t>
  </si>
  <si>
    <t>18.49039689</t>
  </si>
  <si>
    <t>31.5496173</t>
  </si>
  <si>
    <t>0.04864690722</t>
  </si>
  <si>
    <t>89.25869465</t>
  </si>
  <si>
    <t>9.428808083</t>
  </si>
  <si>
    <t>1.31249727</t>
  </si>
  <si>
    <t>New Zealand</t>
  </si>
  <si>
    <t>86.6989975</t>
  </si>
  <si>
    <t>100.0000013</t>
  </si>
  <si>
    <t>Central African Republic</t>
  </si>
  <si>
    <t>42.19799805</t>
  </si>
  <si>
    <t>37.20240205</t>
  </si>
  <si>
    <t>33.53911377</t>
  </si>
  <si>
    <t>3.576110708</t>
  </si>
  <si>
    <t>28.10659415</t>
  </si>
  <si>
    <t>19.4058899</t>
  </si>
  <si>
    <t>46.37307301</t>
  </si>
  <si>
    <t>6.114442944</t>
  </si>
  <si>
    <t>49.66166495</t>
  </si>
  <si>
    <t>34.27978009</t>
  </si>
  <si>
    <t>15.95940214</t>
  </si>
  <si>
    <t>0.09915281712</t>
  </si>
  <si>
    <t>Ireland</t>
  </si>
  <si>
    <t>63.65299988</t>
  </si>
  <si>
    <t>97.39970651</t>
  </si>
  <si>
    <t>2.600293485</t>
  </si>
  <si>
    <t>98.13492075</t>
  </si>
  <si>
    <t>1.865079247</t>
  </si>
  <si>
    <t>96.97988603</t>
  </si>
  <si>
    <t>3.020113966</t>
  </si>
  <si>
    <t>Liberia</t>
  </si>
  <si>
    <t>52.08899689</t>
  </si>
  <si>
    <t>75.26179159</t>
  </si>
  <si>
    <t>3.488080869</t>
  </si>
  <si>
    <t>12.54947006</t>
  </si>
  <si>
    <t>64.10021689</t>
  </si>
  <si>
    <t>6.537775797</t>
  </si>
  <si>
    <t>3.383709875</t>
  </si>
  <si>
    <t>25.97829744</t>
  </si>
  <si>
    <t>85.52810963</t>
  </si>
  <si>
    <t>10.69005698</t>
  </si>
  <si>
    <t>3.58408039</t>
  </si>
  <si>
    <t>0.1977530006</t>
  </si>
  <si>
    <t>Costa Rica</t>
  </si>
  <si>
    <t>80.77099609</t>
  </si>
  <si>
    <t>99.81053693</t>
  </si>
  <si>
    <t>0.000003594451897</t>
  </si>
  <si>
    <t>99.64625</t>
  </si>
  <si>
    <t>0.35375</t>
  </si>
  <si>
    <t>99.84965286</t>
  </si>
  <si>
    <t>0.1503471429</t>
  </si>
  <si>
    <t>West Bank and Gaza Strip</t>
  </si>
  <si>
    <t>76.71899414</t>
  </si>
  <si>
    <t>97.88039722</t>
  </si>
  <si>
    <t>1.089623295</t>
  </si>
  <si>
    <t>98.71555642</t>
  </si>
  <si>
    <t>0.3174006273</t>
  </si>
  <si>
    <t>0.9670429576</t>
  </si>
  <si>
    <t>97.62696443</t>
  </si>
  <si>
    <t>1.246217358</t>
  </si>
  <si>
    <t>1.126818208</t>
  </si>
  <si>
    <t>Oman</t>
  </si>
  <si>
    <t>86.27599335</t>
  </si>
  <si>
    <t>92.16802469</t>
  </si>
  <si>
    <t>0.2604052036</t>
  </si>
  <si>
    <t>0.03015021745</t>
  </si>
  <si>
    <t>76.25077991</t>
  </si>
  <si>
    <t>21.63212113</t>
  </si>
  <si>
    <t>1.897409218</t>
  </si>
  <si>
    <t>0.2196897375</t>
  </si>
  <si>
    <t>94.7</t>
  </si>
  <si>
    <t>5.3</t>
  </si>
  <si>
    <t>Norway</t>
  </si>
  <si>
    <t>82.97399139</t>
  </si>
  <si>
    <t>99.9999955</t>
  </si>
  <si>
    <t>0.000004503407453</t>
  </si>
  <si>
    <t>Slovakia</t>
  </si>
  <si>
    <t>53.75999832</t>
  </si>
  <si>
    <t>99.78769858</t>
  </si>
  <si>
    <t>99.60509406</t>
  </si>
  <si>
    <t>0.3949059374</t>
  </si>
  <si>
    <t>Congo</t>
  </si>
  <si>
    <t>67.82900238</t>
  </si>
  <si>
    <t>73.78451158</t>
  </si>
  <si>
    <t>9.559180722</t>
  </si>
  <si>
    <t>6.195135664</t>
  </si>
  <si>
    <t>45.72441318</t>
  </si>
  <si>
    <t>10.6323901</t>
  </si>
  <si>
    <t>24.40516973</t>
  </si>
  <si>
    <t>19.23802699</t>
  </si>
  <si>
    <t>87.09329616</t>
  </si>
  <si>
    <t>10.37996439</t>
  </si>
  <si>
    <t>2.517789997</t>
  </si>
  <si>
    <t>0.008949452055</t>
  </si>
  <si>
    <t>Finland</t>
  </si>
  <si>
    <t>85.51700592</t>
  </si>
  <si>
    <t>100.0000033</t>
  </si>
  <si>
    <t>Denmark</t>
  </si>
  <si>
    <t>88.11600494</t>
  </si>
  <si>
    <t>100.0000011</t>
  </si>
  <si>
    <t>Singapore</t>
  </si>
  <si>
    <t>Turkmenistan</t>
  </si>
  <si>
    <t>52.51600266</t>
  </si>
  <si>
    <t>El Salvador</t>
  </si>
  <si>
    <t>73.44400024</t>
  </si>
  <si>
    <t>97.94657541</t>
  </si>
  <si>
    <t>0.3151739969</t>
  </si>
  <si>
    <t>1.530987366</t>
  </si>
  <si>
    <t>93.45439508</t>
  </si>
  <si>
    <t>0.7804762049</t>
  </si>
  <si>
    <t>5.765128712</t>
  </si>
  <si>
    <t>99.57087001</t>
  </si>
  <si>
    <t>0.4291299944</t>
  </si>
  <si>
    <t>Kyrgyzstan</t>
  </si>
  <si>
    <t>36.85599899</t>
  </si>
  <si>
    <t>91.69930522</t>
  </si>
  <si>
    <t>1.8656487</t>
  </si>
  <si>
    <t>4.534311965</t>
  </si>
  <si>
    <t>87.258429</t>
  </si>
  <si>
    <t>2.606070485</t>
  </si>
  <si>
    <t>2.954593684</t>
  </si>
  <si>
    <t>7.180906832</t>
  </si>
  <si>
    <t>99.30769231</t>
  </si>
  <si>
    <t>0.6923076923</t>
  </si>
  <si>
    <t>Nicaragua</t>
  </si>
  <si>
    <t>59.01200104</t>
  </si>
  <si>
    <t>81.7087538</t>
  </si>
  <si>
    <t>13.53053114</t>
  </si>
  <si>
    <t>3.254069378</t>
  </si>
  <si>
    <t>59.10744663</t>
  </si>
  <si>
    <t>3.520974285</t>
  </si>
  <si>
    <t>29.78017368</t>
  </si>
  <si>
    <t>7.5914054</t>
  </si>
  <si>
    <t>97.40695661</t>
  </si>
  <si>
    <t>0.1075523143</t>
  </si>
  <si>
    <t>2.244007656</t>
  </si>
  <si>
    <t>0.2414834229</t>
  </si>
  <si>
    <t>Lebanon</t>
  </si>
  <si>
    <t>88.92499542</t>
  </si>
  <si>
    <t>92.6</t>
  </si>
  <si>
    <t>Libya</t>
  </si>
  <si>
    <t>80.69100189</t>
  </si>
  <si>
    <t>99.8915238</t>
  </si>
  <si>
    <t>0.1084762012</t>
  </si>
  <si>
    <t>Bulgaria</t>
  </si>
  <si>
    <t>75.68599701</t>
  </si>
  <si>
    <t>99.01141694</t>
  </si>
  <si>
    <t>0.9885830607</t>
  </si>
  <si>
    <t>97.40128797</t>
  </si>
  <si>
    <t>2.598712031</t>
  </si>
  <si>
    <t>99.5286704</t>
  </si>
  <si>
    <t>0.4713296007</t>
  </si>
  <si>
    <t>Paraguay</t>
  </si>
  <si>
    <t>62.18299484</t>
  </si>
  <si>
    <t>99.59346633</t>
  </si>
  <si>
    <t>0.0000034229177</t>
  </si>
  <si>
    <t>99.11122753</t>
  </si>
  <si>
    <t>0.8887724684</t>
  </si>
  <si>
    <t>99.88674854</t>
  </si>
  <si>
    <t>0.1132514643</t>
  </si>
  <si>
    <t>Lao People's Democratic Republic</t>
  </si>
  <si>
    <t>36.29000092</t>
  </si>
  <si>
    <t>85.21974318</t>
  </si>
  <si>
    <t>10.62886799</t>
  </si>
  <si>
    <t>0.5845310938</t>
  </si>
  <si>
    <t>78.47295942</t>
  </si>
  <si>
    <t>5.598583786</t>
  </si>
  <si>
    <t>15.0109696</t>
  </si>
  <si>
    <t>0.9174871957</t>
  </si>
  <si>
    <t>97.06426222</t>
  </si>
  <si>
    <t>2.935737778</t>
  </si>
  <si>
    <t>China, Hong Kong SAR</t>
  </si>
  <si>
    <t>Sierra Leone</t>
  </si>
  <si>
    <t>42.92300034</t>
  </si>
  <si>
    <t>63.76628562</t>
  </si>
  <si>
    <t>15.5639457;11.64645233</t>
  </si>
  <si>
    <t>52.75270267</t>
  </si>
  <si>
    <t>5.221136889</t>
  </si>
  <si>
    <t>23.14294909</t>
  </si>
  <si>
    <t>18.88321135</t>
  </si>
  <si>
    <t>78.41163766</t>
  </si>
  <si>
    <t>14.07927743</t>
  </si>
  <si>
    <t>5.485735437</t>
  </si>
  <si>
    <t>2.023349475</t>
  </si>
  <si>
    <t>Togo</t>
  </si>
  <si>
    <t>42.79999924</t>
  </si>
  <si>
    <t>68.58372009</t>
  </si>
  <si>
    <t>14.16432245</t>
  </si>
  <si>
    <t>11.18652269</t>
  </si>
  <si>
    <t>52.11755275</t>
  </si>
  <si>
    <t>8.187542019</t>
  </si>
  <si>
    <t>20.7910842</t>
  </si>
  <si>
    <t>18.90382103</t>
  </si>
  <si>
    <t>90.58991001</t>
  </si>
  <si>
    <t>3.229348056</t>
  </si>
  <si>
    <t>5.307990528</t>
  </si>
  <si>
    <t>0.8727514049</t>
  </si>
  <si>
    <t>Switzerland</t>
  </si>
  <si>
    <t>73.91500092</t>
  </si>
  <si>
    <t>100.0000028</t>
  </si>
  <si>
    <t>Israel</t>
  </si>
  <si>
    <t>92.58699799</t>
  </si>
  <si>
    <t>Serbia</t>
  </si>
  <si>
    <t>56.44599915</t>
  </si>
  <si>
    <t>95.29552932</t>
  </si>
  <si>
    <t>0.4437204778</t>
  </si>
  <si>
    <t>0.01655092647</t>
  </si>
  <si>
    <t>95.84497475</t>
  </si>
  <si>
    <t>3.545864028</t>
  </si>
  <si>
    <t>0.5711602866</t>
  </si>
  <si>
    <t>0.03800093141</t>
  </si>
  <si>
    <t>94.87156989</t>
  </si>
  <si>
    <t>4.783037865</t>
  </si>
  <si>
    <t>0.3453922445</t>
  </si>
  <si>
    <t>Papua New Guinea</t>
  </si>
  <si>
    <t>13.34500027</t>
  </si>
  <si>
    <t>45.34401752</t>
  </si>
  <si>
    <t>22.15762495</t>
  </si>
  <si>
    <t>30.36979308</t>
  </si>
  <si>
    <t>39.07134367</t>
  </si>
  <si>
    <t>2.429850293</t>
  </si>
  <si>
    <t>24.43180086</t>
  </si>
  <si>
    <t>34.06700517</t>
  </si>
  <si>
    <t>86.07527164</t>
  </si>
  <si>
    <t>0.1721822608</t>
  </si>
  <si>
    <t>7.390385564</t>
  </si>
  <si>
    <t>6.362160532</t>
  </si>
  <si>
    <t>Austria</t>
  </si>
  <si>
    <t>58.7480011</t>
  </si>
  <si>
    <t>Belarus</t>
  </si>
  <si>
    <t>79.48300171</t>
  </si>
  <si>
    <t>96.53472608</t>
  </si>
  <si>
    <t>0.09315436837</t>
  </si>
  <si>
    <t>98.56412231</t>
  </si>
  <si>
    <t>0.9955971951</t>
  </si>
  <si>
    <t>0.4402804931</t>
  </si>
  <si>
    <t>96.01087362</t>
  </si>
  <si>
    <t>3.985572644</t>
  </si>
  <si>
    <t>0.003553731977</t>
  </si>
  <si>
    <t>Tajikistan</t>
  </si>
  <si>
    <t>27.50599861</t>
  </si>
  <si>
    <t>81.85241502</t>
  </si>
  <si>
    <t>3.421857005</t>
  </si>
  <si>
    <t>12.15736404</t>
  </si>
  <si>
    <t>76.6435992</t>
  </si>
  <si>
    <t>3.207143928</t>
  </si>
  <si>
    <t>4.140706948</t>
  </si>
  <si>
    <t>16.00854992</t>
  </si>
  <si>
    <t>95.58062386</t>
  </si>
  <si>
    <t>0.8848144763</t>
  </si>
  <si>
    <t>1.527268323</t>
  </si>
  <si>
    <t>2.007293339</t>
  </si>
  <si>
    <t>Hungary</t>
  </si>
  <si>
    <t>71.94200134</t>
  </si>
  <si>
    <t>99.99999747</t>
  </si>
  <si>
    <t>0.000002527244192</t>
  </si>
  <si>
    <t>United Arab Emirates</t>
  </si>
  <si>
    <t>87.04799652</t>
  </si>
  <si>
    <t>99.965596</t>
  </si>
  <si>
    <t>0.034404</t>
  </si>
  <si>
    <t>Honduras</t>
  </si>
  <si>
    <t>58.35899734</t>
  </si>
  <si>
    <t>95.68922113</t>
  </si>
  <si>
    <t>3.885158264</t>
  </si>
  <si>
    <t>89.87579955</t>
  </si>
  <si>
    <t>0.8067095079</t>
  </si>
  <si>
    <t>9.317490946</t>
  </si>
  <si>
    <t>99.83728281</t>
  </si>
  <si>
    <t>0.1537015262</t>
  </si>
  <si>
    <t>0.009015663296</t>
  </si>
  <si>
    <t>Sweden</t>
  </si>
  <si>
    <t>87.97699738</t>
  </si>
  <si>
    <t>99.82686763</t>
  </si>
  <si>
    <t>0.1731323735</t>
  </si>
  <si>
    <t>99.71937474</t>
  </si>
  <si>
    <t>0.2806252626</t>
  </si>
  <si>
    <t>99.84155768</t>
  </si>
  <si>
    <t>0.1584423157</t>
  </si>
  <si>
    <t>Azerbaijan</t>
  </si>
  <si>
    <t>56.39700317</t>
  </si>
  <si>
    <t>96.04337613</t>
  </si>
  <si>
    <t>2.913842688</t>
  </si>
  <si>
    <t>90.92579795</t>
  </si>
  <si>
    <t>2.391535671</t>
  </si>
  <si>
    <t>6.682666377</t>
  </si>
  <si>
    <t>Portugal</t>
  </si>
  <si>
    <t>66.30999756</t>
  </si>
  <si>
    <t>99.91199367</t>
  </si>
  <si>
    <t>0.08800633369</t>
  </si>
  <si>
    <t>99.73877609</t>
  </si>
  <si>
    <t>0.2612239122</t>
  </si>
  <si>
    <t>Jordan</t>
  </si>
  <si>
    <t>91.41799927</t>
  </si>
  <si>
    <t>98.94030296</t>
  </si>
  <si>
    <t>0.8536474704</t>
  </si>
  <si>
    <t>0.05983483179</t>
  </si>
  <si>
    <t>97.31147869</t>
  </si>
  <si>
    <t>0.6239465945</t>
  </si>
  <si>
    <t>2.024714716</t>
  </si>
  <si>
    <t>0.03986</t>
  </si>
  <si>
    <t>99.09321259</t>
  </si>
  <si>
    <t>0.1013669408</t>
  </si>
  <si>
    <t>0.7437104707</t>
  </si>
  <si>
    <t>0.06171</t>
  </si>
  <si>
    <t>Greece</t>
  </si>
  <si>
    <t>79.71500397</t>
  </si>
  <si>
    <t>100.0000023</t>
  </si>
  <si>
    <t>Czech Republic</t>
  </si>
  <si>
    <t>74.06100464</t>
  </si>
  <si>
    <t>99.88059167</t>
  </si>
  <si>
    <t>0.1194083325</t>
  </si>
  <si>
    <t>99.8175993</t>
  </si>
  <si>
    <t>0.1824006965</t>
  </si>
  <si>
    <t>99.90265093</t>
  </si>
  <si>
    <t>0.0973490679</t>
  </si>
  <si>
    <t>Dominican Republic</t>
  </si>
  <si>
    <t>82.54000092</t>
  </si>
  <si>
    <t>96.68681192</t>
  </si>
  <si>
    <t>1.269428783</t>
  </si>
  <si>
    <t>1.576720644</t>
  </si>
  <si>
    <t>90.30446437</t>
  </si>
  <si>
    <t>1.385315508</t>
  </si>
  <si>
    <t>1.115118127</t>
  </si>
  <si>
    <t>7.195101991</t>
  </si>
  <si>
    <t>98.03689158</t>
  </si>
  <si>
    <t>0.2727920359</t>
  </si>
  <si>
    <t>1.302073396</t>
  </si>
  <si>
    <t>0.3882429922</t>
  </si>
  <si>
    <t>South Sudan</t>
  </si>
  <si>
    <t>20.1989994</t>
  </si>
  <si>
    <t>40.95092717</t>
  </si>
  <si>
    <t>13.53755519</t>
  </si>
  <si>
    <t>8.084554762</t>
  </si>
  <si>
    <t>33.59362881</t>
  </si>
  <si>
    <t>42.16438068</t>
  </si>
  <si>
    <t>14.11109616</t>
  </si>
  <si>
    <t>10.13089435</t>
  </si>
  <si>
    <t>70.01770445</t>
  </si>
  <si>
    <t>18.71066092</t>
  </si>
  <si>
    <t>11.27163464</t>
  </si>
  <si>
    <t>Cuba</t>
  </si>
  <si>
    <t>77.19400024</t>
  </si>
  <si>
    <t>97.00269616</t>
  </si>
  <si>
    <t>1.252811506</t>
  </si>
  <si>
    <t>0.2731077963</t>
  </si>
  <si>
    <t>94.38665114</t>
  </si>
  <si>
    <t>2.591752445</t>
  </si>
  <si>
    <t>1.905972935</t>
  </si>
  <si>
    <t>1.115623477</t>
  </si>
  <si>
    <t>97.77557664</t>
  </si>
  <si>
    <t>1.1403859</t>
  </si>
  <si>
    <t>1.059840374</t>
  </si>
  <si>
    <t>0.02419708411</t>
  </si>
  <si>
    <t>Haiti</t>
  </si>
  <si>
    <t>57.08799744</t>
  </si>
  <si>
    <t>66.6953084</t>
  </si>
  <si>
    <t>23.49014795</t>
  </si>
  <si>
    <t>42.8457001</t>
  </si>
  <si>
    <t>13.25598695</t>
  </si>
  <si>
    <t>43.89831295</t>
  </si>
  <si>
    <t>84.62262129</t>
  </si>
  <si>
    <t>7.227673879</t>
  </si>
  <si>
    <t>8.149704835</t>
  </si>
  <si>
    <t>Belgium</t>
  </si>
  <si>
    <t>98.07899475</t>
  </si>
  <si>
    <t>99.99999645</t>
  </si>
  <si>
    <t>0.000003554796791</t>
  </si>
  <si>
    <t>Bolivia (Plurinational State of)</t>
  </si>
  <si>
    <t>70.1230011</t>
  </si>
  <si>
    <t>93.39007163</t>
  </si>
  <si>
    <t>1.575010843</t>
  </si>
  <si>
    <t>4.898326997</t>
  </si>
  <si>
    <t>79.93664283</t>
  </si>
  <si>
    <t>0.2447364082</t>
  </si>
  <si>
    <t>3.954133693</t>
  </si>
  <si>
    <t>15.86448707</t>
  </si>
  <si>
    <t>99.12211832</t>
  </si>
  <si>
    <t>0.09051328947</t>
  </si>
  <si>
    <t>0.5613453808</t>
  </si>
  <si>
    <t>0.2260230112</t>
  </si>
  <si>
    <t>Tunisia</t>
  </si>
  <si>
    <t>69.56800079</t>
  </si>
  <si>
    <t>97.54330899</t>
  </si>
  <si>
    <t>0.8253403378</t>
  </si>
  <si>
    <t>93.93623193</t>
  </si>
  <si>
    <t>3.351687357</t>
  </si>
  <si>
    <t>2.71208071</t>
  </si>
  <si>
    <t>99.12119763</t>
  </si>
  <si>
    <t>0.8788023684</t>
  </si>
  <si>
    <t>Burundi</t>
  </si>
  <si>
    <t>13.70800018</t>
  </si>
  <si>
    <t>62.20712225</t>
  </si>
  <si>
    <t>14.75825969</t>
  </si>
  <si>
    <t>3.594924913</t>
  </si>
  <si>
    <t>57.68576527</t>
  </si>
  <si>
    <t>21.25148213</t>
  </si>
  <si>
    <t>16.89675238</t>
  </si>
  <si>
    <t>4.166000219</t>
  </si>
  <si>
    <t>90.66911086</t>
  </si>
  <si>
    <t>8.034462869</t>
  </si>
  <si>
    <t>1.296426269</t>
  </si>
  <si>
    <t>Benin</t>
  </si>
  <si>
    <t>48.4149971</t>
  </si>
  <si>
    <t>65.41412299</t>
  </si>
  <si>
    <t>21.97254088</t>
  </si>
  <si>
    <t>3.295800547</t>
  </si>
  <si>
    <t>58.05226799</t>
  </si>
  <si>
    <t>12.70520504</t>
  </si>
  <si>
    <t>23.97796833</t>
  </si>
  <si>
    <t>5.264558634;73.25800004</t>
  </si>
  <si>
    <t>5.708056353</t>
  </si>
  <si>
    <t>19.83580681</t>
  </si>
  <si>
    <t>1.198136794</t>
  </si>
  <si>
    <t>Rwanda</t>
  </si>
  <si>
    <t>17.43200111</t>
  </si>
  <si>
    <t>60.41450115</t>
  </si>
  <si>
    <t>13.15480415</t>
  </si>
  <si>
    <t>4.109975401</t>
  </si>
  <si>
    <t>55.64246823</t>
  </si>
  <si>
    <t>25.08014133</t>
  </si>
  <si>
    <t>14.77886772</t>
  </si>
  <si>
    <t>4.498522714</t>
  </si>
  <si>
    <t>83.0175993</t>
  </si>
  <si>
    <t>9.250506251</t>
  </si>
  <si>
    <t>5.462303057</t>
  </si>
  <si>
    <t>2.269591394</t>
  </si>
  <si>
    <t>Guinea</t>
  </si>
  <si>
    <t>36.875</t>
  </si>
  <si>
    <t>63.96178874</t>
  </si>
  <si>
    <t>6.296119406</t>
  </si>
  <si>
    <t>8.460500354</t>
  </si>
  <si>
    <t>50.74817899</t>
  </si>
  <si>
    <t>26.14432944</t>
  </si>
  <si>
    <t>9.704719143</t>
  </si>
  <si>
    <t>13.40277243</t>
  </si>
  <si>
    <t>86.58169007</t>
  </si>
  <si>
    <t>12.95724153</t>
  </si>
  <si>
    <t>0.461068398</t>
  </si>
  <si>
    <t>Zimbabwe</t>
  </si>
  <si>
    <t>32.24200058</t>
  </si>
  <si>
    <t>62.66645761</t>
  </si>
  <si>
    <t>16.27785545</t>
  </si>
  <si>
    <t>6.858147242</t>
  </si>
  <si>
    <t>48.28242885</t>
  </si>
  <si>
    <t>18.59098467</t>
  </si>
  <si>
    <t>23.01364655</t>
  </si>
  <si>
    <t>10.11293992</t>
  </si>
  <si>
    <t>92.89512895</t>
  </si>
  <si>
    <t>4.964517757</t>
  </si>
  <si>
    <t>2.122298674</t>
  </si>
  <si>
    <t>0.01805461538</t>
  </si>
  <si>
    <t>Somalia</t>
  </si>
  <si>
    <t>46.14099884</t>
  </si>
  <si>
    <t>56.47697339</t>
  </si>
  <si>
    <t>13.41704303</t>
  </si>
  <si>
    <t>2.401784021</t>
  </si>
  <si>
    <t>37.07586282</t>
  </si>
  <si>
    <t>36.64324958</t>
  </si>
  <si>
    <t>21.82149546</t>
  </si>
  <si>
    <t>4.459392143</t>
  </si>
  <si>
    <t>79.12330574</t>
  </si>
  <si>
    <t>17.26991556</t>
  </si>
  <si>
    <t>3.606778703</t>
  </si>
  <si>
    <t>Chad</t>
  </si>
  <si>
    <t>23.52000046</t>
  </si>
  <si>
    <t>46.18753479</t>
  </si>
  <si>
    <t>31.56245714</t>
  </si>
  <si>
    <t>7.509718784</t>
  </si>
  <si>
    <t>37.57521525</t>
  </si>
  <si>
    <t>14.35396111</t>
  </si>
  <si>
    <t>38.52496761</t>
  </si>
  <si>
    <t>9.545856027</t>
  </si>
  <si>
    <t>74.19222309</t>
  </si>
  <si>
    <t>15.99651381</t>
  </si>
  <si>
    <t>8.922452721</t>
  </si>
  <si>
    <t>0.8888103843</t>
  </si>
  <si>
    <t>Cambodia</t>
  </si>
  <si>
    <t>24.23200035</t>
  </si>
  <si>
    <t>71.21988497</t>
  </si>
  <si>
    <t>5.677218558</t>
  </si>
  <si>
    <t>9.200674434</t>
  </si>
  <si>
    <t>65.06715583</t>
  </si>
  <si>
    <t>15.51772278</t>
  </si>
  <si>
    <t>7.492899307</t>
  </si>
  <si>
    <t>11.92222209</t>
  </si>
  <si>
    <t>90.45807717</t>
  </si>
  <si>
    <t>8.85091472</t>
  </si>
  <si>
    <t>0.6910081144</t>
  </si>
  <si>
    <t>Senegal</t>
  </si>
  <si>
    <t>48.12200165</t>
  </si>
  <si>
    <t>84.90523779</t>
  </si>
  <si>
    <t>12.60781566</t>
  </si>
  <si>
    <t>0.09972904042</t>
  </si>
  <si>
    <t>75.2429282</t>
  </si>
  <si>
    <t>4.052382433</t>
  </si>
  <si>
    <t>20.51245174</t>
  </si>
  <si>
    <t>0.1922376314</t>
  </si>
  <si>
    <t>95.32170094</t>
  </si>
  <si>
    <t>0.5920836567</t>
  </si>
  <si>
    <t>4.086215402</t>
  </si>
  <si>
    <t>Netherlands</t>
  </si>
  <si>
    <t>92.23600006</t>
  </si>
  <si>
    <t>99.99999929</t>
  </si>
  <si>
    <t>0.000000712408621</t>
  </si>
  <si>
    <t>Syrian Arab Republic</t>
  </si>
  <si>
    <t>55.47500229</t>
  </si>
  <si>
    <t>93.92585718</t>
  </si>
  <si>
    <t>0.2004120542</t>
  </si>
  <si>
    <t>92.082745</t>
  </si>
  <si>
    <t>7.917255</t>
  </si>
  <si>
    <t>95.40516436</t>
  </si>
  <si>
    <t>4.233570117</t>
  </si>
  <si>
    <t>0.361265525</t>
  </si>
  <si>
    <t>Ecuador</t>
  </si>
  <si>
    <t>64.16600037</t>
  </si>
  <si>
    <t>95.35976356</t>
  </si>
  <si>
    <t>2.604485389</t>
  </si>
  <si>
    <t>2.032299589</t>
  </si>
  <si>
    <t>87.05074495</t>
  </si>
  <si>
    <t>0.009631811022</t>
  </si>
  <si>
    <t>7.26819549</t>
  </si>
  <si>
    <t>5.671427747</t>
  </si>
  <si>
    <t>Guatemala</t>
  </si>
  <si>
    <t>51.83599854</t>
  </si>
  <si>
    <t>94.00642827</t>
  </si>
  <si>
    <t>3.215911815</t>
  </si>
  <si>
    <t>1.743509404</t>
  </si>
  <si>
    <t>90.1193298</t>
  </si>
  <si>
    <t>1.849169999</t>
  </si>
  <si>
    <t>4.583438691</t>
  </si>
  <si>
    <t>3.448061508</t>
  </si>
  <si>
    <t>97.61816944</t>
  </si>
  <si>
    <t>0.2768660057</t>
  </si>
  <si>
    <t>1.94525887</t>
  </si>
  <si>
    <t>0.1597056849</t>
  </si>
  <si>
    <t>Zambia</t>
  </si>
  <si>
    <t>44.6289978</t>
  </si>
  <si>
    <t>65.41238357</t>
  </si>
  <si>
    <t>21.57684071</t>
  </si>
  <si>
    <t>6.856836706</t>
  </si>
  <si>
    <t>48.22728833</t>
  </si>
  <si>
    <t>8.331703613</t>
  </si>
  <si>
    <t>31.60865444</t>
  </si>
  <si>
    <t>11.83235362</t>
  </si>
  <si>
    <t>86.73385466</t>
  </si>
  <si>
    <t>3.451996194</t>
  </si>
  <si>
    <t>9.130414105</t>
  </si>
  <si>
    <t>0.6837350463</t>
  </si>
  <si>
    <t>Kazakhstan</t>
  </si>
  <si>
    <t>57.67100143</t>
  </si>
  <si>
    <t>95.43497032</t>
  </si>
  <si>
    <t>2.545956934</t>
  </si>
  <si>
    <t>0.07764770471</t>
  </si>
  <si>
    <t>91.93925234</t>
  </si>
  <si>
    <t>1.862616064</t>
  </si>
  <si>
    <t>6.014693049</t>
  </si>
  <si>
    <t>0.1834385438</t>
  </si>
  <si>
    <t>98.00073133</t>
  </si>
  <si>
    <t>1.999268673</t>
  </si>
  <si>
    <t>Chile</t>
  </si>
  <si>
    <t>87.72699738</t>
  </si>
  <si>
    <t>99.99999872</t>
  </si>
  <si>
    <t>0.000001277139333</t>
  </si>
  <si>
    <t>Malawi</t>
  </si>
  <si>
    <t>17.42700005</t>
  </si>
  <si>
    <t>70.04772851</t>
  </si>
  <si>
    <t>5.776304407</t>
  </si>
  <si>
    <t>2.22515211</t>
  </si>
  <si>
    <t>66.58504376</t>
  </si>
  <si>
    <t>24.41415803</t>
  </si>
  <si>
    <t>6.383874146</t>
  </si>
  <si>
    <t>2.616924066</t>
  </si>
  <si>
    <t>86.45469821</t>
  </si>
  <si>
    <t>10.27894825</t>
  </si>
  <si>
    <t>2.897503996</t>
  </si>
  <si>
    <t>0.3688495446</t>
  </si>
  <si>
    <t>Romania</t>
  </si>
  <si>
    <t>54.19400024</t>
  </si>
  <si>
    <t>Mali</t>
  </si>
  <si>
    <t>43.90900421</t>
  </si>
  <si>
    <t>82.54729103</t>
  </si>
  <si>
    <t>12.24697135</t>
  </si>
  <si>
    <t>1.35100309</t>
  </si>
  <si>
    <t>72.08089521</t>
  </si>
  <si>
    <t>3.78241223</t>
  </si>
  <si>
    <t>21.72810084</t>
  </si>
  <si>
    <t>2.408591717</t>
  </si>
  <si>
    <t>95.91745475</t>
  </si>
  <si>
    <t>3.947121723</t>
  </si>
  <si>
    <t>0.1354235314</t>
  </si>
  <si>
    <t>Burkina Faso</t>
  </si>
  <si>
    <t>30.60700035</t>
  </si>
  <si>
    <t>47.21485446</t>
  </si>
  <si>
    <t>21.15863263</t>
  </si>
  <si>
    <t>0.3535095024</t>
  </si>
  <si>
    <t>32.7182589</t>
  </si>
  <si>
    <t>38.62690254</t>
  </si>
  <si>
    <t>28.3404457</t>
  </si>
  <si>
    <t>0.3143928626</t>
  </si>
  <si>
    <t>80.08191854</t>
  </si>
  <si>
    <t>14.60004919</t>
  </si>
  <si>
    <t>4.875836487</t>
  </si>
  <si>
    <t>0.4421957805</t>
  </si>
  <si>
    <t>Sri Lanka</t>
  </si>
  <si>
    <t>18.71299934</t>
  </si>
  <si>
    <t>92.22757937</t>
  </si>
  <si>
    <t>5.348927064</t>
  </si>
  <si>
    <t>1.82803542</t>
  </si>
  <si>
    <t>90.5374357</t>
  </si>
  <si>
    <t>0.7032099038</t>
  </si>
  <si>
    <t>6.510488612</t>
  </si>
  <si>
    <t>2.248865782</t>
  </si>
  <si>
    <t>99.56938019</t>
  </si>
  <si>
    <t>0.1273977901</t>
  </si>
  <si>
    <t>0.3032220202</t>
  </si>
  <si>
    <t>Niger</t>
  </si>
  <si>
    <t>16.62599945</t>
  </si>
  <si>
    <t>46.91179747</t>
  </si>
  <si>
    <t>27.02751244</t>
  </si>
  <si>
    <t>4.406791392</t>
  </si>
  <si>
    <t>39.15415932</t>
  </si>
  <si>
    <t>23.98774039</t>
  </si>
  <si>
    <t>31.99150648</t>
  </si>
  <si>
    <t>4.866593813</t>
  </si>
  <si>
    <t>85.81383976</t>
  </si>
  <si>
    <t>9.950440829</t>
  </si>
  <si>
    <t>2.13468778</t>
  </si>
  <si>
    <t>2.101031634</t>
  </si>
  <si>
    <t>Australia</t>
  </si>
  <si>
    <t>86.24099731</t>
  </si>
  <si>
    <t>99.96981182</t>
  </si>
  <si>
    <t>0.03018817873</t>
  </si>
  <si>
    <t>99.965</t>
  </si>
  <si>
    <t>0.035</t>
  </si>
  <si>
    <t>Democratic People's Republic of Korea</t>
  </si>
  <si>
    <t>62.38100052</t>
  </si>
  <si>
    <t>93.84384303</t>
  </si>
  <si>
    <t>5.20969278</t>
  </si>
  <si>
    <t>0.2633330058</t>
  </si>
  <si>
    <t>88.75362488</t>
  </si>
  <si>
    <t>0.3564402606</t>
  </si>
  <si>
    <t>10.18993486</t>
  </si>
  <si>
    <t>0.7</t>
  </si>
  <si>
    <t>96.91351044</t>
  </si>
  <si>
    <t>0.8801428799</t>
  </si>
  <si>
    <t>2.206346677</t>
  </si>
  <si>
    <t>Côte d'Ivoire</t>
  </si>
  <si>
    <t>51.70599747</t>
  </si>
  <si>
    <t>70.90907039</t>
  </si>
  <si>
    <t>14.19244161</t>
  </si>
  <si>
    <t>5.963066293</t>
  </si>
  <si>
    <t>55.72244686</t>
  </si>
  <si>
    <t>13.34316829</t>
  </si>
  <si>
    <t>23.17527956</t>
  </si>
  <si>
    <t>7.759105289</t>
  </si>
  <si>
    <t>85.09355329</t>
  </si>
  <si>
    <t>4.818535156</t>
  </si>
  <si>
    <t>5.80236656</t>
  </si>
  <si>
    <t>4.285544994</t>
  </si>
  <si>
    <t>Cameroon</t>
  </si>
  <si>
    <t>57.56000519</t>
  </si>
  <si>
    <t>65.72041818</t>
  </si>
  <si>
    <t>15.00100626</t>
  </si>
  <si>
    <t>6.403826927</t>
  </si>
  <si>
    <t>43.52758112</t>
  </si>
  <si>
    <t>12.67259943</t>
  </si>
  <si>
    <t>30.12380645</t>
  </si>
  <si>
    <t>13.676013</t>
  </si>
  <si>
    <t>82.08358486</t>
  </si>
  <si>
    <t>13.02379677</t>
  </si>
  <si>
    <t>3.850701351</t>
  </si>
  <si>
    <t>1.041917019</t>
  </si>
  <si>
    <t>Madagascar</t>
  </si>
  <si>
    <t>38.5340004</t>
  </si>
  <si>
    <t>53.38588491</t>
  </si>
  <si>
    <t>32.31145967</t>
  </si>
  <si>
    <t>11.58468244</t>
  </si>
  <si>
    <t>36.40642028</t>
  </si>
  <si>
    <t>1.601776163</t>
  </si>
  <si>
    <t>43.95389345</t>
  </si>
  <si>
    <t>18.03791011</t>
  </si>
  <si>
    <t>80.47000694</t>
  </si>
  <si>
    <t>4.498430298</t>
  </si>
  <si>
    <t>13.74049434</t>
  </si>
  <si>
    <t>1.291068417</t>
  </si>
  <si>
    <t>Venezuela (Bolivarian Republic of)</t>
  </si>
  <si>
    <t>88.27899933</t>
  </si>
  <si>
    <t>93.68580071</t>
  </si>
  <si>
    <t>5.843416373</t>
  </si>
  <si>
    <t>Nepal</t>
  </si>
  <si>
    <t>20.57600021</t>
  </si>
  <si>
    <t>90.07454179</t>
  </si>
  <si>
    <t>4.699081176</t>
  </si>
  <si>
    <t>1.246551314</t>
  </si>
  <si>
    <t>90.20327165</t>
  </si>
  <si>
    <t>4.207348246</t>
  </si>
  <si>
    <t>4.269023951</t>
  </si>
  <si>
    <t>1.320356149</t>
  </si>
  <si>
    <t>89.57763316</t>
  </si>
  <si>
    <t>3.101581411</t>
  </si>
  <si>
    <t>6.359123168</t>
  </si>
  <si>
    <t>0.9616622585</t>
  </si>
  <si>
    <t>Yemen</t>
  </si>
  <si>
    <t>37.90799713</t>
  </si>
  <si>
    <t>60.66356984</t>
  </si>
  <si>
    <t>7.77785276</t>
  </si>
  <si>
    <t>2.595835594</t>
  </si>
  <si>
    <t>50.68133437</t>
  </si>
  <si>
    <t>33.53021373</t>
  </si>
  <si>
    <t>11.60782393</t>
  </si>
  <si>
    <t>4.180627978</t>
  </si>
  <si>
    <t>77.01412934</t>
  </si>
  <si>
    <t>21.48137937</t>
  </si>
  <si>
    <t>1.504491286</t>
  </si>
  <si>
    <t>Ghana</t>
  </si>
  <si>
    <t>57.34899902</t>
  </si>
  <si>
    <t>85.79099665</t>
  </si>
  <si>
    <t>2.812216176</t>
  </si>
  <si>
    <t>4.810725058</t>
  </si>
  <si>
    <t>71.89275005</t>
  </si>
  <si>
    <t>11.93454827</t>
  </si>
  <si>
    <t>4.999356483</t>
  </si>
  <si>
    <t>11.17334519</t>
  </si>
  <si>
    <t>96.12725952</t>
  </si>
  <si>
    <t>2.608342455</t>
  </si>
  <si>
    <t>1.185613803</t>
  </si>
  <si>
    <t>0.07878421819</t>
  </si>
  <si>
    <t>Mozambique</t>
  </si>
  <si>
    <t>37.0739975</t>
  </si>
  <si>
    <t>63.36942563</t>
  </si>
  <si>
    <t>16.72614511</t>
  </si>
  <si>
    <t>9.928644759</t>
  </si>
  <si>
    <t>48.8666865</t>
  </si>
  <si>
    <t>12.64088359</t>
  </si>
  <si>
    <t>23.6862564</t>
  </si>
  <si>
    <t>14.80617352</t>
  </si>
  <si>
    <t>87.98504792</t>
  </si>
  <si>
    <t>5.452291027</t>
  </si>
  <si>
    <t>4.912684644</t>
  </si>
  <si>
    <t>1.649976404</t>
  </si>
  <si>
    <t>Malaysia</t>
  </si>
  <si>
    <t>77.15999603</t>
  </si>
  <si>
    <t>97.09990707</t>
  </si>
  <si>
    <t>2.545553241</t>
  </si>
  <si>
    <t>90.19744812</t>
  </si>
  <si>
    <t>0.5444513971</t>
  </si>
  <si>
    <t>9.258100478</t>
  </si>
  <si>
    <t>99.14309591</t>
  </si>
  <si>
    <t>0.2983242605</t>
  </si>
  <si>
    <t>0.4685798319</t>
  </si>
  <si>
    <t>0.09</t>
  </si>
  <si>
    <t>Angola</t>
  </si>
  <si>
    <t>66.82499695</t>
  </si>
  <si>
    <t>57.16773762</t>
  </si>
  <si>
    <t>19.45082534</t>
  </si>
  <si>
    <t>14.09408712</t>
  </si>
  <si>
    <t>27.80822661</t>
  </si>
  <si>
    <t>8.740488389</t>
  </si>
  <si>
    <t>22.93315258</t>
  </si>
  <si>
    <t>40.51813242</t>
  </si>
  <si>
    <t>71.74314862</t>
  </si>
  <si>
    <t>9.558837489</t>
  </si>
  <si>
    <t>17.72203473</t>
  </si>
  <si>
    <t>0.9759791629</t>
  </si>
  <si>
    <t>Peru</t>
  </si>
  <si>
    <t>78.2970047</t>
  </si>
  <si>
    <t>93.13936621</t>
  </si>
  <si>
    <t>4.150468349</t>
  </si>
  <si>
    <t>1.860606087</t>
  </si>
  <si>
    <t>80.79943849</t>
  </si>
  <si>
    <t>1.596943771</t>
  </si>
  <si>
    <t>9.612691163</t>
  </si>
  <si>
    <t>7.990926578</t>
  </si>
  <si>
    <t>96.55984408</t>
  </si>
  <si>
    <t>0.6423932356</t>
  </si>
  <si>
    <t>2.636408693</t>
  </si>
  <si>
    <t>0.1613539953</t>
  </si>
  <si>
    <t>Uzbekistan</t>
  </si>
  <si>
    <t>50.41599655</t>
  </si>
  <si>
    <t>97.82878485</t>
  </si>
  <si>
    <t>0.22384422</t>
  </si>
  <si>
    <t>1.947370925</t>
  </si>
  <si>
    <t>96.07258236</t>
  </si>
  <si>
    <t>3.927417637</t>
  </si>
  <si>
    <t>99.55600556</t>
  </si>
  <si>
    <t>0.4439944434</t>
  </si>
  <si>
    <t>Saudi Arabia</t>
  </si>
  <si>
    <t>84.28700256</t>
  </si>
  <si>
    <t>Morocco</t>
  </si>
  <si>
    <t>63.53199768</t>
  </si>
  <si>
    <t>90.40234468</t>
  </si>
  <si>
    <t>2.8776725</t>
  </si>
  <si>
    <t>1.456433219</t>
  </si>
  <si>
    <t>77.34612896</t>
  </si>
  <si>
    <t>12.03707816</t>
  </si>
  <si>
    <t>6.623063373</t>
  </si>
  <si>
    <t>3.993729502</t>
  </si>
  <si>
    <t>97.89674601</t>
  </si>
  <si>
    <t>1.375477117</t>
  </si>
  <si>
    <t>0.7277768759</t>
  </si>
  <si>
    <t>Canada</t>
  </si>
  <si>
    <t>81.56200409</t>
  </si>
  <si>
    <t>99.22181066</t>
  </si>
  <si>
    <t>0.7781893369</t>
  </si>
  <si>
    <t>99.0604959</t>
  </si>
  <si>
    <t>0.9395041006</t>
  </si>
  <si>
    <t>99.25827766</t>
  </si>
  <si>
    <t>0.7417223371</t>
  </si>
  <si>
    <t>Poland</t>
  </si>
  <si>
    <t>60.04300308</t>
  </si>
  <si>
    <t>99.96659155</t>
  </si>
  <si>
    <t>0.03340844529</t>
  </si>
  <si>
    <t>99.94435484</t>
  </si>
  <si>
    <t>0.05564516129</t>
  </si>
  <si>
    <t>Afghanistan</t>
  </si>
  <si>
    <t>26.02599907</t>
  </si>
  <si>
    <t>75.09141325</t>
  </si>
  <si>
    <t>14.56026288</t>
  </si>
  <si>
    <t>8.900782174</t>
  </si>
  <si>
    <t>66.32791521</t>
  </si>
  <si>
    <t>1.956824851</t>
  </si>
  <si>
    <t>19.68294895</t>
  </si>
  <si>
    <t>12.03231098</t>
  </si>
  <si>
    <t>Iraq</t>
  </si>
  <si>
    <t>70.89299774</t>
  </si>
  <si>
    <t>98.35990325</t>
  </si>
  <si>
    <t>0.000002427900808</t>
  </si>
  <si>
    <t>0.7479339713</t>
  </si>
  <si>
    <t>94.83114678</t>
  </si>
  <si>
    <t>2.599251339</t>
  </si>
  <si>
    <t>2.569601877</t>
  </si>
  <si>
    <t>99.80873103</t>
  </si>
  <si>
    <t>0.19126897</t>
  </si>
  <si>
    <t>Ukraine</t>
  </si>
  <si>
    <t>69.60800171</t>
  </si>
  <si>
    <t>93.92828195</t>
  </si>
  <si>
    <t>0.07590450129</t>
  </si>
  <si>
    <t>0.323834836</t>
  </si>
  <si>
    <t>91.27727011</t>
  </si>
  <si>
    <t>8.14845779</t>
  </si>
  <si>
    <t>0.1090456533</t>
  </si>
  <si>
    <t>0.4652264446</t>
  </si>
  <si>
    <t>Sudan</t>
  </si>
  <si>
    <t>35.25299835</t>
  </si>
  <si>
    <t>60.4486756</t>
  </si>
  <si>
    <t>3.650217875</t>
  </si>
  <si>
    <t>9.231086774</t>
  </si>
  <si>
    <t>53.19902707</t>
  </si>
  <si>
    <t>27.45764451</t>
  </si>
  <si>
    <t>5.637660008</t>
  </si>
  <si>
    <t>13.70566842</t>
  </si>
  <si>
    <t>73.76365956</t>
  </si>
  <si>
    <t>25.22343986</t>
  </si>
  <si>
    <t>1.012900581</t>
  </si>
  <si>
    <t>Algeria</t>
  </si>
  <si>
    <t>73.73300171</t>
  </si>
  <si>
    <t>94.43732996</t>
  </si>
  <si>
    <t>0.5318366638</t>
  </si>
  <si>
    <t>0.04495253272</t>
  </si>
  <si>
    <t>90.03753791</t>
  </si>
  <si>
    <t>8.79672214</t>
  </si>
  <si>
    <t>0.9946030281</t>
  </si>
  <si>
    <t>0.1711369258</t>
  </si>
  <si>
    <t>96.00473586</t>
  </si>
  <si>
    <t>3.628288591</t>
  </si>
  <si>
    <t>0.3669755478</t>
  </si>
  <si>
    <t>Argentina</t>
  </si>
  <si>
    <t>92.11100006</t>
  </si>
  <si>
    <t>99.79042065</t>
  </si>
  <si>
    <t>0.2095793501</t>
  </si>
  <si>
    <t>Uganda</t>
  </si>
  <si>
    <t>24.95400047</t>
  </si>
  <si>
    <t>55.85504921</t>
  </si>
  <si>
    <t>12.16590654</t>
  </si>
  <si>
    <t>4.696184252</t>
  </si>
  <si>
    <t>48.23118958</t>
  </si>
  <si>
    <t>31.78469426</t>
  </si>
  <si>
    <t>14.07616061</t>
  </si>
  <si>
    <t>5.907955546</t>
  </si>
  <si>
    <t>78.7828518</t>
  </si>
  <si>
    <t>13.74416783</t>
  </si>
  <si>
    <t>6.421044133</t>
  </si>
  <si>
    <t>1.051936238</t>
  </si>
  <si>
    <t>Spain</t>
  </si>
  <si>
    <t>80.80999756</t>
  </si>
  <si>
    <t>99.92561261</t>
  </si>
  <si>
    <t>0.07438739142</t>
  </si>
  <si>
    <t>99.90794521</t>
  </si>
  <si>
    <t>0.09205479452</t>
  </si>
  <si>
    <t>Colombia</t>
  </si>
  <si>
    <t>81.42499542</t>
  </si>
  <si>
    <t>97.49165711</t>
  </si>
  <si>
    <t>0.9536162228</t>
  </si>
  <si>
    <t>1.368574512</t>
  </si>
  <si>
    <t>86.76707282</t>
  </si>
  <si>
    <t>0.7312282016</t>
  </si>
  <si>
    <t>5.13386897</t>
  </si>
  <si>
    <t>7.367830005</t>
  </si>
  <si>
    <t>99.9381928</t>
  </si>
  <si>
    <t>0.0618072</t>
  </si>
  <si>
    <t>Republic of Korea</t>
  </si>
  <si>
    <t>81.41400146</t>
  </si>
  <si>
    <t>99.93139665</t>
  </si>
  <si>
    <t>0.06860335296</t>
  </si>
  <si>
    <t>Kenya</t>
  </si>
  <si>
    <t>27.99499893</t>
  </si>
  <si>
    <t>61.63289158</t>
  </si>
  <si>
    <t>9.780087524</t>
  </si>
  <si>
    <t>19.04515084</t>
  </si>
  <si>
    <t>51.77997893</t>
  </si>
  <si>
    <t>11.56900419</t>
  </si>
  <si>
    <t>12.51911322</t>
  </si>
  <si>
    <t>24.13190366</t>
  </si>
  <si>
    <t>86.97523145</t>
  </si>
  <si>
    <t>4.327944725</t>
  </si>
  <si>
    <t>2.73514263</t>
  </si>
  <si>
    <t>5.961681193</t>
  </si>
  <si>
    <t>Myanmar</t>
  </si>
  <si>
    <t>31.14100075</t>
  </si>
  <si>
    <t>83.71819191</t>
  </si>
  <si>
    <t>5.10942478</t>
  </si>
  <si>
    <t>9.576946362</t>
  </si>
  <si>
    <t>78.42256469</t>
  </si>
  <si>
    <t>2.316962142</t>
  </si>
  <si>
    <t>6.592393694</t>
  </si>
  <si>
    <t>12.66807947</t>
  </si>
  <si>
    <t>95.42788606</t>
  </si>
  <si>
    <t>1.830283006</t>
  </si>
  <si>
    <t>2.741830931</t>
  </si>
  <si>
    <t>South Africa</t>
  </si>
  <si>
    <t>67.35400391</t>
  </si>
  <si>
    <t>93.88505744</t>
  </si>
  <si>
    <t>1.410816657</t>
  </si>
  <si>
    <t>1.931389712</t>
  </si>
  <si>
    <t>83.32948118</t>
  </si>
  <si>
    <t>6.977359359</t>
  </si>
  <si>
    <t>3.776999287</t>
  </si>
  <si>
    <t>5.916160173</t>
  </si>
  <si>
    <t>99.00126484</t>
  </si>
  <si>
    <t>0.734785403</t>
  </si>
  <si>
    <t>0.2639497547</t>
  </si>
  <si>
    <t>United Republic of Tanzania</t>
  </si>
  <si>
    <t>35.22700119</t>
  </si>
  <si>
    <t>60.71679759</t>
  </si>
  <si>
    <t>14.51775136</t>
  </si>
  <si>
    <t>13.47538038</t>
  </si>
  <si>
    <t>45.44696534</t>
  </si>
  <si>
    <t>13.98368881</t>
  </si>
  <si>
    <t>21.21996133</t>
  </si>
  <si>
    <t>19.34938452</t>
  </si>
  <si>
    <t>88.7939249</t>
  </si>
  <si>
    <t>6.337231166</t>
  </si>
  <si>
    <t>2.194178786</t>
  </si>
  <si>
    <t>2.674665152</t>
  </si>
  <si>
    <t>Italy</t>
  </si>
  <si>
    <t>71.03899384</t>
  </si>
  <si>
    <t>99.91703407</t>
  </si>
  <si>
    <t>0.08296592591</t>
  </si>
  <si>
    <t>France</t>
  </si>
  <si>
    <t>80.97499847</t>
  </si>
  <si>
    <t>99.9999985</t>
  </si>
  <si>
    <t>0.00000149610841</t>
  </si>
  <si>
    <t>United Kingdom</t>
  </si>
  <si>
    <t>83.90299988</t>
  </si>
  <si>
    <t>99.99999856</t>
  </si>
  <si>
    <t>0.00000143853282</t>
  </si>
  <si>
    <t>Thailand</t>
  </si>
  <si>
    <t>51.43000031</t>
  </si>
  <si>
    <t>Germany</t>
  </si>
  <si>
    <t>77.45300293</t>
  </si>
  <si>
    <t>Iran (Islamic Republic of)</t>
  </si>
  <si>
    <t>75.87400055</t>
  </si>
  <si>
    <t>97.48263633</t>
  </si>
  <si>
    <t>0.5137973631</t>
  </si>
  <si>
    <t>0.06525508185</t>
  </si>
  <si>
    <t>93.82873538</t>
  </si>
  <si>
    <t>4.297948765</t>
  </si>
  <si>
    <t>1.602839669</t>
  </si>
  <si>
    <t>0.2704761905</t>
  </si>
  <si>
    <t>98.64448672</t>
  </si>
  <si>
    <t>1.188006671</t>
  </si>
  <si>
    <t>0.1675066077</t>
  </si>
  <si>
    <t>Turkey</t>
  </si>
  <si>
    <t>76.10500336</t>
  </si>
  <si>
    <t>97.01426916</t>
  </si>
  <si>
    <t>0.7376749545</t>
  </si>
  <si>
    <t>0.2249778093</t>
  </si>
  <si>
    <t>96.02516977</t>
  </si>
  <si>
    <t>2.684574639</t>
  </si>
  <si>
    <t>0.7882555911</t>
  </si>
  <si>
    <t>0.502</t>
  </si>
  <si>
    <t>97.32481783</t>
  </si>
  <si>
    <t>1.815385203</t>
  </si>
  <si>
    <t>0.7217969634</t>
  </si>
  <si>
    <t>0.138</t>
  </si>
  <si>
    <t>Democratic Republic of the Congo</t>
  </si>
  <si>
    <t>45.63800049</t>
  </si>
  <si>
    <t>45.95212696</t>
  </si>
  <si>
    <t>32.54231607</t>
  </si>
  <si>
    <t>8.064332495</t>
  </si>
  <si>
    <t>21.98279234</t>
  </si>
  <si>
    <t>12.68294146</t>
  </si>
  <si>
    <t>51.21598167</t>
  </si>
  <si>
    <t>14.11828453</t>
  </si>
  <si>
    <t>74.50335478</t>
  </si>
  <si>
    <t>14.34445818</t>
  </si>
  <si>
    <t>10.29905862</t>
  </si>
  <si>
    <t>0.8531284131</t>
  </si>
  <si>
    <t>Viet Nam</t>
  </si>
  <si>
    <t>37.34000015</t>
  </si>
  <si>
    <t>96.88435687</t>
  </si>
  <si>
    <t>3.115643126</t>
  </si>
  <si>
    <t>95.51453844</t>
  </si>
  <si>
    <t>4.48546156</t>
  </si>
  <si>
    <t>99.18304001</t>
  </si>
  <si>
    <t>0.816959987</t>
  </si>
  <si>
    <t>Egypt</t>
  </si>
  <si>
    <t>42.78300095</t>
  </si>
  <si>
    <t>99.44017596</t>
  </si>
  <si>
    <t>0.3222149265</t>
  </si>
  <si>
    <t>99.33283515</t>
  </si>
  <si>
    <t>0.3359418224</t>
  </si>
  <si>
    <t>0.3312230319</t>
  </si>
  <si>
    <t>99.5837311</t>
  </si>
  <si>
    <t>0.1061012067</t>
  </si>
  <si>
    <t>0.3101676943</t>
  </si>
  <si>
    <t>Philippines</t>
  </si>
  <si>
    <t>47.40799713</t>
  </si>
  <si>
    <t>94.10903456</t>
  </si>
  <si>
    <t>3.034479307</t>
  </si>
  <si>
    <t>91.06193322</t>
  </si>
  <si>
    <t>3.959520428</t>
  </si>
  <si>
    <t>4.978546347</t>
  </si>
  <si>
    <t>97.4893325</t>
  </si>
  <si>
    <t>1.632836465</t>
  </si>
  <si>
    <t>0.877831036</t>
  </si>
  <si>
    <t>Ethiopia</t>
  </si>
  <si>
    <t>21.69499969</t>
  </si>
  <si>
    <t>49.61557274</t>
  </si>
  <si>
    <t>18.63506013</t>
  </si>
  <si>
    <t>5.008647486</t>
  </si>
  <si>
    <t>40.03013919</t>
  </si>
  <si>
    <t>30.18668334</t>
  </si>
  <si>
    <t>23.49561327</t>
  </si>
  <si>
    <t>6.287564203</t>
  </si>
  <si>
    <t>84.21282816</t>
  </si>
  <si>
    <t>14.30300858</t>
  </si>
  <si>
    <t>1.091582355</t>
  </si>
  <si>
    <t>0.392580896</t>
  </si>
  <si>
    <t>Japan</t>
  </si>
  <si>
    <t>91.78199768</t>
  </si>
  <si>
    <t>99.07891245</t>
  </si>
  <si>
    <t>0.9210875467</t>
  </si>
  <si>
    <t>Mexico</t>
  </si>
  <si>
    <t>80.73099518</t>
  </si>
  <si>
    <t>99.67956828</t>
  </si>
  <si>
    <t>0.3204317169</t>
  </si>
  <si>
    <t>98.33706893</t>
  </si>
  <si>
    <t>1.662931067</t>
  </si>
  <si>
    <t>Russian Federation</t>
  </si>
  <si>
    <t>74.75400543</t>
  </si>
  <si>
    <t>96.99254807</t>
  </si>
  <si>
    <t>2.38545555</t>
  </si>
  <si>
    <t>91.54410196</t>
  </si>
  <si>
    <t>1.583163513</t>
  </si>
  <si>
    <t>6.872734531</t>
  </si>
  <si>
    <t>98.83259961</t>
  </si>
  <si>
    <t>0.2973899687</t>
  </si>
  <si>
    <t>0.6700104236</t>
  </si>
  <si>
    <t>0.2</t>
  </si>
  <si>
    <t>Bangladesh</t>
  </si>
  <si>
    <t>38.17700195</t>
  </si>
  <si>
    <t>97.69796025</t>
  </si>
  <si>
    <t>0.4626557002</t>
  </si>
  <si>
    <t>0.6829581735</t>
  </si>
  <si>
    <t>97.88023776</t>
  </si>
  <si>
    <t>0.8581049804</t>
  </si>
  <si>
    <t>0.3164802414</t>
  </si>
  <si>
    <t>0.9451770151</t>
  </si>
  <si>
    <t>97.40277797</t>
  </si>
  <si>
    <t>1.639520121</t>
  </si>
  <si>
    <t>0.6993752147</t>
  </si>
  <si>
    <t>0.2583266934</t>
  </si>
  <si>
    <t>Nigeria</t>
  </si>
  <si>
    <t>51.95800018</t>
  </si>
  <si>
    <t>77.60905338</t>
  </si>
  <si>
    <t>11.79691148</t>
  </si>
  <si>
    <t>5.614635794</t>
  </si>
  <si>
    <t>61.65821003</t>
  </si>
  <si>
    <t>7.128924583</t>
  </si>
  <si>
    <t>20.92487535</t>
  </si>
  <si>
    <t>10.28799004</t>
  </si>
  <si>
    <t>92.35770519</t>
  </si>
  <si>
    <t>2.99188065</t>
  </si>
  <si>
    <t>3.356908786</t>
  </si>
  <si>
    <t>1.29350537</t>
  </si>
  <si>
    <t>Brazil</t>
  </si>
  <si>
    <t>87.07299805</t>
  </si>
  <si>
    <t>99.32085299</t>
  </si>
  <si>
    <t>0.5525980099</t>
  </si>
  <si>
    <t>95.94525953</t>
  </si>
  <si>
    <t>0.9789509154</t>
  </si>
  <si>
    <t>3.075789551</t>
  </si>
  <si>
    <t>99.82200131</t>
  </si>
  <si>
    <t>0.1779986949</t>
  </si>
  <si>
    <t>Pakistan</t>
  </si>
  <si>
    <t>37.16500092</t>
  </si>
  <si>
    <t>90.14896508</t>
  </si>
  <si>
    <t>4.413307574</t>
  </si>
  <si>
    <t>1.61544782</t>
  </si>
  <si>
    <t>88.59986076</t>
  </si>
  <si>
    <t>3.852278117</t>
  </si>
  <si>
    <t>5.174596509</t>
  </si>
  <si>
    <t>2.373264617</t>
  </si>
  <si>
    <t>92.76804985</t>
  </si>
  <si>
    <t>3.771561162</t>
  </si>
  <si>
    <t>3.126184571</t>
  </si>
  <si>
    <t>0.3342044223</t>
  </si>
  <si>
    <t>Indonesia</t>
  </si>
  <si>
    <t>56.64099884</t>
  </si>
  <si>
    <t>92.41534961</t>
  </si>
  <si>
    <t>5.553871666</t>
  </si>
  <si>
    <t>1.175304087</t>
  </si>
  <si>
    <t>85.66796238</t>
  </si>
  <si>
    <t>1.17809123</t>
  </si>
  <si>
    <t>10.61491462</t>
  </si>
  <si>
    <t>2.539031772</t>
  </si>
  <si>
    <t>97.58051207</t>
  </si>
  <si>
    <t>0.6085098345</t>
  </si>
  <si>
    <t>1.679615139</t>
  </si>
  <si>
    <t>0.1313629588</t>
  </si>
  <si>
    <t>United States of America</t>
  </si>
  <si>
    <t>82.66400146</t>
  </si>
  <si>
    <t>99.88352668</t>
  </si>
  <si>
    <t>0.1164733182</t>
  </si>
  <si>
    <t>99.67078734</t>
  </si>
  <si>
    <t>0.3292126628</t>
  </si>
  <si>
    <t>99.92814447</t>
  </si>
  <si>
    <t>0.0718555296</t>
  </si>
  <si>
    <t>India</t>
  </si>
  <si>
    <t>34.9260025</t>
  </si>
  <si>
    <t>90.48952503</t>
  </si>
  <si>
    <t>3.963153945</t>
  </si>
  <si>
    <t>0.5637184626</t>
  </si>
  <si>
    <t>88.78250313</t>
  </si>
  <si>
    <t>5.902210054</t>
  </si>
  <si>
    <t>4.57637573</t>
  </si>
  <si>
    <t>0.7389110856</t>
  </si>
  <si>
    <t>93.6700363</t>
  </si>
  <si>
    <t>3.272056027</t>
  </si>
  <si>
    <t>2.820607523</t>
  </si>
  <si>
    <t>0.2373001538</t>
  </si>
  <si>
    <t>China</t>
  </si>
  <si>
    <t>61.71308899</t>
  </si>
  <si>
    <t>94.26111059</t>
  </si>
  <si>
    <t>4.725451938</t>
  </si>
  <si>
    <t>0.1987161441</t>
  </si>
  <si>
    <t>89.66123351</t>
  </si>
  <si>
    <t>1.832679086</t>
  </si>
  <si>
    <t>8.506087409</t>
  </si>
  <si>
    <t>97.11488267</t>
  </si>
  <si>
    <t>0.1831784927</t>
  </si>
  <si>
    <t>2.37993884</t>
  </si>
  <si>
    <t>0.322</t>
  </si>
  <si>
    <t>name</t>
  </si>
  <si>
    <t>income_group</t>
  </si>
  <si>
    <t>pop_n</t>
  </si>
  <si>
    <t>pop_u</t>
  </si>
  <si>
    <t>wat_bas_n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</si>
  <si>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</si>
  <si>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</si>
  <si>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</si>
  <si>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</si>
  <si>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</si>
  <si>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</si>
  <si>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</si>
  <si>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</si>
  <si>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</si>
  <si>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</si>
  <si>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</si>
  <si>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value_cnta</t>
  </si>
  <si>
    <t>determine the total national population size using the feature pop_n. Add the estimated world population (7.821 billion) to this sheet as wel</t>
  </si>
  <si>
    <t xml:space="preserve">total population in 1k format = </t>
  </si>
  <si>
    <t>pop_u_val</t>
  </si>
  <si>
    <t>pop_u_val_%</t>
  </si>
  <si>
    <t>pop_u_percent</t>
  </si>
  <si>
    <t>pop_n_k</t>
  </si>
  <si>
    <t>determine the total urban population from our dataset using the newly created pop_u_val feature.</t>
  </si>
  <si>
    <t>total population =</t>
  </si>
  <si>
    <t>percentage population in the urban area</t>
  </si>
  <si>
    <t>percentage difference to determine the difference between the number of people included in our dataset and the estimated number of people in the world in 2020</t>
  </si>
  <si>
    <t xml:space="preserve">urban population total = </t>
  </si>
  <si>
    <t xml:space="preserve">total population =  </t>
  </si>
  <si>
    <t xml:space="preserve">population difference = </t>
  </si>
  <si>
    <t>percentage difference =</t>
  </si>
  <si>
    <t>total population</t>
  </si>
  <si>
    <t>urban poulation</t>
  </si>
  <si>
    <t>rural population</t>
  </si>
  <si>
    <t>percentage difference</t>
  </si>
  <si>
    <t>urban percentage</t>
  </si>
  <si>
    <t>rural percentage</t>
  </si>
  <si>
    <t>pop u difference</t>
  </si>
  <si>
    <t>Sum of total population</t>
  </si>
  <si>
    <t>Sum of urban poulation</t>
  </si>
  <si>
    <t>Sum of rural population</t>
  </si>
  <si>
    <t>Sum of urban percentage</t>
  </si>
  <si>
    <t>Sum of rural percentage</t>
  </si>
  <si>
    <t>Sum of pop u difference</t>
  </si>
  <si>
    <t>Sum of percentage difference</t>
  </si>
  <si>
    <t>pop_r</t>
  </si>
  <si>
    <t>pop_n (m)</t>
  </si>
  <si>
    <t>Round</t>
  </si>
  <si>
    <t>Roundup</t>
  </si>
  <si>
    <t>pop_n_m</t>
  </si>
  <si>
    <t>determine the maximum of each of the four national water access columns, i.e., _wat_bas_n_, _wat_lim_n_, _wat_unimp_n_, and _wat_sur_n</t>
  </si>
  <si>
    <t xml:space="preserve">max of wat_bas_n = </t>
  </si>
  <si>
    <t xml:space="preserve">max of wat_lim_n = </t>
  </si>
  <si>
    <t xml:space="preserve">max of wat_sur_n = </t>
  </si>
  <si>
    <t xml:space="preserve">max of wat_unimp_n = </t>
  </si>
  <si>
    <t>wat_lim_n2</t>
  </si>
  <si>
    <t>wat_unimp_n2</t>
  </si>
  <si>
    <t>wat_sur_n2</t>
  </si>
  <si>
    <t xml:space="preserve">min of wat_bas_n = </t>
  </si>
  <si>
    <t xml:space="preserve">min of wat_lim_n = </t>
  </si>
  <si>
    <t xml:space="preserve">min of wat_unimp_n = </t>
  </si>
  <si>
    <t xml:space="preserve">min of wat_sur_n = </t>
  </si>
  <si>
    <t>Calculate the mean, median, and mode  of the national service</t>
  </si>
  <si>
    <t xml:space="preserve">mean </t>
  </si>
  <si>
    <t>median</t>
  </si>
  <si>
    <t>mode</t>
  </si>
  <si>
    <t>INR</t>
  </si>
  <si>
    <t>variance</t>
  </si>
  <si>
    <t>STD</t>
  </si>
  <si>
    <t>1qtr</t>
  </si>
  <si>
    <t>2qtr</t>
  </si>
  <si>
    <t>3qtr</t>
  </si>
  <si>
    <t>range</t>
  </si>
  <si>
    <t xml:space="preserve">create a bar chart. Since we want to investigate how population size affects access levels, population size (pop_n) will be our independent variable (the cause), and our four access features </t>
  </si>
  <si>
    <t>(_wat_bas_n_, _wat_lim_n_, _wat_unimp_n_, and _wat_sur_n_) will be the dependent variables (the effects)</t>
  </si>
  <si>
    <t>Row Labels</t>
  </si>
  <si>
    <t>(blank)</t>
  </si>
  <si>
    <t>Grand Total</t>
  </si>
  <si>
    <t>Count of wat_bas_n</t>
  </si>
  <si>
    <t>Sum of wat_sur_n2</t>
  </si>
  <si>
    <t>Sum of wat_unimp_n2</t>
  </si>
  <si>
    <t>Sum of wat_lim_n2</t>
  </si>
  <si>
    <t>create a pivot table. Because we want to group by income group, we will set our rows to the income group feature, income_group. 02.</t>
  </si>
  <si>
    <t>Our values are the sum of the population size (pop_n), the average urban share (pop_u), and the average national share of basic (_wat_bas_n_),</t>
  </si>
  <si>
    <t xml:space="preserve"> limited (_wat_lim_n_), unimproved (_wat_unimp_n_), and surface (_wat_sur_n_)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</si>
</sst>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E+00"/>
    <numFmt numFmtId="169" formatCode="0.0"/>
    <numFmt numFmtId="170" formatCode="0.000"/>
    <numFmt numFmtId="172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/>
    <xf numFmtId="4" fontId="0" fillId="0" borderId="0" xfId="0" applyNumberFormat="1"/>
    <xf numFmtId="164" fontId="1" fillId="0" borderId="0" xfId="0" applyNumberFormat="1" applyFont="1"/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9" fontId="0" fillId="0" borderId="0" xfId="0" applyNumberFormat="1"/>
    <xf numFmtId="170" fontId="0" fillId="0" borderId="0" xfId="0" applyNumberFormat="1"/>
    <xf numFmtId="172" fontId="0" fillId="0" borderId="0" xfId="0" applyNumberFormat="1"/>
    <xf numFmtId="0" fontId="1" fillId="0" borderId="0" xfId="0" applyFont="1" applyAlignment="1"/>
    <xf numFmtId="1" fontId="1" fillId="0" borderId="0" xfId="0" applyNumberFormat="1" applyFont="1"/>
    <xf numFmtId="172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70" formatCode="0.000"/>
      <alignment horizontal="right" vertical="bottom" textRotation="0" wrapText="0" indent="0" justifyLastLine="0" shrinkToFit="0" readingOrder="0"/>
    </dxf>
    <dxf>
      <numFmt numFmtId="172" formatCode="0.00000"/>
      <alignment horizontal="right" vertical="bottom" textRotation="0" wrapText="0" indent="0" justifyLastLine="0" shrinkToFit="0" readingOrder="0"/>
    </dxf>
    <dxf>
      <numFmt numFmtId="2" formatCode="0.00"/>
    </dxf>
    <dxf>
      <numFmt numFmtId="172" formatCode="0.00000"/>
    </dxf>
    <dxf>
      <numFmt numFmtId="170" formatCode="0.000"/>
    </dxf>
    <dxf>
      <numFmt numFmtId="172" formatCode="0.000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14" formatCode="0.00%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1</xdr:rowOff>
    </xdr:from>
    <xdr:to>
      <xdr:col>9</xdr:col>
      <xdr:colOff>876300</xdr:colOff>
      <xdr:row>97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3FEA6-60F5-9B68-51E6-1406A901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11001"/>
          <a:ext cx="11249025" cy="67246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123824</xdr:colOff>
      <xdr:row>11</xdr:row>
      <xdr:rowOff>142875</xdr:rowOff>
    </xdr:from>
    <xdr:to>
      <xdr:col>8</xdr:col>
      <xdr:colOff>276224</xdr:colOff>
      <xdr:row>28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9FFF8D-E139-4E5C-A6FD-7947B1731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2238375"/>
          <a:ext cx="9344025" cy="31051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101</xdr:row>
      <xdr:rowOff>0</xdr:rowOff>
    </xdr:from>
    <xdr:to>
      <xdr:col>4</xdr:col>
      <xdr:colOff>352425</xdr:colOff>
      <xdr:row>118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4A8287-3AAC-9107-8383-7FC63E84D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9240500"/>
          <a:ext cx="4972049" cy="33051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Ndegwa" refreshedDate="46054.976945486109" createdVersion="8" refreshedVersion="8" minRefreshableVersion="3" recordCount="1" xr:uid="{15E0823D-B1F2-4B86-A260-4E93B98487C1}">
  <cacheSource type="worksheet">
    <worksheetSource ref="A40:H41" sheet="Global 2020 Report"/>
  </cacheSource>
  <cacheFields count="7">
    <cacheField name="total population" numFmtId="3">
      <sharedItems containsSemiMixedTypes="0" containsString="0" containsNumber="1" minValue="7786713707.7420797" maxValue="7786713707.7420797"/>
    </cacheField>
    <cacheField name="urban poulation" numFmtId="4">
      <sharedItems containsSemiMixedTypes="0" containsString="0" containsNumber="1" minValue="4375331316.904953" maxValue="4375331316.904953"/>
    </cacheField>
    <cacheField name="rural population" numFmtId="4">
      <sharedItems containsSemiMixedTypes="0" containsString="0" containsNumber="1" minValue="3411382390.8371267" maxValue="3411382390.8371267"/>
    </cacheField>
    <cacheField name="urban percentage" numFmtId="0">
      <sharedItems containsSemiMixedTypes="0" containsString="0" containsNumber="1" minValue="0.56189703142093195" maxValue="0.56189703142093195"/>
    </cacheField>
    <cacheField name="rural percentage" numFmtId="0">
      <sharedItems containsSemiMixedTypes="0" containsString="0" containsNumber="1" minValue="0.43810296857906805" maxValue="0.43810296857906805"/>
    </cacheField>
    <cacheField name="pop u difference" numFmtId="4">
      <sharedItems containsSemiMixedTypes="0" containsString="0" containsNumber="1" minValue="3411382390.8371267" maxValue="3411382390.8371267"/>
    </cacheField>
    <cacheField name="percentage difference" numFmtId="0">
      <sharedItems containsSemiMixedTypes="0" containsString="0" containsNumber="1" minValue="56.098828509905665" maxValue="56.098828509905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055.684468981482" createdVersion="8" refreshedVersion="8" minRefreshableVersion="3" recordCount="214" xr:uid="{B474BEA2-4CBD-4204-A9B3-F9BAF27F3FD1}">
  <cacheSource type="worksheet">
    <worksheetSource ref="A1:AC1048576" sheet="Estimates-on-the-use-of-water-("/>
  </cacheSource>
  <cacheFields count="29">
    <cacheField name="name" numFmtId="0">
      <sharedItems containsBlank="1"/>
    </cacheField>
    <cacheField name="income_group" numFmtId="0">
      <sharedItems containsBlank="1" count="7">
        <s v="NAN"/>
        <s v="High income"/>
        <s v="Upper middle income"/>
        <s v="Upper middle income;59.19400024"/>
        <s v="Lower middle income"/>
        <s v="Low income"/>
        <m/>
      </sharedItems>
    </cacheField>
    <cacheField name="pop_n" numFmtId="0">
      <sharedItems containsString="0" containsBlank="1" containsNumber="1" minValue="1.3500000240000001" maxValue="1463140.5"/>
    </cacheField>
    <cacheField name="pop_n_k" numFmtId="0">
      <sharedItems containsString="0" containsBlank="1" containsNumber="1" minValue="1350.0000240000002" maxValue="1463140500"/>
    </cacheField>
    <cacheField name="pop_n (m)" numFmtId="0">
      <sharedItems containsString="0" containsBlank="1" containsNumber="1" minValue="1.350000024E-3" maxValue="1463.1405"/>
    </cacheField>
    <cacheField name="pop_n_m" numFmtId="0">
      <sharedItems containsString="0" containsBlank="1" containsNumber="1" minValue="1350.0000239999999" maxValue="1463140500"/>
    </cacheField>
    <cacheField name="Round" numFmtId="0">
      <sharedItems containsString="0" containsBlank="1" containsNumber="1" minValue="1E-3" maxValue="1463.1410000000001"/>
    </cacheField>
    <cacheField name="Roundup" numFmtId="0">
      <sharedItems containsString="0" containsBlank="1" containsNumber="1" minValue="2E-3" maxValue="1463.1410000000001"/>
    </cacheField>
    <cacheField name="pop_u" numFmtId="0">
      <sharedItems containsBlank="1" containsMixedTypes="1" containsNumber="1" minValue="66.652000430000001" maxValue="75.495002749999998"/>
    </cacheField>
    <cacheField name="pop_u_percent" numFmtId="10">
      <sharedItems containsString="0" containsBlank="1" containsNumber="1" minValue="0" maxValue="1"/>
    </cacheField>
    <cacheField name="pop_u_val" numFmtId="2">
      <sharedItems containsString="0" containsBlank="1" containsNumber="1" minValue="0" maxValue="902949198.81373096"/>
    </cacheField>
    <cacheField name="pop_u_val_%" numFmtId="0">
      <sharedItems containsString="0" containsBlank="1" containsNumber="1" minValue="0" maxValue="902949.19881373097"/>
    </cacheField>
    <cacheField name="pop_r" numFmtId="0">
      <sharedItems containsString="0" containsBlank="1" containsNumber="1" minValue="0" maxValue="100"/>
    </cacheField>
    <cacheField name="wat_bas_n" numFmtId="0">
      <sharedItems containsBlank="1" containsMixedTypes="1" containsNumber="1" minValue="0" maxValue="99.707676649999996" count="190">
        <n v="99.707676649999996"/>
        <s v="97.01087618"/>
        <s v="95.3089274"/>
        <s v="98.07748262"/>
        <n v="91.4"/>
        <s v="99.1"/>
        <s v="100"/>
        <s v="99.14328736"/>
        <s v="99.97161022"/>
        <s v="99.6575455"/>
        <s v="99.86438356"/>
        <s v="99.99927139"/>
        <s v="99.77377166"/>
        <s v="100.0000017"/>
        <s v="11.387979"/>
        <s v="99.90314002"/>
        <s v="100.0000037"/>
        <s v="99.075"/>
        <s v="98.71826738"/>
        <s v="98.73108083"/>
        <s v="77.97092085"/>
        <s v="99.6952"/>
        <s v="96.88784457"/>
        <s v="91.83772455"/>
        <s v="78.22645516"/>
        <s v="96.37117971"/>
        <s v="99.30532057"/>
        <s v="98.51445042"/>
        <s v="93.78221635"/>
        <s v="91.23119075"/>
        <s v="99.99999721"/>
        <s v="99.84197078"/>
        <s v="98.40195463"/>
        <s v="99.80312604"/>
        <s v="99.9000368"/>
        <s v="100.0000004"/>
        <s v="99.5444386"/>
        <s v="7.904150846"/>
        <s v="97.98963167"/>
        <s v="99.87993254"/>
        <s v="98.85691652"/>
        <s v="67.30102554"/>
        <s v="97.31322263"/>
        <s v="95.55480685"/>
        <s v="94.30106524"/>
        <s v="76.04992021"/>
        <s v="70.75307095"/>
        <s v="99.76517318"/>
        <s v="99.8662547"/>
        <s v="85.4956012"/>
        <s v="99.59078178"/>
        <s v="98.87517077"/>
        <s v="98.78260115"/>
        <s v="59.01691221"/>
        <s v="99.5"/>
        <s v="97.74281579"/>
        <s v="72.17603927"/>
        <s v="85.3419306"/>
        <s v="92.21356307"/>
        <s v="80.94040714"/>
        <s v="84.27003628"/>
        <s v="98.01334724"/>
        <s v="95.06803883"/>
        <s v="99.56810194"/>
        <s v="91.0299445"/>
        <s v="99.97118069"/>
        <s v="85.49562527"/>
        <s v="96.11389762"/>
        <s v="99.49575756"/>
        <s v="97.3481397"/>
        <s v="90.56996224"/>
        <n v="0"/>
        <s v="94.37254436"/>
        <s v="71.68104923"/>
        <s v="100.0000013"/>
        <s v="37.20240205"/>
        <s v="97.39970651"/>
        <s v="75.26179159"/>
        <s v="99.81053693"/>
        <s v="97.88039722"/>
        <s v="92.16802469"/>
        <s v="99.9999955"/>
        <s v="99.78769858"/>
        <s v="73.78451158"/>
        <s v="100.0000033"/>
        <s v="100.0000011"/>
        <s v="97.94657541"/>
        <s v="91.69930522"/>
        <s v="81.7087538"/>
        <s v="92.6"/>
        <s v="99.8915238"/>
        <s v="99.01141694"/>
        <s v="99.59346633"/>
        <s v="85.21974318"/>
        <s v="63.76628562"/>
        <s v="68.58372009"/>
        <s v="100.0000028"/>
        <s v="95.29552932"/>
        <s v="45.34401752"/>
        <s v="96.53472608"/>
        <s v="81.85241502"/>
        <s v="99.99999747"/>
        <s v="99.965596"/>
        <s v="95.68922113"/>
        <s v="99.82686763"/>
        <s v="96.04337613"/>
        <s v="99.91199367"/>
        <s v="98.94030296"/>
        <s v="100.0000023"/>
        <s v="99.88059167"/>
        <s v="96.68681192"/>
        <s v="40.95092717"/>
        <s v="97.00269616"/>
        <s v="66.6953084"/>
        <s v="99.99999645"/>
        <s v="93.39007163"/>
        <s v="97.54330899"/>
        <s v="62.20712225"/>
        <s v="65.41412299"/>
        <s v="60.41450115"/>
        <s v="63.96178874"/>
        <s v="62.66645761"/>
        <s v="56.47697339"/>
        <s v="46.18753479"/>
        <s v="71.21988497"/>
        <s v="84.90523779"/>
        <s v="99.99999929"/>
        <s v="93.92585718"/>
        <s v="95.35976356"/>
        <s v="94.00642827"/>
        <s v="65.41238357"/>
        <s v="95.43497032"/>
        <s v="99.99999872"/>
        <s v="70.04772851"/>
        <s v="82.54729103"/>
        <s v="47.21485446"/>
        <s v="92.22757937"/>
        <s v="46.91179747"/>
        <s v="99.96981182"/>
        <s v="93.84384303"/>
        <s v="70.90907039"/>
        <s v="65.72041818"/>
        <s v="53.38588491"/>
        <s v="93.68580071"/>
        <s v="90.07454179"/>
        <s v="60.66356984"/>
        <s v="85.79099665"/>
        <s v="63.36942563"/>
        <s v="97.09990707"/>
        <s v="57.16773762"/>
        <s v="93.13936621"/>
        <s v="97.82878485"/>
        <s v="90.40234468"/>
        <s v="99.22181066"/>
        <s v="99.96659155"/>
        <s v="75.09141325"/>
        <s v="98.35990325"/>
        <s v="93.92828195"/>
        <s v="60.4486756"/>
        <s v="94.43732996"/>
        <s v="55.85504921"/>
        <s v="99.92561261"/>
        <s v="97.49165711"/>
        <s v="99.93139665"/>
        <s v="61.63289158"/>
        <s v="83.71819191"/>
        <s v="93.88505744"/>
        <s v="60.71679759"/>
        <s v="99.91703407"/>
        <s v="99.9999985"/>
        <s v="99.99999856"/>
        <s v="97.48263633"/>
        <s v="97.01426916"/>
        <s v="45.95212696"/>
        <s v="96.88435687"/>
        <s v="99.44017596"/>
        <s v="94.10903456"/>
        <s v="49.61557274"/>
        <s v="99.07891245"/>
        <s v="99.67956828"/>
        <s v="96.99254807"/>
        <s v="97.69796025"/>
        <s v="77.60905338"/>
        <s v="99.32085299"/>
        <s v="90.14896508"/>
        <s v="92.41534961"/>
        <s v="99.88352668"/>
        <s v="90.48952503"/>
        <s v="94.26111059"/>
        <m/>
      </sharedItems>
    </cacheField>
    <cacheField name="wat_lim_n2" numFmtId="0">
      <sharedItems containsString="0" containsBlank="1" containsNumber="1" minValue="0" maxValue="37.43" count="113">
        <n v="0"/>
        <n v="0.04"/>
        <n v="0.88"/>
        <n v="4.08"/>
        <n v="1.82"/>
        <n v="6.52"/>
        <n v="20.239999999999998"/>
        <n v="0.27"/>
        <n v="1.06"/>
        <n v="1.25"/>
        <n v="0.05"/>
        <n v="3.21"/>
        <n v="1.07"/>
        <n v="0.55000000000000004"/>
        <n v="5.8"/>
        <n v="2.46"/>
        <n v="1.21"/>
        <n v="14.76"/>
        <n v="9.51"/>
        <n v="1.89"/>
        <n v="1.1200000000000001"/>
        <n v="0.68"/>
        <n v="14.03"/>
        <n v="1.63"/>
        <n v="10.41"/>
        <n v="7.74"/>
        <n v="4.72"/>
        <n v="8.6"/>
        <n v="7.09"/>
        <n v="1.88"/>
        <n v="5.37"/>
        <n v="2.15"/>
        <n v="3.82"/>
        <n v="0.5"/>
        <n v="1.52"/>
        <n v="1.87"/>
        <n v="13.48"/>
        <n v="25.68"/>
        <n v="8.6999999999999993"/>
        <n v="0.19"/>
        <n v="1.03"/>
        <n v="7.54"/>
        <n v="0.21"/>
        <n v="10.46"/>
        <n v="1.9"/>
        <n v="1.51"/>
        <n v="7.4"/>
        <n v="0.41"/>
        <n v="3.57"/>
        <n v="9.02"/>
        <n v="6.07"/>
        <n v="4.24"/>
        <n v="2.13"/>
        <n v="3.37"/>
        <n v="2.57"/>
        <n v="0.43"/>
        <n v="1.04"/>
        <n v="0.15"/>
        <n v="0.47"/>
        <n v="37.43"/>
        <n v="1.47"/>
        <n v="9.81"/>
        <n v="0.14000000000000001"/>
        <n v="19.440000000000001"/>
        <n v="9.32"/>
        <n v="22.32"/>
        <n v="21.28"/>
        <n v="14.2"/>
        <n v="27.7"/>
        <n v="14.74"/>
        <n v="13.9"/>
        <n v="2.39"/>
        <n v="5.87"/>
        <n v="6.15"/>
        <n v="1.94"/>
        <n v="21.95"/>
        <n v="3.85"/>
        <n v="31.27"/>
        <n v="0.6"/>
        <n v="21.65"/>
        <n v="8.94"/>
        <n v="12.87"/>
        <n v="2.72"/>
        <n v="3.98"/>
        <n v="28.96"/>
        <n v="6.59"/>
        <n v="9.98"/>
        <n v="0.35"/>
        <n v="9.2899999999999991"/>
        <n v="0.85"/>
        <n v="5.26"/>
        <n v="1.45"/>
        <n v="0.89"/>
        <n v="5.67"/>
        <n v="26.67"/>
        <n v="4.99"/>
        <n v="27.28"/>
        <n v="9.5399999999999991"/>
        <n v="1.6"/>
        <n v="2.77"/>
        <n v="11.29"/>
        <n v="2.02"/>
        <n v="13.44"/>
        <n v="0.24"/>
        <n v="2.86"/>
        <n v="26.74"/>
        <n v="0.62"/>
        <n v="1.1599999999999999"/>
        <n v="4.9800000000000004"/>
        <n v="0.13"/>
        <n v="0.86"/>
        <n v="0.81"/>
        <m/>
      </sharedItems>
    </cacheField>
    <cacheField name="wat_unimp_n" numFmtId="0">
      <sharedItems containsBlank="1" containsMixedTypes="1" containsNumber="1" containsInteger="1" minValue="0" maxValue="0"/>
    </cacheField>
    <cacheField name="wat_unimp_n2" numFmtId="0">
      <sharedItems containsString="0" containsBlank="1" containsNumber="1" minValue="0" maxValue="33.54" count="143">
        <n v="0.28999999999999998"/>
        <n v="2.99"/>
        <n v="4.6900000000000004"/>
        <n v="1.92"/>
        <n v="8.6"/>
        <n v="0.9"/>
        <n v="0"/>
        <n v="0.86"/>
        <n v="0.03"/>
        <n v="0.34"/>
        <n v="0.14000000000000001"/>
        <n v="0.23"/>
        <n v="0.1"/>
        <n v="0.93"/>
        <n v="1.28"/>
        <n v="0.39"/>
        <n v="17.95"/>
        <n v="0.3"/>
        <n v="1.3"/>
        <n v="1.42"/>
        <n v="0.44"/>
        <n v="3.63"/>
        <n v="0.69"/>
        <n v="1.22"/>
        <n v="6.22"/>
        <n v="0.16"/>
        <n v="0.35"/>
        <n v="0.2"/>
        <n v="0.41"/>
        <n v="0.12"/>
        <n v="0.38"/>
        <n v="0.59"/>
        <n v="21.27"/>
        <n v="0.18"/>
        <n v="1.1399999999999999"/>
        <n v="3.32"/>
        <n v="7.02"/>
        <n v="9.84"/>
        <n v="0.13"/>
        <n v="8.36"/>
        <n v="0.54"/>
        <n v="26.63"/>
        <n v="0.5"/>
        <n v="0.56999999999999995"/>
        <n v="12.22"/>
        <n v="6.92"/>
        <n v="1.73"/>
        <n v="10.35"/>
        <n v="3.74"/>
        <n v="1.99"/>
        <n v="3.05"/>
        <n v="0.43"/>
        <n v="1.86"/>
        <n v="6.63"/>
        <n v="0.06"/>
        <n v="2.63"/>
        <n v="7.91"/>
        <n v="2.2599999999999998"/>
        <n v="14.82"/>
        <n v="33.54"/>
        <n v="2.6"/>
        <n v="3.49"/>
        <n v="1.0900000000000001"/>
        <n v="0.26"/>
        <n v="9.56"/>
        <n v="0.32"/>
        <n v="1.87"/>
        <n v="13.53"/>
        <n v="0.11"/>
        <n v="0.99"/>
        <n v="10.63"/>
        <n v="14.16"/>
        <n v="22.16"/>
        <n v="0.09"/>
        <n v="3.42"/>
        <n v="3.89"/>
        <n v="0.17"/>
        <n v="2.91"/>
        <n v="0.85"/>
        <n v="1.27"/>
        <n v="13.54"/>
        <n v="1.25"/>
        <n v="23.49"/>
        <n v="1.58"/>
        <n v="0.83"/>
        <n v="14.76"/>
        <n v="21.97"/>
        <n v="13.15"/>
        <n v="6.3"/>
        <n v="16.28"/>
        <n v="13.42"/>
        <n v="31.56"/>
        <n v="5.68"/>
        <n v="12.61"/>
        <n v="3.22"/>
        <n v="21.58"/>
        <n v="2.5499999999999998"/>
        <n v="5.78"/>
        <n v="12.25"/>
        <n v="21.16"/>
        <n v="5.35"/>
        <n v="27.03"/>
        <n v="5.21"/>
        <n v="14.19"/>
        <n v="15"/>
        <n v="32.31"/>
        <n v="5.84"/>
        <n v="4.7"/>
        <n v="7.78"/>
        <n v="2.81"/>
        <n v="16.73"/>
        <n v="19.45"/>
        <n v="4.1500000000000004"/>
        <n v="0.22"/>
        <n v="2.88"/>
        <n v="0.78"/>
        <n v="14.56"/>
        <n v="0.08"/>
        <n v="3.65"/>
        <n v="0.53"/>
        <n v="12.17"/>
        <n v="7.0000000000000007E-2"/>
        <n v="0.95"/>
        <n v="9.7799999999999994"/>
        <n v="5.1100000000000003"/>
        <n v="1.41"/>
        <n v="14.52"/>
        <n v="0.51"/>
        <n v="0.74"/>
        <n v="32.54"/>
        <n v="3.12"/>
        <n v="3.03"/>
        <n v="18.64"/>
        <n v="0.92"/>
        <n v="2.39"/>
        <n v="0.46"/>
        <n v="11.8"/>
        <n v="0.55000000000000004"/>
        <n v="4.41"/>
        <n v="5.55"/>
        <n v="3.96"/>
        <n v="4.7300000000000004"/>
        <m/>
      </sharedItems>
    </cacheField>
    <cacheField name="wat_sur_n" numFmtId="0">
      <sharedItems containsBlank="1" containsMixedTypes="1" containsNumber="1" containsInteger="1" minValue="0" maxValue="0"/>
    </cacheField>
    <cacheField name="wat_sur_n2" numFmtId="0">
      <sharedItems containsString="0" containsBlank="1" containsNumber="1" minValue="0" maxValue="94.43" count="87">
        <n v="0"/>
        <n v="94.43"/>
        <n v="0.22"/>
        <n v="1.0900000000000001"/>
        <n v="7.71"/>
        <n v="80.11"/>
        <n v="0.56000000000000005"/>
        <n v="0.01"/>
        <n v="5.64"/>
        <n v="0.05"/>
        <n v="2.1"/>
        <n v="2.38"/>
        <n v="2.1800000000000002"/>
        <n v="9.9"/>
        <n v="4.26"/>
        <n v="0.32"/>
        <n v="5.2"/>
        <n v="1.33"/>
        <n v="0.11"/>
        <n v="4.9000000000000004"/>
        <n v="1.74"/>
        <n v="5.72"/>
        <n v="0.02"/>
        <n v="1.49"/>
        <n v="3.58"/>
        <n v="12.55"/>
        <n v="0.03"/>
        <n v="6.2"/>
        <n v="1.53"/>
        <n v="4.53"/>
        <n v="3.25"/>
        <n v="0.57999999999999996"/>
        <n v="52.75"/>
        <n v="11.19"/>
        <n v="30.37"/>
        <n v="12.16"/>
        <n v="0.06"/>
        <n v="1.58"/>
        <n v="8.08"/>
        <n v="0.27"/>
        <n v="3.59"/>
        <n v="3.3"/>
        <n v="4.1100000000000003"/>
        <n v="8.4600000000000009"/>
        <n v="6.86"/>
        <n v="2.4"/>
        <n v="7.51"/>
        <n v="9.1999999999999993"/>
        <n v="0.1"/>
        <n v="2.0299999999999998"/>
        <n v="0.08"/>
        <n v="2.23"/>
        <n v="1.35"/>
        <n v="0.35"/>
        <n v="1.83"/>
        <n v="4.41"/>
        <n v="0.26"/>
        <n v="5.96"/>
        <n v="6.4"/>
        <n v="11.58"/>
        <n v="1.25"/>
        <n v="2.6"/>
        <n v="4.8099999999999996"/>
        <n v="9.93"/>
        <n v="14.09"/>
        <n v="1.86"/>
        <n v="1.95"/>
        <n v="1.46"/>
        <n v="8.9"/>
        <n v="0.75"/>
        <n v="9.23"/>
        <n v="0.04"/>
        <n v="4.7"/>
        <n v="1.37"/>
        <n v="19.05"/>
        <n v="9.58"/>
        <n v="1.93"/>
        <n v="13.48"/>
        <n v="7.0000000000000007E-2"/>
        <n v="8.06"/>
        <n v="5.01"/>
        <n v="0.68"/>
        <n v="5.61"/>
        <n v="1.62"/>
        <n v="1.18"/>
        <n v="0.2"/>
        <m/>
      </sharedItems>
    </cacheField>
    <cacheField name="wat_bas_r" numFmtId="0">
      <sharedItems containsBlank="1" containsMixedTypes="1" containsNumber="1" containsInteger="1" minValue="0" maxValue="0"/>
    </cacheField>
    <cacheField name="wat_lim_r" numFmtId="0">
      <sharedItems containsBlank="1" containsMixedTypes="1" containsNumber="1" containsInteger="1" minValue="0" maxValue="0"/>
    </cacheField>
    <cacheField name="wat_unimp_r" numFmtId="0">
      <sharedItems containsBlank="1" containsMixedTypes="1" containsNumber="1" containsInteger="1" minValue="0" maxValue="0"/>
    </cacheField>
    <cacheField name="wat_sur_r" numFmtId="0">
      <sharedItems containsBlank="1"/>
    </cacheField>
    <cacheField name="wat_bas_u" numFmtId="0">
      <sharedItems containsBlank="1"/>
    </cacheField>
    <cacheField name="wat_lim_u" numFmtId="0">
      <sharedItems containsBlank="1"/>
    </cacheField>
    <cacheField name="wat_unimp_u" numFmtId="0">
      <sharedItems containsBlank="1"/>
    </cacheField>
    <cacheField name="wat_sur_u" numFmtId="0">
      <sharedItems containsBlank="1"/>
    </cacheField>
    <cacheField name="value_cnta" numFmtId="0">
      <sharedItems containsString="0" containsBlank="1" containsNumber="1" containsInteger="1" minValue="27" maxValue="27"/>
    </cacheField>
    <cacheField name="value_cnt" numFmtId="0">
      <sharedItems containsString="0" containsBlank="1" containsNumber="1" containsInteger="1" minValue="13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7786713707.7420797"/>
    <n v="4375331316.904953"/>
    <n v="3411382390.8371267"/>
    <n v="0.56189703142093195"/>
    <n v="0.43810296857906805"/>
    <n v="3411382390.8371267"/>
    <n v="56.0988285099056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s v="Tokelau"/>
    <x v="0"/>
    <n v="1.3500000240000001"/>
    <n v="1350.0000240000002"/>
    <n v="1.350000024E-3"/>
    <n v="1350.0000239999999"/>
    <n v="1E-3"/>
    <n v="2E-3"/>
    <s v="0"/>
    <n v="0"/>
    <n v="0"/>
    <n v="0"/>
    <n v="100"/>
    <x v="0"/>
    <x v="0"/>
    <s v="0.2923233459"/>
    <x v="0"/>
    <s v="0"/>
    <x v="0"/>
    <s v="99.70767665"/>
    <s v="0"/>
    <s v="0.2923233459"/>
    <s v="0"/>
    <s v="NAN"/>
    <s v="NAN"/>
    <s v="NAN"/>
    <s v="NAN"/>
    <n v="27"/>
    <n v="14"/>
  </r>
  <r>
    <s v="Niue"/>
    <x v="0"/>
    <n v="1.618000031"/>
    <n v="1618.000031"/>
    <n v="1.618000031E-3"/>
    <n v="1618.000031"/>
    <n v="2E-3"/>
    <n v="2E-3"/>
    <s v="46.20200348"/>
    <n v="0.46202003480000003"/>
    <n v="747.54843062902114"/>
    <n v="0.7475484306290211"/>
    <n v="53.797996519999998"/>
    <x v="1"/>
    <x v="0"/>
    <s v="2.989123822"/>
    <x v="1"/>
    <s v="0"/>
    <x v="0"/>
    <n v="0"/>
    <n v="0"/>
    <n v="0"/>
    <s v="NAN"/>
    <s v="NAN"/>
    <s v="NAN"/>
    <s v="NAN"/>
    <s v="NAN"/>
    <n v="27"/>
    <n v="16"/>
  </r>
  <r>
    <s v="Falkland Islands (Malvinas)"/>
    <x v="0"/>
    <n v="3.4830000399999999"/>
    <n v="3483.0000399999999"/>
    <n v="3.4830000399999998E-3"/>
    <n v="3483.0000399999999"/>
    <n v="3.0000000000000001E-3"/>
    <n v="4.0000000000000001E-3"/>
    <s v="78.50799561"/>
    <n v="0.78507995609999992"/>
    <n v="2734.4335184994979"/>
    <n v="2.7344335184994977"/>
    <n v="21.492004390000005"/>
    <x v="2"/>
    <x v="0"/>
    <s v="4.691072596"/>
    <x v="2"/>
    <s v="0"/>
    <x v="0"/>
    <s v="78.17294282"/>
    <s v="0"/>
    <s v="21.82705718"/>
    <s v="0"/>
    <s v="100"/>
    <s v="0"/>
    <s v="0"/>
    <s v="0"/>
    <n v="27"/>
    <n v="13"/>
  </r>
  <r>
    <s v="Montserrat"/>
    <x v="0"/>
    <n v="4.9990000720000003"/>
    <n v="4999.0000720000007"/>
    <n v="4.9990000720000006E-3"/>
    <n v="4999.0000720000007"/>
    <n v="5.0000000000000001E-3"/>
    <n v="5.0000000000000001E-3"/>
    <s v="9.114999771"/>
    <n v="9.1149997710000014E-2"/>
    <n v="455.65884511508995"/>
    <n v="0.45565884511508992"/>
    <n v="90.885000228999999"/>
    <x v="3"/>
    <x v="0"/>
    <s v="1.922517378"/>
    <x v="3"/>
    <s v="0"/>
    <x v="0"/>
    <n v="0"/>
    <n v="0"/>
    <n v="0"/>
    <s v="NAN"/>
    <s v="NAN"/>
    <s v="NAN"/>
    <s v="NAN"/>
    <s v="NAN"/>
    <n v="27"/>
    <n v="16"/>
  </r>
  <r>
    <s v="Saint Pierre and Miquelon"/>
    <x v="0"/>
    <n v="5.795000076"/>
    <n v="5795.0000760000003"/>
    <n v="5.7950000760000004E-3"/>
    <n v="5795.0000760000003"/>
    <n v="6.0000000000000001E-3"/>
    <n v="6.0000000000000001E-3"/>
    <s v="89.96199799"/>
    <n v="0.89961997989999998"/>
    <n v="5213.2978518916188"/>
    <n v="5.2132978518916184"/>
    <n v="10.03800201"/>
    <x v="4"/>
    <x v="0"/>
    <s v="8.6"/>
    <x v="4"/>
    <s v="0"/>
    <x v="0"/>
    <n v="0"/>
    <n v="0"/>
    <n v="0"/>
    <s v="NAN"/>
    <s v="NAN"/>
    <s v="NAN"/>
    <s v="NAN"/>
    <s v="NAN"/>
    <n v="27"/>
    <n v="17"/>
  </r>
  <r>
    <s v="Saint Helena"/>
    <x v="0"/>
    <n v="6.0710000989999999"/>
    <n v="6071.0000989999999"/>
    <n v="6.071000099E-3"/>
    <n v="6071.0000989999999"/>
    <n v="6.0000000000000001E-3"/>
    <n v="7.0000000000000001E-3"/>
    <s v="40.08200073"/>
    <n v="0.40082000729999995"/>
    <n v="2433.3783039994805"/>
    <n v="2.4333783039994805"/>
    <n v="59.917999270000003"/>
    <x v="5"/>
    <x v="0"/>
    <s v="0.9"/>
    <x v="5"/>
    <s v="0"/>
    <x v="0"/>
    <n v="0"/>
    <n v="0"/>
    <n v="0"/>
    <s v="NAN"/>
    <s v="NAN"/>
    <s v="NAN"/>
    <s v="NAN"/>
    <s v="NAN"/>
    <n v="27"/>
    <n v="16"/>
  </r>
  <r>
    <s v="Saint Barthelemy"/>
    <x v="0"/>
    <n v="9.8849999999999998"/>
    <n v="9885"/>
    <n v="9.8849999999999997E-3"/>
    <n v="9885"/>
    <n v="0.01"/>
    <n v="9.9999999999999985E-3"/>
    <s v="100"/>
    <n v="1"/>
    <n v="9885"/>
    <n v="9.8849999999999998"/>
    <n v="0"/>
    <x v="6"/>
    <x v="0"/>
    <s v="0"/>
    <x v="6"/>
    <s v="0"/>
    <x v="0"/>
    <n v="0"/>
    <n v="0"/>
    <n v="0"/>
    <s v="NAN"/>
    <s v="100"/>
    <s v="0"/>
    <s v="0"/>
    <s v="0"/>
    <n v="27"/>
    <n v="16"/>
  </r>
  <r>
    <s v="Nauru"/>
    <x v="1"/>
    <n v="10.833999629999999"/>
    <n v="10833.999629999998"/>
    <n v="1.0833999629999999E-2"/>
    <n v="10833.999629999998"/>
    <n v="1.0999999999999999E-2"/>
    <n v="1.0999999999999999E-2"/>
    <s v="100"/>
    <n v="1"/>
    <n v="10833.999629999998"/>
    <n v="10.833999629999999"/>
    <n v="0"/>
    <x v="6"/>
    <x v="0"/>
    <s v="0"/>
    <x v="6"/>
    <s v="0"/>
    <x v="0"/>
    <n v="0"/>
    <n v="0"/>
    <n v="0"/>
    <s v="NAN"/>
    <s v="100"/>
    <s v="0"/>
    <s v="0"/>
    <s v="0"/>
    <n v="27"/>
    <n v="16"/>
  </r>
  <r>
    <s v="Wallis and Futuna Islands"/>
    <x v="0"/>
    <n v="11.24600029"/>
    <n v="11246.00029"/>
    <n v="1.1246000289999999E-2"/>
    <n v="11246.000289999998"/>
    <n v="1.0999999999999999E-2"/>
    <n v="1.2E-2"/>
    <s v="0"/>
    <n v="0"/>
    <n v="0"/>
    <n v="0"/>
    <n v="100"/>
    <x v="7"/>
    <x v="0"/>
    <s v="0.856712639"/>
    <x v="7"/>
    <s v="0"/>
    <x v="0"/>
    <s v="99.14328736"/>
    <s v="0"/>
    <s v="0.856712639"/>
    <s v="0"/>
    <s v="NAN"/>
    <s v="NAN"/>
    <s v="NAN"/>
    <s v="NAN"/>
    <n v="27"/>
    <n v="13"/>
  </r>
  <r>
    <s v="Tuvalu"/>
    <x v="2"/>
    <n v="11.791999819999999"/>
    <n v="11791.999819999999"/>
    <n v="1.1791999819999999E-2"/>
    <n v="11791.999819999999"/>
    <n v="1.2E-2"/>
    <n v="1.2E-2"/>
    <s v="64.01399994"/>
    <n v="0.6401399994000001"/>
    <n v="7548.5307576996011"/>
    <n v="7.5485307576996004"/>
    <n v="35.986000059999995"/>
    <x v="6"/>
    <x v="0"/>
    <s v="0"/>
    <x v="6"/>
    <s v="0"/>
    <x v="0"/>
    <s v="100"/>
    <s v="0"/>
    <s v="0"/>
    <s v="0"/>
    <s v="100"/>
    <s v="0"/>
    <s v="0"/>
    <s v="0"/>
    <n v="27"/>
    <n v="13"/>
  </r>
  <r>
    <s v="Cook Islands"/>
    <x v="0"/>
    <n v="17.56399918"/>
    <n v="17563.999179999999"/>
    <n v="1.7563999180000001E-2"/>
    <n v="17563.999180000003"/>
    <n v="1.7999999999999999E-2"/>
    <n v="1.8000000000000002E-2"/>
    <n v="75.495002749999998"/>
    <n v="0.75495002749999995"/>
    <n v="13259.941663950976"/>
    <n v="13.259941663950977"/>
    <n v="24.504997250000002"/>
    <x v="8"/>
    <x v="0"/>
    <s v="0.0283897827"/>
    <x v="8"/>
    <s v="0"/>
    <x v="0"/>
    <n v="0"/>
    <n v="0"/>
    <n v="0"/>
    <s v="NAN"/>
    <s v="NAN"/>
    <s v="NAN"/>
    <s v="NAN"/>
    <s v="NAN"/>
    <n v="27"/>
    <n v="17"/>
  </r>
  <r>
    <s v="Palau"/>
    <x v="2"/>
    <n v="18.091999049999998"/>
    <n v="18091.999049999999"/>
    <n v="1.8091999049999998E-2"/>
    <n v="18091.999049999999"/>
    <n v="1.7999999999999999E-2"/>
    <n v="1.9E-2"/>
    <s v="80.98799896"/>
    <n v="0.80987998959999996"/>
    <n v="14652.348002457207"/>
    <n v="14.652348002457208"/>
    <n v="19.012001040000001"/>
    <x v="9"/>
    <x v="0"/>
    <s v="0.3424544984"/>
    <x v="9"/>
    <s v="0"/>
    <x v="0"/>
    <s v="99.75698503"/>
    <s v="0"/>
    <s v="0.2430149677"/>
    <s v="0"/>
    <s v="99.63420199"/>
    <s v="0"/>
    <s v="0.3657980078"/>
    <s v="0"/>
    <n v="27"/>
    <n v="13"/>
  </r>
  <r>
    <s v="British Virgin Islands"/>
    <x v="1"/>
    <n v="30.23699951"/>
    <n v="30236.999510000001"/>
    <n v="3.0236999510000001E-2"/>
    <n v="30236.999510000001"/>
    <n v="0.03"/>
    <n v="3.1E-2"/>
    <s v="48.51499939"/>
    <n v="0.48514999390000002"/>
    <n v="14669.480127830804"/>
    <n v="14.669480127830804"/>
    <n v="51.48500061"/>
    <x v="10"/>
    <x v="0"/>
    <s v="0.1356164384"/>
    <x v="10"/>
    <s v="0"/>
    <x v="0"/>
    <n v="0"/>
    <n v="0"/>
    <n v="0"/>
    <s v="NAN"/>
    <s v="NAN"/>
    <s v="NAN"/>
    <s v="NAN"/>
    <s v="NAN"/>
    <n v="27"/>
    <n v="16"/>
  </r>
  <r>
    <s v="Gibraltar"/>
    <x v="1"/>
    <n v="33.691001890000003"/>
    <n v="33691.00189"/>
    <n v="3.3691001890000002E-2"/>
    <n v="33691.00189"/>
    <n v="3.4000000000000002E-2"/>
    <n v="3.4000000000000002E-2"/>
    <s v="100"/>
    <n v="1"/>
    <n v="33691.00189"/>
    <n v="33.691001890000003"/>
    <n v="0"/>
    <x v="6"/>
    <x v="0"/>
    <s v="0"/>
    <x v="6"/>
    <s v="0"/>
    <x v="0"/>
    <n v="0"/>
    <n v="0"/>
    <n v="0"/>
    <s v="NAN"/>
    <s v="100"/>
    <s v="0"/>
    <s v="0"/>
    <s v="0"/>
    <n v="27"/>
    <n v="16"/>
  </r>
  <r>
    <s v="San Marino"/>
    <x v="1"/>
    <n v="33.937999730000001"/>
    <n v="33937.999730000003"/>
    <n v="3.3937999730000001E-2"/>
    <n v="33937.999730000003"/>
    <n v="3.4000000000000002E-2"/>
    <n v="3.4000000000000002E-2"/>
    <s v="97.49900055"/>
    <n v="0.97499000550000003"/>
    <n v="33089.210543411704"/>
    <n v="33.089210543411703"/>
    <n v="2.5009994499999948"/>
    <x v="6"/>
    <x v="0"/>
    <s v="0"/>
    <x v="6"/>
    <s v="0"/>
    <x v="0"/>
    <n v="0"/>
    <n v="0"/>
    <n v="0"/>
    <s v="NAN"/>
    <s v="NAN"/>
    <s v="NAN"/>
    <s v="NAN"/>
    <s v="NAN"/>
    <n v="27"/>
    <n v="16"/>
  </r>
  <r>
    <s v="Liechtenstein"/>
    <x v="1"/>
    <n v="38.137001040000001"/>
    <n v="38137.001040000003"/>
    <n v="3.813700104E-2"/>
    <n v="38137.001040000003"/>
    <n v="3.7999999999999999E-2"/>
    <n v="3.9E-2"/>
    <s v="14.41600037"/>
    <n v="0.14416000370000001"/>
    <n v="5497.8302110333043"/>
    <n v="5.4978302110333042"/>
    <n v="85.583999629999994"/>
    <x v="6"/>
    <x v="0"/>
    <s v="0"/>
    <x v="6"/>
    <s v="0"/>
    <x v="0"/>
    <n v="0"/>
    <n v="0"/>
    <n v="0"/>
    <s v="NAN"/>
    <s v="NAN"/>
    <s v="NAN"/>
    <s v="NAN"/>
    <s v="NAN"/>
    <n v="27"/>
    <n v="16"/>
  </r>
  <r>
    <s v="Saint Martin (French part)"/>
    <x v="1"/>
    <n v="38.658999999999999"/>
    <n v="38659"/>
    <n v="3.8658999999999999E-2"/>
    <n v="38659"/>
    <n v="3.9E-2"/>
    <n v="3.9E-2"/>
    <s v="100"/>
    <n v="1"/>
    <n v="38659"/>
    <n v="38.658999999999999"/>
    <n v="0"/>
    <x v="11"/>
    <x v="0"/>
    <s v="0.0007286105507"/>
    <x v="6"/>
    <s v="0"/>
    <x v="0"/>
    <n v="0"/>
    <n v="0"/>
    <n v="0"/>
    <s v="NAN"/>
    <s v="99.99927139"/>
    <s v="0"/>
    <s v="0.0007286105507"/>
    <s v="0"/>
    <n v="27"/>
    <n v="16"/>
  </r>
  <r>
    <s v="Monaco"/>
    <x v="1"/>
    <n v="39.243999479999999"/>
    <n v="39243.999479999999"/>
    <n v="3.924399948E-2"/>
    <n v="39243.999479999999"/>
    <n v="3.9E-2"/>
    <n v="0.04"/>
    <s v="100"/>
    <n v="1"/>
    <n v="39243.999479999999"/>
    <n v="39.243999479999999"/>
    <n v="0"/>
    <x v="6"/>
    <x v="0"/>
    <s v="0"/>
    <x v="6"/>
    <s v="0"/>
    <x v="0"/>
    <n v="0"/>
    <n v="0"/>
    <n v="0"/>
    <s v="NAN"/>
    <s v="100"/>
    <s v="0"/>
    <s v="0"/>
    <s v="0"/>
    <n v="27"/>
    <n v="16"/>
  </r>
  <r>
    <s v="Faeroe Islands"/>
    <x v="1"/>
    <n v="48.865001679999999"/>
    <n v="48865.001680000001"/>
    <n v="4.8865001679999999E-2"/>
    <n v="48865.001680000001"/>
    <n v="4.9000000000000002E-2"/>
    <n v="4.9000000000000002E-2"/>
    <s v="42.39799881"/>
    <n v="0.42397998809999998"/>
    <n v="20717.782830792879"/>
    <n v="20.717782830792878"/>
    <n v="57.602001190000003"/>
    <x v="6"/>
    <x v="0"/>
    <s v="0"/>
    <x v="6"/>
    <s v="0"/>
    <x v="0"/>
    <n v="0"/>
    <n v="0"/>
    <n v="0"/>
    <s v="NAN"/>
    <s v="NAN"/>
    <s v="NAN"/>
    <s v="NAN"/>
    <s v="NAN"/>
    <n v="27"/>
    <n v="16"/>
  </r>
  <r>
    <s v="American Samoa"/>
    <x v="2"/>
    <n v="55.196998600000001"/>
    <n v="55196.998599999999"/>
    <n v="5.5196998599999998E-2"/>
    <n v="55196.998599999999"/>
    <n v="5.5E-2"/>
    <n v="5.6000000000000001E-2"/>
    <s v="87.15299988"/>
    <n v="0.87152999879999993"/>
    <n v="48105.840123621594"/>
    <n v="48.105840123621597"/>
    <n v="12.847000120000004"/>
    <x v="12"/>
    <x v="0"/>
    <s v="0.2262283415"/>
    <x v="11"/>
    <s v="0"/>
    <x v="0"/>
    <n v="0"/>
    <n v="0"/>
    <n v="0"/>
    <s v="NAN"/>
    <s v="NAN"/>
    <s v="NAN"/>
    <s v="NAN"/>
    <s v="NAN"/>
    <n v="27"/>
    <n v="16"/>
  </r>
  <r>
    <s v="Greenland"/>
    <x v="1"/>
    <n v="56.771999360000002"/>
    <n v="56771.999360000002"/>
    <n v="5.6771999360000006E-2"/>
    <n v="56771.999360000009"/>
    <n v="5.7000000000000002E-2"/>
    <n v="5.7000000000000002E-2"/>
    <s v="87.28200531"/>
    <n v="0.87282005309999999"/>
    <n v="49551.739495988368"/>
    <n v="49.551739495988365"/>
    <n v="12.717994689999998"/>
    <x v="13"/>
    <x v="0"/>
    <s v="0"/>
    <x v="6"/>
    <s v="0"/>
    <x v="0"/>
    <s v="100"/>
    <s v="0"/>
    <s v="0"/>
    <s v="0"/>
    <s v="100"/>
    <s v="0"/>
    <s v="0"/>
    <s v="0"/>
    <n v="27"/>
    <n v="13"/>
  </r>
  <r>
    <s v="Northern Mariana Islands"/>
    <x v="1"/>
    <n v="57.556999210000001"/>
    <n v="57556.999210000002"/>
    <n v="5.7556999210000001E-2"/>
    <n v="57556.999210000002"/>
    <n v="5.8000000000000003E-2"/>
    <n v="5.8000000000000003E-2"/>
    <s v="91.79799652"/>
    <n v="0.91797996520000003"/>
    <n v="52836.172131812229"/>
    <n v="52.836172131812226"/>
    <n v="8.2020034800000019"/>
    <x v="6"/>
    <x v="0"/>
    <s v="0"/>
    <x v="6"/>
    <s v="0"/>
    <x v="0"/>
    <n v="0"/>
    <n v="0"/>
    <n v="0"/>
    <s v="NAN"/>
    <s v="NAN"/>
    <s v="NAN"/>
    <s v="NAN"/>
    <s v="NAN"/>
    <n v="27"/>
    <n v="16"/>
  </r>
  <r>
    <s v="Marshall Islands"/>
    <x v="3"/>
    <n v="77.793991090000006"/>
    <n v="77793.99109000001"/>
    <n v="7.779399109E-2"/>
    <n v="77793.991089999996"/>
    <n v="7.8E-2"/>
    <n v="7.8E-2"/>
    <s v="88.57204698"/>
    <n v="0.88572046979999997"/>
    <n v="68903.730335851826"/>
    <n v="68.903730335851819"/>
    <n v="11.427953020000004"/>
    <x v="14"/>
    <x v="1"/>
    <s v="0"/>
    <x v="6"/>
    <s v="94.42972"/>
    <x v="1"/>
    <s v="5.39028"/>
    <s v="0.18"/>
    <s v="0"/>
    <s v="86.9"/>
    <s v="13.1"/>
    <s v="0"/>
    <s v="0"/>
    <s v=""/>
    <n v="27"/>
    <n v="13"/>
  </r>
  <r>
    <s v="Bermuda"/>
    <x v="1"/>
    <n v="62.272998809999997"/>
    <n v="62272.998809999997"/>
    <n v="6.2272998809999994E-2"/>
    <n v="62272.998809999997"/>
    <n v="6.2E-2"/>
    <n v="6.3E-2"/>
    <s v="100"/>
    <n v="1"/>
    <n v="62272.998809999997"/>
    <n v="62.272998809999997"/>
    <n v="0"/>
    <x v="15"/>
    <x v="0"/>
    <s v="0.09685998294"/>
    <x v="12"/>
    <s v="0"/>
    <x v="0"/>
    <n v="0"/>
    <n v="0"/>
    <n v="0"/>
    <s v="NAN"/>
    <s v="99.90314002"/>
    <s v="0"/>
    <s v="0.09685998294"/>
    <s v="0"/>
    <n v="27"/>
    <n v="16"/>
  </r>
  <r>
    <s v="Andorra"/>
    <x v="1"/>
    <n v="77.26499939"/>
    <n v="77264.999389999997"/>
    <n v="7.7264999390000005E-2"/>
    <n v="77264.999390000012"/>
    <n v="7.6999999999999999E-2"/>
    <n v="7.8E-2"/>
    <s v="87.91600037"/>
    <n v="0.87916000370000003"/>
    <n v="67928.297149592894"/>
    <n v="67.928297149592893"/>
    <n v="12.083999629999994"/>
    <x v="16"/>
    <x v="0"/>
    <s v="0"/>
    <x v="6"/>
    <s v="0"/>
    <x v="0"/>
    <s v="100"/>
    <s v="0"/>
    <s v="0"/>
    <s v="0"/>
    <s v="100"/>
    <s v="0"/>
    <s v="0"/>
    <s v="0"/>
    <n v="27"/>
    <n v="13"/>
  </r>
  <r>
    <s v="Isle of Man"/>
    <x v="1"/>
    <n v="85.031997680000003"/>
    <n v="85031.99768"/>
    <n v="8.5031997679999999E-2"/>
    <n v="85031.99768"/>
    <n v="8.5000000000000006E-2"/>
    <n v="8.6000000000000007E-2"/>
    <s v="52.89800262"/>
    <n v="0.52898002619999995"/>
    <n v="44980.228360604735"/>
    <n v="44.980228360604734"/>
    <n v="47.10199738"/>
    <x v="17"/>
    <x v="0"/>
    <s v="0.925"/>
    <x v="13"/>
    <s v="0"/>
    <x v="0"/>
    <n v="0"/>
    <n v="0"/>
    <n v="0"/>
    <s v="NAN"/>
    <s v="NAN"/>
    <s v="NAN"/>
    <s v="NAN"/>
    <s v="NAN"/>
    <n v="27"/>
    <n v="16"/>
  </r>
  <r>
    <s v="United States Virgin Islands"/>
    <x v="1"/>
    <n v="104.4229965"/>
    <n v="104422.99649999999"/>
    <n v="0.10442299649999999"/>
    <n v="104422.99649999999"/>
    <n v="0.104"/>
    <n v="0.105"/>
    <s v="95.93900299"/>
    <n v="0.95939002990000011"/>
    <n v="100182.38173438259"/>
    <n v="100.1823817343826"/>
    <n v="4.0609970099999941"/>
    <x v="18"/>
    <x v="0"/>
    <s v="1.281732624"/>
    <x v="14"/>
    <s v="0"/>
    <x v="0"/>
    <n v="0"/>
    <n v="0"/>
    <n v="0"/>
    <s v="NAN"/>
    <s v="NAN"/>
    <s v="NAN"/>
    <s v="NAN"/>
    <s v="NAN"/>
    <n v="27"/>
    <n v="16"/>
  </r>
  <r>
    <s v="Tonga"/>
    <x v="2"/>
    <n v="105.6969986"/>
    <n v="105696.99860000001"/>
    <n v="0.10569699859999999"/>
    <n v="105696.99859999999"/>
    <n v="0.106"/>
    <n v="0.106"/>
    <s v="23.09899902"/>
    <n v="0.23098999019999999"/>
    <n v="24414.948670783415"/>
    <n v="24.414948670783414"/>
    <n v="76.901000979999992"/>
    <x v="19"/>
    <x v="2"/>
    <s v="0.3874218777"/>
    <x v="15"/>
    <s v="0"/>
    <x v="0"/>
    <s v="98.46807854"/>
    <s v="1.103159706"/>
    <s v="0.4287617551;0"/>
    <s v="99.60665819"/>
    <s v="0.143540536"/>
    <s v="0.2498012758"/>
    <s v="0"/>
    <s v=""/>
    <n v="27"/>
    <n v="13"/>
  </r>
  <r>
    <s v="Kiribati"/>
    <x v="4"/>
    <n v="119.44599909999999"/>
    <n v="119445.9991"/>
    <n v="0.11944599909999999"/>
    <n v="119445.99909999999"/>
    <n v="0.11899999999999999"/>
    <n v="0.12"/>
    <s v="55.59399796"/>
    <n v="0.55593997960000008"/>
    <n v="66404.806302955622"/>
    <n v="66.40480630295562"/>
    <n v="44.406002039999997"/>
    <x v="20"/>
    <x v="3"/>
    <s v="17.95217953"/>
    <x v="16"/>
    <s v="0"/>
    <x v="0"/>
    <s v="60.99418489"/>
    <s v="2.096609799"/>
    <s v="36.90920532"/>
    <s v="0"/>
    <s v="91.53117485"/>
    <s v="5.658666461"/>
    <s v="2.810158691"/>
    <s v="0"/>
    <n v="27"/>
    <n v="13"/>
  </r>
  <r>
    <s v="Guam"/>
    <x v="1"/>
    <n v="168.78300479999999"/>
    <n v="168783.0048"/>
    <n v="0.1687830048"/>
    <n v="168783.0048"/>
    <n v="0.16900000000000001"/>
    <n v="0.16900000000000001"/>
    <s v="94.93800354"/>
    <n v="0.94938003539999993"/>
    <n v="160239.21507194237"/>
    <n v="160.23921507194234"/>
    <n v="5.0619964600000031"/>
    <x v="21"/>
    <x v="0"/>
    <s v="0.3048"/>
    <x v="17"/>
    <s v="0"/>
    <x v="0"/>
    <n v="0"/>
    <n v="0"/>
    <n v="0"/>
    <s v="NAN"/>
    <s v="NAN"/>
    <s v="NAN"/>
    <s v="NAN"/>
    <s v="NAN"/>
    <n v="27"/>
    <n v="16"/>
  </r>
  <r>
    <s v="Saint Lucia"/>
    <x v="2"/>
    <n v="183.62899780000001"/>
    <n v="183628.99780000001"/>
    <n v="0.1836289978"/>
    <n v="183628.99780000001"/>
    <n v="0.184"/>
    <n v="0.184"/>
    <s v="18.8409996"/>
    <n v="0.188409996"/>
    <n v="34597.53874098201"/>
    <n v="34.59753874098201"/>
    <n v="81.159000399999996"/>
    <x v="22"/>
    <x v="4"/>
    <s v="1.296503269"/>
    <x v="18"/>
    <s v="0"/>
    <x v="0"/>
    <s v="96.81402383"/>
    <s v="1.734152255"/>
    <s v="1.451823918"/>
    <s v="0"/>
    <s v="97.20582219"/>
    <s v="2.166718886"/>
    <s v="0.6274589237"/>
    <s v="0"/>
    <n v="27"/>
    <n v="13"/>
  </r>
  <r>
    <s v="Samoa"/>
    <x v="4"/>
    <n v="198.4100037"/>
    <n v="198410.0037"/>
    <n v="0.1984100037"/>
    <n v="198410.0037"/>
    <n v="0.19800000000000001"/>
    <n v="0.19900000000000001"/>
    <s v="17.88899994"/>
    <n v="0.17888999940000003"/>
    <n v="35493.565442847001"/>
    <n v="35.493565442847007"/>
    <n v="82.111000059999995"/>
    <x v="23"/>
    <x v="5"/>
    <s v="1.418623428"/>
    <x v="19"/>
    <s v="0.2227520679"/>
    <x v="2"/>
    <s v="91.78032287"/>
    <s v="6.220703339"/>
    <s v="1.72769216"/>
    <s v="0.2712816327"/>
    <s v="92.10119"/>
    <s v="7.89881"/>
    <s v="0"/>
    <s v="0"/>
    <n v="27"/>
    <n v="13"/>
  </r>
  <r>
    <s v="Sao Tome and Principe"/>
    <x v="4"/>
    <n v="219.16099550000001"/>
    <n v="219160.99550000002"/>
    <n v="0.21916099550000001"/>
    <n v="219160.99550000002"/>
    <n v="0.219"/>
    <n v="0.22"/>
    <s v="74.35400391"/>
    <n v="0.74354003909999999"/>
    <n v="162954.97516326493"/>
    <n v="162.95497516326492"/>
    <n v="25.645996089999997"/>
    <x v="24"/>
    <x v="6"/>
    <s v="0.4435199284"/>
    <x v="20"/>
    <s v="1.09204193"/>
    <x v="3"/>
    <s v="74.30061449"/>
    <s v="19.71184258"/>
    <s v="1.729405704"/>
    <s v="4.258137228"/>
    <s v="79.5805429"/>
    <s v="20.4194571"/>
    <s v="0"/>
    <s v="0"/>
    <n v="27"/>
    <n v="13"/>
  </r>
  <r>
    <s v="Mayotte"/>
    <x v="0"/>
    <n v="272.81298829999997"/>
    <n v="272812.98829999997"/>
    <n v="0.27281298829999995"/>
    <n v="272812.98829999997"/>
    <n v="0.27300000000000002"/>
    <n v="0.27300000000000002"/>
    <s v="45.75099945"/>
    <n v="0.45750999450000002"/>
    <n v="124814.66877666155"/>
    <n v="124.81466877666156"/>
    <n v="54.249000549999998"/>
    <x v="25"/>
    <x v="0"/>
    <s v="3.628820295"/>
    <x v="21"/>
    <n v="0"/>
    <x v="0"/>
    <n v="0"/>
    <n v="0"/>
    <n v="0"/>
    <s v="NAN"/>
    <s v="NAN"/>
    <s v="NAN"/>
    <s v="NAN"/>
    <s v="NAN"/>
    <n v="27"/>
    <n v="17"/>
  </r>
  <r>
    <s v="French Polynesia"/>
    <x v="1"/>
    <n v="280.90399170000001"/>
    <n v="280903.99170000001"/>
    <n v="0.28090399170000002"/>
    <n v="280903.99170000001"/>
    <n v="0.28100000000000003"/>
    <n v="0.28100000000000003"/>
    <s v="61.97500229"/>
    <n v="0.61975002290000003"/>
    <n v="174090.25528877642"/>
    <n v="174.09025528877643"/>
    <n v="38.024997710000001"/>
    <x v="6"/>
    <x v="0"/>
    <s v="0"/>
    <x v="6"/>
    <s v="0"/>
    <x v="0"/>
    <n v="0"/>
    <n v="0"/>
    <n v="0"/>
    <s v="NAN"/>
    <s v="NAN"/>
    <s v="NAN"/>
    <s v="NAN"/>
    <s v="NAN"/>
    <n v="27"/>
    <n v="16"/>
  </r>
  <r>
    <s v="New Caledonia"/>
    <x v="1"/>
    <n v="285.4909973"/>
    <n v="285490.99729999999"/>
    <n v="0.28549099729999999"/>
    <n v="285490.99729999999"/>
    <n v="0.28499999999999998"/>
    <n v="0.28599999999999998"/>
    <s v="71.51799774"/>
    <n v="0.71517997739999994"/>
    <n v="204177.44499691745"/>
    <n v="204.17744499691744"/>
    <n v="28.482002260000002"/>
    <x v="26"/>
    <x v="0"/>
    <s v="0.6946794278"/>
    <x v="22"/>
    <s v="0"/>
    <x v="0"/>
    <n v="0"/>
    <n v="0"/>
    <n v="0"/>
    <s v="NAN"/>
    <s v="NAN"/>
    <s v="NAN"/>
    <s v="NAN"/>
    <s v="NAN"/>
    <n v="27"/>
    <n v="16"/>
  </r>
  <r>
    <s v="Barbados"/>
    <x v="1"/>
    <n v="287.37100220000002"/>
    <n v="287371.00220000005"/>
    <n v="0.2873710022"/>
    <n v="287371.00219999999"/>
    <n v="0.28699999999999998"/>
    <n v="0.28799999999999998"/>
    <s v="31.19099998"/>
    <n v="0.3119099998"/>
    <n v="89633.889238727817"/>
    <n v="89.633889238727804"/>
    <n v="68.809000019999999"/>
    <x v="27"/>
    <x v="7"/>
    <s v="1.217949005"/>
    <x v="23"/>
    <s v="0"/>
    <x v="0"/>
    <n v="0"/>
    <n v="0"/>
    <n v="0"/>
    <s v="NAN"/>
    <s v="NAN"/>
    <s v="NAN"/>
    <s v="NAN"/>
    <s v="NAN"/>
    <n v="27"/>
    <n v="16"/>
  </r>
  <r>
    <s v="French Guiana"/>
    <x v="0"/>
    <n v="298.68200680000001"/>
    <n v="298682.00680000003"/>
    <n v="0.29868200680000001"/>
    <n v="298682.00680000003"/>
    <n v="0.29899999999999999"/>
    <n v="0.29899999999999999"/>
    <s v="85.81999969"/>
    <n v="0.85819999690000004"/>
    <n v="256328.89730984581"/>
    <n v="256.32889730984579"/>
    <n v="14.180000309999997"/>
    <x v="28"/>
    <x v="0"/>
    <s v="6.217783652"/>
    <x v="24"/>
    <s v="0"/>
    <x v="0"/>
    <n v="0"/>
    <n v="0"/>
    <n v="0"/>
    <s v="NAN"/>
    <s v="NAN"/>
    <s v="NAN"/>
    <s v="NAN"/>
    <s v="NAN"/>
    <n v="27"/>
    <n v="16"/>
  </r>
  <r>
    <s v="Vanuatu"/>
    <x v="4"/>
    <n v="307.14999390000003"/>
    <n v="307149.9939"/>
    <n v="0.30714999390000003"/>
    <n v="307149.9939"/>
    <n v="0.307"/>
    <n v="0.308"/>
    <s v="25.52500153"/>
    <n v="0.25525001530000002"/>
    <n v="78400.040642369917"/>
    <n v="78.400040642369916"/>
    <n v="74.474998470000003"/>
    <x v="29"/>
    <x v="8"/>
    <s v="0"/>
    <x v="6"/>
    <s v="7.706424202"/>
    <x v="4"/>
    <s v="88.39720123"/>
    <s v="1.255132675"/>
    <s v="0"/>
    <s v="10.3476661"/>
    <s v="99.5"/>
    <s v="0.5"/>
    <s v="0"/>
    <s v="0"/>
    <n v="27"/>
    <n v="13"/>
  </r>
  <r>
    <s v="Iceland"/>
    <x v="1"/>
    <n v="341.25"/>
    <n v="341250"/>
    <n v="0.34125"/>
    <n v="341250"/>
    <n v="0.34100000000000003"/>
    <n v="0.34200000000000003"/>
    <s v="93.897995"/>
    <n v="0.9389799499999999"/>
    <n v="320426.90793749999"/>
    <n v="320.42690793749995"/>
    <n v="6.1020050000000055"/>
    <x v="30"/>
    <x v="0"/>
    <s v="0.000002794650015"/>
    <x v="6"/>
    <s v="0"/>
    <x v="0"/>
    <s v="100"/>
    <s v="0"/>
    <s v="0"/>
    <s v="0"/>
    <s v="100"/>
    <s v="0"/>
    <s v="0"/>
    <s v="0"/>
    <n v="27"/>
    <n v="13"/>
  </r>
  <r>
    <s v="Martinique"/>
    <x v="0"/>
    <n v="375.26501459999997"/>
    <n v="375265.01459999999"/>
    <n v="0.37526501459999995"/>
    <n v="375265.01459999994"/>
    <n v="0.375"/>
    <n v="0.376"/>
    <s v="89.13999939"/>
    <n v="0.89139999390000002"/>
    <n v="334511.23172532342"/>
    <n v="334.5112317253234"/>
    <n v="10.86000061"/>
    <x v="31"/>
    <x v="0"/>
    <s v="0.1580292158"/>
    <x v="25"/>
    <s v="0"/>
    <x v="0"/>
    <n v="0"/>
    <n v="0"/>
    <n v="0"/>
    <s v="NAN"/>
    <s v="NAN"/>
    <s v="NAN"/>
    <s v="NAN"/>
    <s v="NAN"/>
    <n v="27"/>
    <n v="16"/>
  </r>
  <r>
    <s v="Belize"/>
    <x v="2"/>
    <n v="397.62100220000002"/>
    <n v="397621.00220000005"/>
    <n v="0.39762100220000002"/>
    <n v="397621.00220000005"/>
    <n v="0.39800000000000002"/>
    <n v="0.39800000000000002"/>
    <s v="46.02500153"/>
    <n v="0.46025001529999998"/>
    <n v="183005.07234615134"/>
    <n v="183.00507234615134"/>
    <n v="53.974998470000003"/>
    <x v="32"/>
    <x v="9"/>
    <s v="0.3489347411"/>
    <x v="26"/>
    <s v="0"/>
    <x v="0"/>
    <s v="97.99520758"/>
    <s v="1.358317682"/>
    <s v="0.6464747393"/>
    <s v="0"/>
    <s v="98.87896"/>
    <s v="1.12104"/>
    <s v="0"/>
    <s v="0"/>
    <n v="27"/>
    <n v="13"/>
  </r>
  <r>
    <s v="Guadeloupe"/>
    <x v="0"/>
    <n v="400.12701420000002"/>
    <n v="400127.01420000003"/>
    <n v="0.40012701420000002"/>
    <n v="400127.01420000003"/>
    <n v="0.4"/>
    <n v="0.40100000000000002"/>
    <s v="98.49899292"/>
    <n v="0.98498992920000006"/>
    <n v="394121.07938786544"/>
    <n v="394.12107938786545"/>
    <n v="1.5010070799999937"/>
    <x v="33"/>
    <x v="0"/>
    <s v="0.1968739613"/>
    <x v="27"/>
    <s v="0"/>
    <x v="0"/>
    <n v="0"/>
    <n v="0"/>
    <n v="0"/>
    <s v="NAN"/>
    <s v="NAN"/>
    <s v="NAN"/>
    <s v="NAN"/>
    <s v="NAN"/>
    <n v="27"/>
    <n v="16"/>
  </r>
  <r>
    <s v="Brunei Darussalam"/>
    <x v="1"/>
    <n v="437.48300169999999"/>
    <n v="437483.00169999996"/>
    <n v="0.43748300169999998"/>
    <n v="437483.00169999996"/>
    <n v="0.437"/>
    <n v="0.438"/>
    <s v="78.25000763"/>
    <n v="0.78250007629999996"/>
    <n v="342330.48221020296"/>
    <n v="342.330482210203"/>
    <n v="21.749992370000001"/>
    <x v="34"/>
    <x v="0"/>
    <s v="0.09996320036"/>
    <x v="12"/>
    <s v="0"/>
    <x v="0"/>
    <n v="0"/>
    <n v="0"/>
    <n v="0"/>
    <s v="NAN"/>
    <s v="99.65"/>
    <s v="0"/>
    <s v="0.35"/>
    <s v="0"/>
    <n v="27"/>
    <n v="16"/>
  </r>
  <r>
    <s v="Malta"/>
    <x v="1"/>
    <n v="441.53900149999998"/>
    <n v="441539.00149999995"/>
    <n v="0.44153900149999997"/>
    <n v="441539.00149999995"/>
    <n v="0.442"/>
    <n v="0.442"/>
    <s v="94.7440033"/>
    <n v="0.94744003300000001"/>
    <n v="418331.72615194699"/>
    <n v="418.33172615194707"/>
    <n v="5.2559966999999972"/>
    <x v="35"/>
    <x v="0"/>
    <s v="0"/>
    <x v="6"/>
    <s v="0"/>
    <x v="0"/>
    <s v="100"/>
    <s v="0"/>
    <s v="0"/>
    <s v="0"/>
    <s v="100"/>
    <s v="0"/>
    <s v="0"/>
    <s v="0"/>
    <n v="27"/>
    <n v="13"/>
  </r>
  <r>
    <s v="Maldives"/>
    <x v="2"/>
    <n v="540.54199219999998"/>
    <n v="540541.99219999998"/>
    <n v="0.54054199219999999"/>
    <n v="540541.99219999998"/>
    <n v="0.54100000000000004"/>
    <n v="0.54100000000000004"/>
    <s v="40.66899872"/>
    <n v="0.40668998719999999"/>
    <n v="219833.01588888047"/>
    <n v="219.83301588888048"/>
    <n v="59.331001280000002"/>
    <x v="36"/>
    <x v="10"/>
    <s v="0.407510705"/>
    <x v="28"/>
    <s v="0"/>
    <x v="0"/>
    <s v="99.9190125"/>
    <s v="0.0809875"/>
    <s v="0"/>
    <s v="0"/>
    <s v="98.99798893"/>
    <s v="0"/>
    <s v="1.002011069"/>
    <s v="0"/>
    <n v="27"/>
    <n v="13"/>
  </r>
  <r>
    <s v="Cabo Verde"/>
    <x v="4"/>
    <n v="555.98797609999997"/>
    <n v="555987.97609999997"/>
    <n v="0.55598797609999995"/>
    <n v="555987.97609999997"/>
    <n v="0.55600000000000005"/>
    <n v="0.55600000000000005"/>
    <n v="66.652000430000001"/>
    <n v="0.66652000430000002"/>
    <n v="370577.10822092032"/>
    <n v="370.57710822092031"/>
    <n v="33.347999569999999"/>
    <x v="37"/>
    <x v="11"/>
    <s v="0.1170950144"/>
    <x v="29"/>
    <s v="80.11452544"/>
    <x v="5"/>
    <s v="9.911127022"/>
    <s v="9.623217003"/>
    <s v="0.3511305397"/>
    <s v="93.1"/>
    <s v="6.9"/>
    <s v="0"/>
    <s v="0"/>
    <s v=""/>
    <n v="27"/>
    <n v="14"/>
  </r>
  <r>
    <s v="Suriname"/>
    <x v="2"/>
    <n v="586.63397220000002"/>
    <n v="586633.97219999996"/>
    <n v="0.58663397220000002"/>
    <n v="586633.97220000008"/>
    <n v="0.58699999999999997"/>
    <n v="0.58699999999999997"/>
    <s v="66.14900208"/>
    <n v="0.66149002080000008"/>
    <n v="388052.51847256464"/>
    <n v="388.05251847256466"/>
    <n v="33.850997919999998"/>
    <x v="38"/>
    <x v="12"/>
    <s v="0.3793365073"/>
    <x v="30"/>
    <s v="0.563784884"/>
    <x v="6"/>
    <s v="96.57441263"/>
    <s v="1.60029586"/>
    <s v="0.1598017947"/>
    <s v="1.66548972"/>
    <s v="98.71385387"/>
    <s v="0.7944652371"/>
    <s v="0.4916808925"/>
    <s v="0"/>
    <n v="27"/>
    <n v="13"/>
  </r>
  <r>
    <s v="Luxembourg"/>
    <x v="1"/>
    <n v="625.97601320000001"/>
    <n v="625976.01320000004"/>
    <n v="0.62597601319999996"/>
    <n v="625976.01319999993"/>
    <n v="0.626"/>
    <n v="0.626"/>
    <s v="91.4529953"/>
    <n v="0.91452995299999995"/>
    <n v="572473.81393092335"/>
    <n v="572.47381393092337"/>
    <n v="8.5470047000000022"/>
    <x v="39"/>
    <x v="0"/>
    <s v="0.1200674649"/>
    <x v="29"/>
    <s v="0"/>
    <x v="0"/>
    <s v="98.5952381"/>
    <s v="0"/>
    <s v="1.404761905"/>
    <s v="0"/>
    <s v="100"/>
    <s v="0"/>
    <s v="0"/>
    <s v="0"/>
    <n v="27"/>
    <n v="13"/>
  </r>
  <r>
    <s v="Montenegro"/>
    <x v="2"/>
    <n v="628.06201169999997"/>
    <n v="628062.01169999992"/>
    <n v="0.62806201169999998"/>
    <n v="628062.01170000003"/>
    <n v="0.628"/>
    <n v="0.629"/>
    <s v="67.48800659"/>
    <n v="0.67488006589999994"/>
    <n v="423866.53184538247"/>
    <n v="423.8665318453825"/>
    <n v="32.511993410000002"/>
    <x v="40"/>
    <x v="13"/>
    <s v="0.592312011"/>
    <x v="31"/>
    <s v="0.005292650894"/>
    <x v="7"/>
    <s v="98.16188754"/>
    <s v="0"/>
    <s v="1.821833386"/>
    <s v="0.01627906977"/>
    <s v="99.19173959"/>
    <s v="0.8082604128"/>
    <s v="0"/>
    <s v="0"/>
    <n v="27"/>
    <n v="13"/>
  </r>
  <r>
    <s v="China, Macao SAR"/>
    <x v="1"/>
    <n v="649.34198000000004"/>
    <n v="649341.98"/>
    <n v="0.64934197999999999"/>
    <n v="649341.98"/>
    <n v="0.64900000000000002"/>
    <n v="0.65"/>
    <s v="100"/>
    <n v="1"/>
    <n v="649341.98"/>
    <n v="649.34198000000004"/>
    <n v="0"/>
    <x v="6"/>
    <x v="0"/>
    <s v="0"/>
    <x v="6"/>
    <s v="0"/>
    <x v="0"/>
    <n v="0"/>
    <n v="0"/>
    <n v="0"/>
    <s v="NAN"/>
    <s v="100"/>
    <s v="0"/>
    <s v="0"/>
    <s v="0"/>
    <n v="27"/>
    <n v="16"/>
  </r>
  <r>
    <s v="Solomon Islands"/>
    <x v="4"/>
    <n v="686.87799070000005"/>
    <n v="686877.99070000008"/>
    <n v="0.68687799070000011"/>
    <n v="686877.99070000008"/>
    <n v="0.68700000000000006"/>
    <n v="0.68700000000000006"/>
    <s v="24.67000008"/>
    <n v="0.24670000080000001"/>
    <n v="169452.80085519241"/>
    <n v="169.45280085519241"/>
    <n v="75.329999920000006"/>
    <x v="41"/>
    <x v="14"/>
    <s v="21.26784313"/>
    <x v="32"/>
    <s v="5.635653025"/>
    <x v="8"/>
    <s v="59.40526749"/>
    <s v="6.528523649"/>
    <s v="26.955911"/>
    <s v="7.110297857"/>
    <s v="91.41077689"/>
    <s v="3.557120425"/>
    <s v="3.899286137"/>
    <s v="1.132816553"/>
    <n v="27"/>
    <n v="13"/>
  </r>
  <r>
    <s v="Bhutan"/>
    <x v="4"/>
    <n v="771.61199950000002"/>
    <n v="771611.99950000003"/>
    <n v="0.77161199950000003"/>
    <n v="771611.99950000003"/>
    <n v="0.77200000000000002"/>
    <n v="0.77200000000000002"/>
    <s v="42.31599808"/>
    <n v="0.4231599808"/>
    <n v="326515.31889346964"/>
    <n v="326.51531889346961"/>
    <n v="57.68400192"/>
    <x v="42"/>
    <x v="15"/>
    <s v="0.1764242183"/>
    <x v="33"/>
    <s v="0.04964054142"/>
    <x v="9"/>
    <s v="96.73119365"/>
    <s v="3.268806351"/>
    <s v="0"/>
    <s v="0"/>
    <s v="98.10662849"/>
    <s v="1.3591415"/>
    <s v="0.4169208475"/>
    <s v="0.1173091586"/>
    <n v="27"/>
    <n v="13"/>
  </r>
  <r>
    <s v="Guyana"/>
    <x v="2"/>
    <n v="786.55902100000003"/>
    <n v="786559.02100000007"/>
    <n v="0.78655902100000008"/>
    <n v="786559.02100000007"/>
    <n v="0.78700000000000003"/>
    <n v="0.78700000000000003"/>
    <s v="26.7859993"/>
    <n v="0.26785999300000002"/>
    <n v="210687.69385914688"/>
    <n v="210.68769385914686"/>
    <n v="73.2140007"/>
    <x v="43"/>
    <x v="16"/>
    <s v="1.143069849"/>
    <x v="34"/>
    <s v="2.096878897"/>
    <x v="10"/>
    <s v="93.9284905"/>
    <s v="1.646193862"/>
    <s v="1.561274833"/>
    <s v="2.864040809"/>
    <s v="100"/>
    <s v="0"/>
    <s v="0"/>
    <s v="0"/>
    <n v="27"/>
    <n v="13"/>
  </r>
  <r>
    <s v="Réunion"/>
    <x v="0"/>
    <n v="895.30798340000001"/>
    <n v="895307.98340000003"/>
    <n v="0.89530798340000006"/>
    <n v="895307.98340000003"/>
    <n v="0.89500000000000002"/>
    <n v="0.89600000000000002"/>
    <s v="99.65900421"/>
    <n v="0.99659004210000002"/>
    <n v="892255.02086907218"/>
    <n v="892.25502086907215"/>
    <n v="0.3409957899999938"/>
    <x v="6"/>
    <x v="0"/>
    <s v="0"/>
    <x v="6"/>
    <s v="0"/>
    <x v="0"/>
    <n v="0"/>
    <n v="0"/>
    <n v="0"/>
    <s v="NAN"/>
    <s v="NAN"/>
    <s v="NAN"/>
    <s v="NAN"/>
    <s v="NAN"/>
    <n v="27"/>
    <n v="16"/>
  </r>
  <r>
    <s v="Fiji"/>
    <x v="2"/>
    <n v="896.44396970000003"/>
    <n v="896443.96970000002"/>
    <n v="0.89644396970000007"/>
    <n v="896443.96970000002"/>
    <n v="0.89600000000000002"/>
    <n v="0.89700000000000002"/>
    <s v="57.24700546"/>
    <n v="0.5724700546"/>
    <n v="513187.32827999978"/>
    <n v="513.18732827999975"/>
    <n v="42.752994540000003"/>
    <x v="44"/>
    <x v="0"/>
    <s v="3.318602766"/>
    <x v="35"/>
    <s v="2.380331999"/>
    <x v="11"/>
    <s v="89.08802405"/>
    <s v="0"/>
    <s v="5.759897938"/>
    <s v="5.152078012"/>
    <s v="98.19424406"/>
    <s v="0"/>
    <s v="1.495409344"/>
    <s v="0.3103465922"/>
    <n v="27"/>
    <n v="13"/>
  </r>
  <r>
    <s v="Djibouti"/>
    <x v="4"/>
    <n v="988.00201419999996"/>
    <n v="988002.01419999998"/>
    <n v="0.9880020142"/>
    <n v="988002.01419999998"/>
    <n v="0.98799999999999999"/>
    <n v="0.98899999999999999"/>
    <s v="78.06199646"/>
    <n v="0.78061996460000005"/>
    <n v="771254.09734953276"/>
    <n v="771.25409734953269"/>
    <n v="21.938003539999997"/>
    <x v="45"/>
    <x v="17"/>
    <s v="7.015876051"/>
    <x v="36"/>
    <s v="2.176722038"/>
    <x v="12"/>
    <s v="47.28073293"/>
    <s v="12.06161014"/>
    <s v="30.73550468"/>
    <s v="9.922152249"/>
    <s v="84.13501493"/>
    <s v="15.51511107"/>
    <s v="0.3498740029"/>
    <s v="0"/>
    <n v="27"/>
    <n v="13"/>
  </r>
  <r>
    <s v="Eswatini"/>
    <x v="4"/>
    <n v="1160.1639399999999"/>
    <n v="1160163.94"/>
    <n v="1.1601639399999999"/>
    <n v="1160163.94"/>
    <n v="1.1599999999999999"/>
    <n v="1.1609999999999998"/>
    <s v="24.17100143"/>
    <n v="0.2417100143"/>
    <n v="280423.24252774433"/>
    <n v="280.42324252774432"/>
    <n v="75.828998569999996"/>
    <x v="46"/>
    <x v="18"/>
    <s v="9.835567931"/>
    <x v="37"/>
    <s v="9.904293959"/>
    <x v="13"/>
    <s v="62.46644874"/>
    <s v="12.29969513"/>
    <s v="12.45046093"/>
    <s v="12.78339519"/>
    <s v="96.74976305"/>
    <s v="0.7460644731"/>
    <s v="1.632164244"/>
    <s v="0.8720082294"/>
    <n v="27"/>
    <n v="13"/>
  </r>
  <r>
    <s v="Cyprus"/>
    <x v="1"/>
    <n v="1207.360962"/>
    <n v="1207360.9620000001"/>
    <n v="1.2073609619999999"/>
    <n v="1207360.9619999998"/>
    <n v="1.2070000000000001"/>
    <n v="1.208"/>
    <s v="66.82099915"/>
    <n v="0.66820999150000004"/>
    <n v="806770.65815545188"/>
    <n v="806.77065815545188"/>
    <n v="33.179000849999994"/>
    <x v="47"/>
    <x v="0"/>
    <s v="0.2348268167"/>
    <x v="11"/>
    <s v="0"/>
    <x v="0"/>
    <s v="99.84576172"/>
    <s v="0"/>
    <s v="0.1542382836"/>
    <s v="0"/>
    <s v="99.72515812"/>
    <s v="0"/>
    <s v="0.2748418825"/>
    <s v="0"/>
    <n v="27"/>
    <n v="13"/>
  </r>
  <r>
    <s v="Mauritius"/>
    <x v="2"/>
    <n v="1271.7669679999999"/>
    <n v="1271766.9679999999"/>
    <n v="1.2717669679999999"/>
    <n v="1271766.9679999999"/>
    <n v="1.272"/>
    <n v="1.2719999999999998"/>
    <s v="40.75999832"/>
    <n v="0.40759998320000002"/>
    <n v="518372.19479111489"/>
    <n v="518.37219479111491"/>
    <n v="59.240001679999999"/>
    <x v="48"/>
    <x v="0"/>
    <s v="0.1337453014"/>
    <x v="38"/>
    <s v="0"/>
    <x v="0"/>
    <s v="99.82768234"/>
    <s v="0"/>
    <s v="0.1723176618"/>
    <s v="0"/>
    <s v="99.92231522"/>
    <s v="0"/>
    <s v="0.07768478119"/>
    <s v="0"/>
    <n v="27"/>
    <n v="13"/>
  </r>
  <r>
    <s v="Timor-Leste"/>
    <x v="4"/>
    <n v="1318.4420170000001"/>
    <n v="1318442.017"/>
    <n v="1.3184420170000002"/>
    <n v="1318442.0170000002"/>
    <n v="1.3180000000000001"/>
    <n v="1.319"/>
    <s v="31.31999969"/>
    <n v="0.3131999969"/>
    <n v="412936.03563722974"/>
    <n v="412.93603563722979"/>
    <n v="68.680000309999997"/>
    <x v="49"/>
    <x v="19"/>
    <s v="8.360029397"/>
    <x v="39"/>
    <s v="4.258503433"/>
    <x v="14"/>
    <s v="80.48779562"/>
    <s v="2.049364675"/>
    <s v="11.26233968"/>
    <s v="6.200500018"/>
    <s v="96.47695792"/>
    <s v="1.527338152"/>
    <s v="1.995703929"/>
    <s v="0"/>
    <n v="27"/>
    <n v="13"/>
  </r>
  <r>
    <s v="Estonia"/>
    <x v="1"/>
    <n v="1326.5389399999999"/>
    <n v="1326538.94"/>
    <n v="1.3265389399999998"/>
    <n v="1326538.94"/>
    <n v="1.327"/>
    <n v="1.327"/>
    <s v="69.22900391"/>
    <n v="0.69229003909999998"/>
    <n v="918349.69464027253"/>
    <n v="918.34969464027245"/>
    <n v="30.770996089999997"/>
    <x v="50"/>
    <x v="0"/>
    <s v="0.4092182232"/>
    <x v="28"/>
    <s v="0"/>
    <x v="0"/>
    <n v="0"/>
    <n v="0"/>
    <n v="0"/>
    <s v="NAN"/>
    <s v="99.98545421"/>
    <s v="0"/>
    <s v="0.01454579307"/>
    <s v="0"/>
    <n v="27"/>
    <n v="16"/>
  </r>
  <r>
    <s v="Trinidad and Tobago"/>
    <x v="1"/>
    <n v="1399.490967"/>
    <n v="1399490.9669999999"/>
    <n v="1.399490967"/>
    <n v="1399490.9669999999"/>
    <n v="1.399"/>
    <n v="1.4"/>
    <s v="53.2140007"/>
    <n v="0.53214000699999997"/>
    <n v="744725.13297581673"/>
    <n v="744.72513297581668"/>
    <n v="46.7859993"/>
    <x v="51"/>
    <x v="20"/>
    <s v="0"/>
    <x v="6"/>
    <s v="0"/>
    <x v="0"/>
    <n v="0"/>
    <n v="0"/>
    <n v="0"/>
    <s v="NAN"/>
    <s v="NAN"/>
    <s v="NAN"/>
    <s v="NAN"/>
    <s v="NAN"/>
    <n v="27"/>
    <n v="16"/>
  </r>
  <r>
    <s v="Bahrain"/>
    <x v="1"/>
    <n v="1701.5830080000001"/>
    <n v="1701583.0080000001"/>
    <n v="1.7015830080000001"/>
    <n v="1701583.0080000001"/>
    <n v="1.702"/>
    <n v="1.702"/>
    <s v="89.50600433"/>
    <n v="0.8950600433"/>
    <n v="1523018.9608190244"/>
    <n v="1523.0189608190242"/>
    <n v="10.493995670000004"/>
    <x v="6"/>
    <x v="0"/>
    <s v="0"/>
    <x v="6"/>
    <s v="0"/>
    <x v="0"/>
    <n v="0"/>
    <n v="0"/>
    <n v="0"/>
    <s v="NAN"/>
    <s v="NAN"/>
    <s v="NAN"/>
    <s v="NAN"/>
    <s v="NAN"/>
    <n v="27"/>
    <n v="16"/>
  </r>
  <r>
    <s v="Latvia"/>
    <x v="1"/>
    <n v="1886.2020259999999"/>
    <n v="1886202.0259999998"/>
    <n v="1.8862020259999999"/>
    <n v="1886202.0259999998"/>
    <n v="1.8859999999999999"/>
    <n v="1.8869999999999998"/>
    <s v="68.31500244"/>
    <n v="0.68315002440000006"/>
    <n v="1288558.9600852295"/>
    <n v="1288.5589600852295"/>
    <n v="31.684997559999999"/>
    <x v="52"/>
    <x v="21"/>
    <s v="0.5350981037"/>
    <x v="40"/>
    <s v="0"/>
    <x v="0"/>
    <s v="98.57922314"/>
    <s v="0"/>
    <s v="1.42077686"/>
    <s v="0"/>
    <s v="98.87692469"/>
    <s v="0.9987568151"/>
    <s v="0.1243184908"/>
    <s v="0"/>
    <n v="27"/>
    <n v="13"/>
  </r>
  <r>
    <s v="Guinea-Bissau"/>
    <x v="5"/>
    <n v="1967.998047"/>
    <n v="1967998.047"/>
    <n v="1.967998047"/>
    <n v="1967998.047"/>
    <n v="1.968"/>
    <n v="1.968"/>
    <s v="44.19599915"/>
    <n v="0.44195999149999998"/>
    <n v="869776.40012413659"/>
    <n v="869.77640012413656"/>
    <n v="55.804000850000001"/>
    <x v="53"/>
    <x v="22"/>
    <s v="26.6263769"/>
    <x v="41"/>
    <s v="0.3221395192"/>
    <x v="15"/>
    <s v="49.8319053"/>
    <s v="9.285773026"/>
    <s v="40.31645129"/>
    <s v="0.5658703845"/>
    <s v="70.61434791"/>
    <s v="20.03063358"/>
    <s v="9.340625284"/>
    <s v="0.01439322693"/>
    <n v="27"/>
    <n v="13"/>
  </r>
  <r>
    <s v="Slovenia"/>
    <x v="1"/>
    <n v="2078.931885"/>
    <n v="2078931.885"/>
    <n v="2.0789318849999998"/>
    <n v="2078931.8849999998"/>
    <n v="2.0790000000000002"/>
    <n v="2.0789999999999997"/>
    <s v="55.11800385"/>
    <n v="0.55118003849999997"/>
    <n v="1145865.7564131776"/>
    <n v="1145.8657564131775"/>
    <n v="44.881996149999999"/>
    <x v="54"/>
    <x v="0"/>
    <s v="0.5"/>
    <x v="42"/>
    <s v="0"/>
    <x v="0"/>
    <n v="0"/>
    <n v="0"/>
    <n v="0"/>
    <s v="NAN"/>
    <s v="NAN"/>
    <s v="NAN"/>
    <s v="NAN"/>
    <s v="NAN"/>
    <n v="27"/>
    <n v="16"/>
  </r>
  <r>
    <s v="North Macedonia"/>
    <x v="2"/>
    <n v="2083.3798830000001"/>
    <n v="2083379.8830000001"/>
    <n v="2.0833798830000001"/>
    <n v="2083379.8830000001"/>
    <n v="2.0830000000000002"/>
    <n v="2.0840000000000001"/>
    <s v="58.48199844"/>
    <n v="0.58481998439999994"/>
    <n v="1218402.1906753338"/>
    <n v="1218.4021906753337"/>
    <n v="41.518001560000002"/>
    <x v="55"/>
    <x v="23"/>
    <s v="0.5742284762"/>
    <x v="43"/>
    <s v="0.04796159706"/>
    <x v="9"/>
    <s v="97.46871457"/>
    <s v="1.505202232"/>
    <s v="0.9105631982"/>
    <s v="0.11552"/>
    <s v="97.93740299"/>
    <s v="1.727136954"/>
    <s v="0.3354600563"/>
    <s v="0"/>
    <n v="27"/>
    <n v="13"/>
  </r>
  <r>
    <s v="Lesotho"/>
    <x v="4"/>
    <n v="2142.251953"/>
    <n v="2142251.9529999997"/>
    <n v="2.1422519530000002"/>
    <n v="2142251.9530000002"/>
    <n v="2.1419999999999999"/>
    <n v="2.1429999999999998"/>
    <s v="29.02799988"/>
    <n v="0.29027999879999999"/>
    <n v="621852.89434613753"/>
    <n v="621.85289434613765"/>
    <n v="70.972000120000004"/>
    <x v="56"/>
    <x v="24"/>
    <s v="12.21725464"/>
    <x v="44"/>
    <s v="5.200780116"/>
    <x v="16"/>
    <s v="63.65035482"/>
    <s v="13.55843013"/>
    <s v="15.73132479"/>
    <s v="7.059890254"/>
    <s v="93.02090855"/>
    <s v="2.698211997"/>
    <s v="3.625530038"/>
    <s v="0.65534942"/>
    <n v="27"/>
    <n v="13"/>
  </r>
  <r>
    <s v="Gabon"/>
    <x v="2"/>
    <n v="2225.7280270000001"/>
    <n v="2225728.0270000002"/>
    <n v="2.2257280270000002"/>
    <n v="2225728.0270000002"/>
    <n v="2.226"/>
    <n v="2.226"/>
    <s v="90.09200287"/>
    <n v="0.90092002869999999"/>
    <n v="2005202.9579632345"/>
    <n v="2005.2029579632344"/>
    <n v="9.9079971299999983"/>
    <x v="57"/>
    <x v="25"/>
    <s v="6.922808357"/>
    <x v="45"/>
    <n v="0"/>
    <x v="0"/>
    <s v="44.74588901"/>
    <s v="10.51114859"/>
    <s v="44.7429624"/>
    <s v="NAN"/>
    <s v="89.80653917"/>
    <s v="7.42998076"/>
    <s v="2.763480072"/>
    <s v="NAN"/>
    <n v="27"/>
    <n v="14"/>
  </r>
  <r>
    <s v="Botswana"/>
    <x v="2"/>
    <n v="2351.625"/>
    <n v="2351625"/>
    <n v="2.3516249999999999"/>
    <n v="2351625"/>
    <n v="2.3519999999999999"/>
    <n v="2.3519999999999999"/>
    <s v="70.8769989"/>
    <n v="0.70876998899999999"/>
    <n v="1666761.225382125"/>
    <n v="1666.7612253821251"/>
    <n v="29.123001099999996"/>
    <x v="58"/>
    <x v="26"/>
    <s v="1.732526476"/>
    <x v="46"/>
    <s v="1.330871481"/>
    <x v="17"/>
    <s v="79.04372386"/>
    <s v="15.15494718"/>
    <s v="1.596119156"/>
    <s v="4.20520981"/>
    <s v="97.62498058"/>
    <s v="0.4366200322"/>
    <s v="1.788579159"/>
    <s v="0.1498202281"/>
    <n v="27"/>
    <n v="13"/>
  </r>
  <r>
    <s v="Gambia"/>
    <x v="5"/>
    <n v="2416.6640630000002"/>
    <n v="2416664.0630000001"/>
    <n v="2.4166640630000003"/>
    <n v="2416664.0630000001"/>
    <n v="2.4169999999999998"/>
    <n v="2.4169999999999998"/>
    <s v="62.58199692"/>
    <n v="0.62581996920000005"/>
    <n v="1512396.6294734071"/>
    <n v="1512.3966294734071"/>
    <n v="37.418003079999998"/>
    <x v="59"/>
    <x v="27"/>
    <s v="10.35285207"/>
    <x v="47"/>
    <s v="0.1093493927"/>
    <x v="18"/>
    <s v="69.18852321"/>
    <s v="16.49783239"/>
    <s v="14.24376547"/>
    <s v="0.0698789368"/>
    <s v="87.96690427"/>
    <s v="3.873689522"/>
    <s v="8.026457278"/>
    <s v="0.1329489253"/>
    <n v="27"/>
    <n v="13"/>
  </r>
  <r>
    <s v="Namibia"/>
    <x v="2"/>
    <n v="2540.9160160000001"/>
    <n v="2540916.0160000003"/>
    <n v="2.5409160160000002"/>
    <n v="2540916.0160000003"/>
    <n v="2.5409999999999999"/>
    <n v="2.5409999999999999"/>
    <s v="52.03300095"/>
    <n v="0.52033000949999997"/>
    <n v="1322114.8547439822"/>
    <n v="1322.1148547439821"/>
    <n v="47.966999049999998"/>
    <x v="60"/>
    <x v="28"/>
    <s v="3.740143722"/>
    <x v="48"/>
    <s v="4.902192485"/>
    <x v="19"/>
    <s v="71.25616743"/>
    <s v="11.97218925"/>
    <s v="7.081803759"/>
    <s v="9.689839563"/>
    <s v="96.26696535"/>
    <s v="2.584758965"/>
    <s v="0.6596102638"/>
    <s v="0.4886654211"/>
    <n v="27"/>
    <n v="13"/>
  </r>
  <r>
    <s v="Lithuania"/>
    <x v="1"/>
    <n v="2722.2910160000001"/>
    <n v="2722291.0160000003"/>
    <n v="2.7222910160000002"/>
    <n v="2722291.0160000003"/>
    <n v="2.722"/>
    <n v="2.7229999999999999"/>
    <s v="68.04599762"/>
    <n v="0.68045997619999998"/>
    <n v="1852410.079956834"/>
    <n v="1852.4100799568339"/>
    <n v="31.954002380000006"/>
    <x v="61"/>
    <x v="0"/>
    <s v="1.98665276"/>
    <x v="49"/>
    <s v="0"/>
    <x v="0"/>
    <s v="93.78278023"/>
    <s v="0"/>
    <s v="6.217219771"/>
    <s v="0"/>
    <s v="100"/>
    <s v="0"/>
    <s v="0"/>
    <s v="0"/>
    <n v="27"/>
    <n v="13"/>
  </r>
  <r>
    <s v="Puerto Rico"/>
    <x v="1"/>
    <n v="2860.8400879999999"/>
    <n v="2860840.088"/>
    <n v="2.8608400879999998"/>
    <n v="2860840.088"/>
    <n v="2.8610000000000002"/>
    <n v="2.8609999999999998"/>
    <s v="93.58100128"/>
    <n v="0.93581001279999998"/>
    <n v="2677202.7993700332"/>
    <n v="2677.2027993700331"/>
    <n v="6.4189987200000047"/>
    <x v="6"/>
    <x v="0"/>
    <s v="0"/>
    <x v="6"/>
    <s v="0"/>
    <x v="0"/>
    <n v="0"/>
    <n v="0"/>
    <n v="0"/>
    <s v="NAN"/>
    <s v="NAN"/>
    <s v="NAN"/>
    <s v="NAN"/>
    <s v="NAN"/>
    <n v="27"/>
    <n v="16"/>
  </r>
  <r>
    <s v="Albania"/>
    <x v="2"/>
    <n v="2877.8000489999999"/>
    <n v="2877800.0490000001"/>
    <n v="2.8778000489999997"/>
    <n v="2877800.0489999996"/>
    <n v="2.8780000000000001"/>
    <n v="2.8779999999999997"/>
    <s v="62.11199951"/>
    <n v="0.62111999509999993"/>
    <n v="1787459.1523336596"/>
    <n v="1787.4591523336596"/>
    <n v="37.888000490000003"/>
    <x v="62"/>
    <x v="29"/>
    <s v="3.047305081"/>
    <x v="50"/>
    <s v="0"/>
    <x v="0"/>
    <s v="94.09135806"/>
    <s v="2.305264955"/>
    <s v="3.603376986"/>
    <s v="0"/>
    <s v="95.66380912"/>
    <s v="1.62808683"/>
    <s v="2.708104054"/>
    <s v="0"/>
    <n v="27"/>
    <n v="13"/>
  </r>
  <r>
    <s v="Qatar"/>
    <x v="1"/>
    <n v="2881.0600589999999"/>
    <n v="2881060.0589999999"/>
    <n v="2.8810600589999997"/>
    <n v="2881060.0589999999"/>
    <n v="2.8809999999999998"/>
    <n v="2.8819999999999997"/>
    <s v="99.23500061"/>
    <n v="0.99235000610000001"/>
    <n v="2859019.9671231164"/>
    <n v="2859.0199671231162"/>
    <n v="0.76499938999999983"/>
    <x v="63"/>
    <x v="0"/>
    <s v="0.4318980637"/>
    <x v="51"/>
    <s v="0"/>
    <x v="0"/>
    <n v="0"/>
    <n v="0"/>
    <n v="0"/>
    <s v="NAN"/>
    <s v="NAN"/>
    <s v="NAN"/>
    <s v="NAN"/>
    <s v="NAN"/>
    <n v="27"/>
    <n v="16"/>
  </r>
  <r>
    <s v="Jamaica"/>
    <x v="2"/>
    <n v="2961.1608890000002"/>
    <n v="2961160.8890000004"/>
    <n v="2.9611608890000003"/>
    <n v="2961160.8890000004"/>
    <n v="2.9609999999999999"/>
    <n v="2.9619999999999997"/>
    <s v="56.31100082"/>
    <n v="0.56311000820000001"/>
    <n v="1667459.3324863096"/>
    <n v="1667.4593324863094"/>
    <n v="43.688999180000003"/>
    <x v="64"/>
    <x v="30"/>
    <s v="1.864010203"/>
    <x v="52"/>
    <s v="1.738474379"/>
    <x v="20"/>
    <s v="85.39991216"/>
    <s v="8.490737371"/>
    <s v="2.568971895"/>
    <s v="3.540378574"/>
    <s v="95.39801591"/>
    <s v="2.944456223"/>
    <s v="1.317064322"/>
    <s v="0.34046355"/>
    <n v="27"/>
    <n v="13"/>
  </r>
  <r>
    <s v="Armenia"/>
    <x v="2"/>
    <n v="2963.2338869999999"/>
    <n v="2963233.8869999996"/>
    <n v="2.9632338869999999"/>
    <n v="2963233.8870000001"/>
    <n v="2.9630000000000001"/>
    <n v="2.964"/>
    <s v="63.31299973"/>
    <n v="0.63312999729999997"/>
    <n v="1876112.2628755781"/>
    <n v="1876.1122628755784"/>
    <n v="36.687000269999999"/>
    <x v="65"/>
    <x v="0"/>
    <s v="0.02881930801"/>
    <x v="8"/>
    <s v="0"/>
    <x v="0"/>
    <s v="100"/>
    <s v="0"/>
    <s v="0"/>
    <s v="0"/>
    <s v="99.95448122"/>
    <s v="0"/>
    <s v="0.04551878364"/>
    <s v="0"/>
    <n v="27"/>
    <n v="13"/>
  </r>
  <r>
    <s v="Mongolia"/>
    <x v="4"/>
    <n v="3278.2919919999999"/>
    <n v="3278291.9920000001"/>
    <n v="3.2782919919999998"/>
    <n v="3278291.9919999996"/>
    <n v="3.278"/>
    <n v="3.2789999999999999"/>
    <s v="68.65699768"/>
    <n v="0.68656997679999998"/>
    <n v="2250776.8568910658"/>
    <n v="2250.7768568910656"/>
    <n v="31.343002319999997"/>
    <x v="66"/>
    <x v="31"/>
    <s v="6.633366714"/>
    <x v="53"/>
    <s v="5.724579081"/>
    <x v="21"/>
    <s v="61.07075114"/>
    <s v="3.084170572"/>
    <s v="17.58078116"/>
    <s v="18.26429713"/>
    <s v="96.64596558"/>
    <s v="1.718335079"/>
    <s v="1.635699341"/>
    <s v="0"/>
    <n v="27"/>
    <n v="13"/>
  </r>
  <r>
    <s v="Bosnia and Herzegovina"/>
    <x v="2"/>
    <n v="3280.8149410000001"/>
    <n v="3280814.9410000001"/>
    <n v="3.280814941"/>
    <n v="3280814.9410000001"/>
    <n v="3.2810000000000001"/>
    <n v="3.2809999999999997"/>
    <s v="49.02000046"/>
    <n v="0.49020000459999996"/>
    <n v="1608255.4991699487"/>
    <n v="1608.2554991699487"/>
    <n v="50.979999540000001"/>
    <x v="67"/>
    <x v="32"/>
    <s v="0.06243843752"/>
    <x v="54"/>
    <s v="0"/>
    <x v="0"/>
    <s v="97.33333333"/>
    <s v="2.666666667"/>
    <s v="0"/>
    <s v="0"/>
    <s v="94.8457044"/>
    <s v="5.026922206"/>
    <s v="0.1273733928"/>
    <s v="0"/>
    <n v="27"/>
    <n v="13"/>
  </r>
  <r>
    <s v="Uruguay"/>
    <x v="1"/>
    <n v="3473.7270509999998"/>
    <n v="3473727.051"/>
    <n v="3.473727051"/>
    <n v="3473727.051"/>
    <n v="3.4740000000000002"/>
    <n v="3.4739999999999998"/>
    <s v="95.51499939"/>
    <n v="0.95514999389999999"/>
    <n v="3317930.371572915"/>
    <n v="3317.9303715729147"/>
    <n v="4.4850006100000002"/>
    <x v="68"/>
    <x v="33"/>
    <s v="0"/>
    <x v="6"/>
    <s v="0"/>
    <x v="0"/>
    <s v="95.30083"/>
    <s v="4.69917"/>
    <s v="0"/>
    <s v="0"/>
    <s v="99.69273444"/>
    <s v="0.3072655617"/>
    <s v="0"/>
    <s v="0"/>
    <n v="27"/>
    <n v="13"/>
  </r>
  <r>
    <s v="Georgia"/>
    <x v="2"/>
    <n v="3989.1750489999999"/>
    <n v="3989175.0490000001"/>
    <n v="3.989175049"/>
    <n v="3989175.0490000001"/>
    <n v="3.9889999999999999"/>
    <n v="3.9899999999999998"/>
    <s v="59.4529953"/>
    <n v="0.594529953"/>
    <n v="2371684.0543907429"/>
    <n v="2371.6840543907429"/>
    <n v="40.547004700000002"/>
    <x v="69"/>
    <x v="0"/>
    <s v="2.632761379"/>
    <x v="55"/>
    <s v="0.01909892327"/>
    <x v="22"/>
    <s v="94.2718842"/>
    <s v="0"/>
    <s v="5.703923618"/>
    <s v="0.02419218345"/>
    <s v="99.44615394"/>
    <s v="0"/>
    <s v="0.538220742"/>
    <s v="0.01562531586"/>
    <n v="27"/>
    <n v="13"/>
  </r>
  <r>
    <s v="Republic of Moldova"/>
    <x v="2"/>
    <n v="4033.9628910000001"/>
    <n v="4033962.8910000003"/>
    <n v="4.0339628909999998"/>
    <n v="4033962.8909999998"/>
    <n v="4.0339999999999998"/>
    <n v="4.0340000000000007"/>
    <s v="42.84900284"/>
    <n v="0.42849002839999994"/>
    <n v="1728512.8737291361"/>
    <n v="1728.5128737291359"/>
    <n v="57.150997160000003"/>
    <x v="70"/>
    <x v="34"/>
    <s v="7.910260997"/>
    <x v="56"/>
    <s v="0"/>
    <x v="0"/>
    <s v="85.48103812"/>
    <s v="1.52256302"/>
    <s v="12.99639886"/>
    <s v="0"/>
    <s v="97.35744448"/>
    <s v="1.516060408"/>
    <s v="1.126495111"/>
    <s v="0"/>
    <n v="27"/>
    <n v="13"/>
  </r>
  <r>
    <s v="Croatia"/>
    <x v="1"/>
    <n v="4105.2680659999996"/>
    <n v="4105268.0659999996"/>
    <n v="4.1052680659999998"/>
    <n v="4105268.0659999996"/>
    <n v="4.1050000000000004"/>
    <n v="4.1060000000000008"/>
    <s v="57.55299759"/>
    <n v="0.57552997589999999"/>
    <n v="2362704.8310880195"/>
    <n v="2362.7048310880195"/>
    <n v="42.447002410000003"/>
    <x v="71"/>
    <x v="0"/>
    <n v="0"/>
    <x v="6"/>
    <n v="0"/>
    <x v="0"/>
    <n v="0"/>
    <n v="0"/>
    <n v="0"/>
    <s v="NAN"/>
    <s v="100"/>
    <s v="0"/>
    <s v="0"/>
    <s v="0"/>
    <n v="27"/>
    <n v="19"/>
  </r>
  <r>
    <s v="Kuwait"/>
    <x v="1"/>
    <n v="4270.5629879999997"/>
    <n v="4270562.9879999999"/>
    <n v="4.270562988"/>
    <n v="4270562.9879999999"/>
    <n v="4.2709999999999999"/>
    <n v="4.2709999999999999"/>
    <s v="100"/>
    <n v="1"/>
    <n v="4270562.9879999999"/>
    <n v="4270.5629879999997"/>
    <n v="0"/>
    <x v="6"/>
    <x v="0"/>
    <s v="0"/>
    <x v="6"/>
    <s v="0"/>
    <x v="0"/>
    <n v="0"/>
    <n v="0"/>
    <n v="0"/>
    <s v="NAN"/>
    <s v="NAN"/>
    <s v="NAN"/>
    <s v="NAN"/>
    <s v="NAN"/>
    <n v="27"/>
    <n v="16"/>
  </r>
  <r>
    <s v="Panama"/>
    <x v="1"/>
    <n v="4314.7680659999996"/>
    <n v="4314768.0659999996"/>
    <n v="4.3147680660000001"/>
    <n v="4314768.0659999996"/>
    <n v="4.3150000000000004"/>
    <n v="4.3150000000000004"/>
    <s v="68.41400146"/>
    <n v="0.68414001459999996"/>
    <n v="2951905.4876688533"/>
    <n v="2951.9054876688533"/>
    <n v="31.585998540000006"/>
    <x v="72"/>
    <x v="35"/>
    <s v="2.262304247"/>
    <x v="57"/>
    <s v="1.491670799"/>
    <x v="23"/>
    <s v="86.32308326"/>
    <s v="1.791982583"/>
    <s v="7.162364342"/>
    <s v="4.722569811"/>
    <s v="98.08889267"/>
    <s v="1.911107333"/>
    <s v="0"/>
    <s v="0"/>
    <n v="27"/>
    <n v="13"/>
  </r>
  <r>
    <s v="Mauritania"/>
    <x v="4"/>
    <n v="4649.6601559999999"/>
    <n v="4649660.1559999995"/>
    <n v="4.6496601559999995"/>
    <n v="4649660.1559999995"/>
    <n v="4.6500000000000004"/>
    <n v="4.6500000000000004"/>
    <s v="55.32699585"/>
    <n v="0.55326995850000005"/>
    <n v="2572517.2815492237"/>
    <n v="2572.5172815492238"/>
    <n v="44.673004149999997"/>
    <x v="73"/>
    <x v="36"/>
    <s v="14.82032681"/>
    <x v="58"/>
    <s v="0.02173203433"/>
    <x v="22"/>
    <s v="49.9113389"/>
    <s v="18.49039689"/>
    <s v="31.5496173"/>
    <s v="0.04864690722"/>
    <s v="89.25869465"/>
    <s v="9.428808083"/>
    <s v="1.31249727"/>
    <s v="0"/>
    <n v="27"/>
    <n v="13"/>
  </r>
  <r>
    <s v="New Zealand"/>
    <x v="1"/>
    <n v="4822.2329099999997"/>
    <n v="4822232.91"/>
    <n v="4.8222329099999994"/>
    <n v="4822232.9099999992"/>
    <n v="4.8220000000000001"/>
    <n v="4.8230000000000004"/>
    <s v="86.6989975"/>
    <n v="0.86698997500000008"/>
    <n v="4180827.5900850776"/>
    <n v="4180.8275900850776"/>
    <n v="13.301002499999996"/>
    <x v="74"/>
    <x v="0"/>
    <s v="0"/>
    <x v="6"/>
    <s v="0"/>
    <x v="0"/>
    <s v="100"/>
    <s v="0"/>
    <s v="0"/>
    <s v="0"/>
    <s v="100"/>
    <s v="0"/>
    <s v="0"/>
    <s v="0"/>
    <n v="27"/>
    <n v="13"/>
  </r>
  <r>
    <s v="Central African Republic"/>
    <x v="5"/>
    <n v="4829.7641599999997"/>
    <n v="4829764.16"/>
    <n v="4.8297641599999999"/>
    <n v="4829764.16"/>
    <n v="4.83"/>
    <n v="4.83"/>
    <s v="42.19799805"/>
    <n v="0.42197998050000002"/>
    <n v="2038063.7860563991"/>
    <n v="2038.0637860563988"/>
    <n v="57.802001949999998"/>
    <x v="75"/>
    <x v="37"/>
    <s v="33.53911377"/>
    <x v="59"/>
    <s v="3.576110708"/>
    <x v="24"/>
    <s v="28.10659415"/>
    <s v="19.4058899"/>
    <s v="46.37307301"/>
    <s v="6.114442944"/>
    <s v="49.66166495"/>
    <s v="34.27978009"/>
    <s v="15.95940214"/>
    <s v="0.09915281712"/>
    <n v="27"/>
    <n v="13"/>
  </r>
  <r>
    <s v="Ireland"/>
    <x v="1"/>
    <n v="4937.7958980000003"/>
    <n v="4937795.898"/>
    <n v="4.9377958980000001"/>
    <n v="4937795.898"/>
    <n v="4.9379999999999997"/>
    <n v="4.9380000000000006"/>
    <s v="63.65299988"/>
    <n v="0.63652999880000005"/>
    <n v="3143055.2170285853"/>
    <n v="3143.0552170285855"/>
    <n v="36.347000119999997"/>
    <x v="76"/>
    <x v="0"/>
    <s v="2.600293485"/>
    <x v="60"/>
    <s v="0"/>
    <x v="0"/>
    <s v="98.13492075"/>
    <s v="0"/>
    <s v="1.865079247"/>
    <s v="0"/>
    <s v="96.97988603"/>
    <s v="0"/>
    <s v="3.020113966"/>
    <s v="0"/>
    <n v="27"/>
    <n v="13"/>
  </r>
  <r>
    <s v="Liberia"/>
    <x v="5"/>
    <n v="5057.6767579999996"/>
    <n v="5057676.7579999994"/>
    <n v="5.0576767579999995"/>
    <n v="5057676.7579999994"/>
    <n v="5.0579999999999998"/>
    <n v="5.0580000000000007"/>
    <s v="52.08899689"/>
    <n v="0.52088996889999994"/>
    <n v="2634493.0891808723"/>
    <n v="2634.4930891808722"/>
    <n v="47.911003110000003"/>
    <x v="77"/>
    <x v="38"/>
    <s v="3.488080869"/>
    <x v="61"/>
    <s v="12.54947006"/>
    <x v="25"/>
    <s v="64.10021689"/>
    <s v="6.537775797"/>
    <s v="3.383709875"/>
    <s v="25.97829744"/>
    <s v="85.52810963"/>
    <s v="10.69005698"/>
    <s v="3.58408039"/>
    <s v="0.1977530006"/>
    <n v="27"/>
    <n v="13"/>
  </r>
  <r>
    <s v="Costa Rica"/>
    <x v="2"/>
    <n v="5094.1137699999999"/>
    <n v="5094113.7699999996"/>
    <n v="5.0941137699999999"/>
    <n v="5094113.7699999996"/>
    <n v="5.0940000000000003"/>
    <n v="5.0950000000000006"/>
    <s v="80.77099609"/>
    <n v="0.80770996090000002"/>
    <n v="4114566.4339868515"/>
    <n v="4114.5664339868517"/>
    <n v="19.229003910000003"/>
    <x v="78"/>
    <x v="39"/>
    <s v="0.000003594451897"/>
    <x v="6"/>
    <s v="0"/>
    <x v="0"/>
    <s v="99.64625"/>
    <s v="0.35375"/>
    <s v="0"/>
    <s v="0"/>
    <s v="99.84965286"/>
    <s v="0.1503471429"/>
    <s v="0"/>
    <s v="0"/>
    <n v="27"/>
    <n v="13"/>
  </r>
  <r>
    <s v="West Bank and Gaza Strip"/>
    <x v="4"/>
    <n v="5101.4160160000001"/>
    <n v="5101416.0159999998"/>
    <n v="5.1014160159999999"/>
    <n v="5101416.0159999998"/>
    <n v="5.101"/>
    <n v="5.1020000000000003"/>
    <s v="76.71899414"/>
    <n v="0.76718994140000007"/>
    <n v="3913755.0543720615"/>
    <n v="3913.7550543720617"/>
    <n v="23.281005859999993"/>
    <x v="79"/>
    <x v="40"/>
    <s v="1.089623295"/>
    <x v="62"/>
    <n v="0"/>
    <x v="0"/>
    <s v="98.71555642"/>
    <s v="0.3174006273"/>
    <s v="0.9670429576"/>
    <s v="NAN"/>
    <s v="97.62696443"/>
    <s v="1.246217358"/>
    <s v="1.126818208"/>
    <s v="NAN"/>
    <n v="27"/>
    <n v="14"/>
  </r>
  <r>
    <s v="Oman"/>
    <x v="1"/>
    <n v="5106.6220700000003"/>
    <n v="5106622.07"/>
    <n v="5.1066220700000002"/>
    <n v="5106622.07"/>
    <n v="5.1070000000000002"/>
    <n v="5.1070000000000002"/>
    <s v="86.27599335"/>
    <n v="0.86275993349999991"/>
    <n v="4405788.9175228318"/>
    <n v="4405.788917522832"/>
    <n v="13.724006650000007"/>
    <x v="80"/>
    <x v="41"/>
    <s v="0.2604052036"/>
    <x v="63"/>
    <s v="0.03015021745"/>
    <x v="26"/>
    <s v="76.25077991"/>
    <s v="21.63212113"/>
    <s v="1.897409218"/>
    <s v="0.2196897375"/>
    <s v="94.7"/>
    <s v="5.3"/>
    <s v="0"/>
    <s v="0"/>
    <n v="27"/>
    <n v="13"/>
  </r>
  <r>
    <s v="Norway"/>
    <x v="1"/>
    <n v="5421.2421880000002"/>
    <n v="5421242.1880000001"/>
    <n v="5.4212421879999999"/>
    <n v="5421242.1880000001"/>
    <n v="5.4210000000000003"/>
    <n v="5.4220000000000006"/>
    <s v="82.97399139"/>
    <n v="0.8297399138999999"/>
    <n v="4498221.0263021672"/>
    <n v="4498.221026302167"/>
    <n v="17.026008610000005"/>
    <x v="81"/>
    <x v="0"/>
    <s v="0.000004503407453"/>
    <x v="6"/>
    <s v="0"/>
    <x v="0"/>
    <s v="100"/>
    <s v="0"/>
    <s v="0"/>
    <s v="0"/>
    <s v="100"/>
    <s v="0"/>
    <s v="0"/>
    <s v="0"/>
    <n v="27"/>
    <n v="13"/>
  </r>
  <r>
    <s v="Slovakia"/>
    <x v="1"/>
    <n v="5459.6430659999996"/>
    <n v="5459643.0659999996"/>
    <n v="5.4596430659999999"/>
    <n v="5459643.0659999996"/>
    <n v="5.46"/>
    <n v="5.46"/>
    <s v="53.75999832"/>
    <n v="0.53759998320000002"/>
    <n v="2935104.0205595964"/>
    <n v="2935.1040205595964"/>
    <n v="46.240001679999999"/>
    <x v="82"/>
    <x v="42"/>
    <s v="0"/>
    <x v="6"/>
    <s v="0"/>
    <x v="0"/>
    <s v="100"/>
    <s v="0"/>
    <s v="0"/>
    <s v="0"/>
    <s v="99.60509406"/>
    <s v="0.3949059374"/>
    <s v="0"/>
    <s v="0"/>
    <n v="27"/>
    <n v="13"/>
  </r>
  <r>
    <s v="Congo"/>
    <x v="4"/>
    <n v="5518.091797"/>
    <n v="5518091.7970000003"/>
    <n v="5.5180917970000003"/>
    <n v="5518091.7970000003"/>
    <n v="5.5179999999999998"/>
    <n v="5.5190000000000001"/>
    <s v="67.82900238"/>
    <n v="0.67829002380000003"/>
    <n v="3742866.616317715"/>
    <n v="3742.8666163177149"/>
    <n v="32.170997619999994"/>
    <x v="83"/>
    <x v="43"/>
    <s v="9.559180722"/>
    <x v="64"/>
    <s v="6.195135664"/>
    <x v="27"/>
    <s v="45.72441318"/>
    <s v="10.6323901"/>
    <s v="24.40516973"/>
    <s v="19.23802699"/>
    <s v="87.09329616"/>
    <s v="10.37996439"/>
    <s v="2.517789997"/>
    <s v="0.008949452055"/>
    <n v="27"/>
    <n v="13"/>
  </r>
  <r>
    <s v="Finland"/>
    <x v="1"/>
    <n v="5540.7177730000003"/>
    <n v="5540717.773"/>
    <n v="5.5407177729999999"/>
    <n v="5540717.773"/>
    <n v="5.5410000000000004"/>
    <n v="5.5410000000000004"/>
    <s v="85.51700592"/>
    <n v="0.8551700592"/>
    <n v="4738255.945946902"/>
    <n v="4738.2559459469021"/>
    <n v="14.482994079999997"/>
    <x v="84"/>
    <x v="0"/>
    <s v="0"/>
    <x v="6"/>
    <s v="0"/>
    <x v="0"/>
    <s v="100"/>
    <s v="0"/>
    <s v="0"/>
    <s v="0"/>
    <s v="100"/>
    <s v="0"/>
    <s v="0"/>
    <s v="0"/>
    <n v="27"/>
    <n v="13"/>
  </r>
  <r>
    <s v="Denmark"/>
    <x v="1"/>
    <n v="5792.203125"/>
    <n v="5792203.125"/>
    <n v="5.7922031250000003"/>
    <n v="5792203.125"/>
    <n v="5.7919999999999998"/>
    <n v="5.7930000000000001"/>
    <s v="88.11600494"/>
    <n v="0.88116004939999992"/>
    <n v="5103857.9917598339"/>
    <n v="5103.8579917598336"/>
    <n v="11.883995060000004"/>
    <x v="85"/>
    <x v="0"/>
    <s v="0"/>
    <x v="6"/>
    <s v="0"/>
    <x v="0"/>
    <s v="100"/>
    <s v="0"/>
    <s v="0"/>
    <s v="0"/>
    <s v="100"/>
    <s v="0"/>
    <s v="0"/>
    <s v="0"/>
    <n v="27"/>
    <n v="13"/>
  </r>
  <r>
    <s v="Singapore"/>
    <x v="1"/>
    <n v="5850.3427730000003"/>
    <n v="5850342.773"/>
    <n v="5.8503427730000004"/>
    <n v="5850342.773"/>
    <n v="5.85"/>
    <n v="5.851"/>
    <s v="100"/>
    <n v="1"/>
    <n v="5850342.773"/>
    <n v="5850.3427730000003"/>
    <n v="0"/>
    <x v="6"/>
    <x v="0"/>
    <s v="0"/>
    <x v="6"/>
    <s v="0"/>
    <x v="0"/>
    <n v="0"/>
    <n v="0"/>
    <n v="0"/>
    <s v="NAN"/>
    <s v="100"/>
    <s v="0"/>
    <s v="0"/>
    <s v="0"/>
    <n v="27"/>
    <n v="16"/>
  </r>
  <r>
    <s v="Turkmenistan"/>
    <x v="2"/>
    <n v="6031.1870120000003"/>
    <n v="6031187.0120000001"/>
    <n v="6.0311870120000002"/>
    <n v="6031187.0120000001"/>
    <n v="6.0309999999999997"/>
    <n v="6.032"/>
    <s v="52.51600266"/>
    <n v="0.52516002659999994"/>
    <n v="3167338.3316514944"/>
    <n v="3167.3383316514942"/>
    <n v="47.483997340000002"/>
    <x v="6"/>
    <x v="0"/>
    <s v="0"/>
    <x v="6"/>
    <s v="0"/>
    <x v="0"/>
    <s v="100"/>
    <s v="0"/>
    <s v="0"/>
    <s v="0"/>
    <s v="100"/>
    <s v="0"/>
    <s v="0"/>
    <s v="0"/>
    <n v="27"/>
    <n v="13"/>
  </r>
  <r>
    <s v="El Salvador"/>
    <x v="4"/>
    <n v="6486.201172"/>
    <n v="6486201.1720000003"/>
    <n v="6.4862011720000003"/>
    <n v="6486201.1720000003"/>
    <n v="6.4859999999999998"/>
    <n v="6.4870000000000001"/>
    <s v="73.44400024"/>
    <n v="0.73444000239999996"/>
    <n v="4763725.604330563"/>
    <n v="4763.7256043305624"/>
    <n v="26.555999760000006"/>
    <x v="86"/>
    <x v="42"/>
    <s v="0.3151739969"/>
    <x v="65"/>
    <s v="1.530987366"/>
    <x v="28"/>
    <s v="93.45439508"/>
    <s v="0.7804762049"/>
    <s v="0"/>
    <s v="5.765128712"/>
    <s v="99.57087001"/>
    <s v="0"/>
    <s v="0.4291299944"/>
    <s v="0"/>
    <n v="27"/>
    <n v="13"/>
  </r>
  <r>
    <s v="Kyrgyzstan"/>
    <x v="0"/>
    <n v="6524.1909180000002"/>
    <n v="6524190.9180000005"/>
    <n v="6.5241909180000004"/>
    <n v="6524190.9180000005"/>
    <n v="6.524"/>
    <n v="6.5250000000000004"/>
    <s v="36.85599899"/>
    <n v="0.36855998990000005"/>
    <n v="2404555.7388437521"/>
    <n v="2404.5557388437524"/>
    <n v="63.144001009999997"/>
    <x v="87"/>
    <x v="44"/>
    <s v="1.8656487"/>
    <x v="66"/>
    <s v="4.534311965"/>
    <x v="29"/>
    <s v="87.258429"/>
    <s v="2.606070485"/>
    <s v="2.954593684"/>
    <s v="7.180906832"/>
    <s v="99.30769231"/>
    <s v="0.6923076923"/>
    <s v="0"/>
    <s v="0"/>
    <n v="27"/>
    <n v="13"/>
  </r>
  <r>
    <s v="Nicaragua"/>
    <x v="4"/>
    <n v="6624.5541990000002"/>
    <n v="6624554.199"/>
    <n v="6.6245541990000003"/>
    <n v="6624554.199"/>
    <n v="6.625"/>
    <n v="6.625"/>
    <s v="59.01200104"/>
    <n v="0.59012001040000006"/>
    <n v="3909281.992809244"/>
    <n v="3909.281992809244"/>
    <n v="40.987998959999999"/>
    <x v="88"/>
    <x v="45"/>
    <s v="13.53053114"/>
    <x v="67"/>
    <s v="3.254069378"/>
    <x v="30"/>
    <s v="59.10744663"/>
    <s v="3.520974285"/>
    <s v="29.78017368"/>
    <s v="7.5914054"/>
    <s v="97.40695661"/>
    <s v="0.1075523143"/>
    <s v="2.244007656"/>
    <s v="0.2414834229"/>
    <n v="27"/>
    <n v="13"/>
  </r>
  <r>
    <s v="Lebanon"/>
    <x v="4"/>
    <n v="6825.4418949999999"/>
    <n v="6825441.8949999996"/>
    <n v="6.825441895"/>
    <n v="6825441.8949999996"/>
    <n v="6.8250000000000002"/>
    <n v="6.8260000000000005"/>
    <s v="88.92499542"/>
    <n v="0.88924995419999997"/>
    <n v="6069523.8925235104"/>
    <n v="6069.5238925235108"/>
    <n v="11.075004579999998"/>
    <x v="89"/>
    <x v="46"/>
    <s v="0"/>
    <x v="6"/>
    <s v="0"/>
    <x v="0"/>
    <n v="0"/>
    <n v="0"/>
    <n v="0"/>
    <s v="NAN"/>
    <s v="NAN"/>
    <s v="NAN"/>
    <s v="NAN"/>
    <s v="NAN"/>
    <n v="27"/>
    <n v="16"/>
  </r>
  <r>
    <s v="Libya"/>
    <x v="2"/>
    <n v="6871.2871089999999"/>
    <n v="6871287.1090000002"/>
    <n v="6.8712871089999998"/>
    <n v="6871287.1090000002"/>
    <n v="6.8710000000000004"/>
    <n v="6.8720000000000008"/>
    <s v="80.69100189"/>
    <n v="0.80691001889999991"/>
    <n v="5544510.4109905157"/>
    <n v="5544.510410990516"/>
    <n v="19.308998110000005"/>
    <x v="90"/>
    <x v="0"/>
    <s v="0.1084762012"/>
    <x v="68"/>
    <s v="0"/>
    <x v="0"/>
    <n v="0"/>
    <n v="0"/>
    <n v="0"/>
    <s v="NAN"/>
    <s v="NAN"/>
    <s v="NAN"/>
    <s v="NAN"/>
    <s v="NAN"/>
    <n v="27"/>
    <n v="16"/>
  </r>
  <r>
    <s v="Bulgaria"/>
    <x v="2"/>
    <n v="6948.4448240000002"/>
    <n v="6948444.824"/>
    <n v="6.9484448240000001"/>
    <n v="6948444.824"/>
    <n v="6.9480000000000004"/>
    <n v="6.9490000000000007"/>
    <s v="75.68599701"/>
    <n v="0.75685997009999995"/>
    <n v="5258999.7417341396"/>
    <n v="5258.9997417341392"/>
    <n v="24.314002990000006"/>
    <x v="91"/>
    <x v="0"/>
    <s v="0.9885830607"/>
    <x v="69"/>
    <s v="0"/>
    <x v="0"/>
    <s v="97.40128797"/>
    <s v="0"/>
    <s v="2.598712031"/>
    <s v="0"/>
    <s v="99.5286704"/>
    <s v="0"/>
    <s v="0.4713296007"/>
    <s v="0"/>
    <n v="27"/>
    <n v="13"/>
  </r>
  <r>
    <s v="Paraguay"/>
    <x v="2"/>
    <n v="7132.5297849999997"/>
    <n v="7132529.7850000001"/>
    <n v="7.132529785"/>
    <n v="7132529.7850000001"/>
    <n v="7.133"/>
    <n v="7.133"/>
    <s v="62.18299484"/>
    <n v="0.62182994839999994"/>
    <n v="4435220.6281680129"/>
    <n v="4435.2206281680128"/>
    <n v="37.817005160000001"/>
    <x v="92"/>
    <x v="47"/>
    <s v="0.0000034229177"/>
    <x v="6"/>
    <s v="0"/>
    <x v="0"/>
    <s v="99.11122753"/>
    <s v="0.8887724684"/>
    <s v="0"/>
    <s v="0"/>
    <s v="99.88674854"/>
    <s v="0.1132514643"/>
    <s v="0"/>
    <s v="0"/>
    <n v="27"/>
    <n v="13"/>
  </r>
  <r>
    <s v="Lao People's Democratic Republic"/>
    <x v="4"/>
    <n v="7275.5561520000001"/>
    <n v="7275556.1519999998"/>
    <n v="7.2755561520000001"/>
    <n v="7275556.1519999998"/>
    <n v="7.2759999999999998"/>
    <n v="7.2760000000000007"/>
    <s v="36.29000092"/>
    <n v="0.36290000919999998"/>
    <n v="2640299.3944959166"/>
    <n v="2640.2993944959167"/>
    <n v="63.709999080000003"/>
    <x v="93"/>
    <x v="48"/>
    <s v="10.62886799"/>
    <x v="70"/>
    <s v="0.5845310938"/>
    <x v="31"/>
    <s v="78.47295942"/>
    <s v="5.598583786"/>
    <s v="15.0109696"/>
    <s v="0.9174871957"/>
    <s v="97.06426222"/>
    <s v="0"/>
    <s v="2.935737778"/>
    <s v="0"/>
    <n v="27"/>
    <n v="13"/>
  </r>
  <r>
    <s v="China, Hong Kong SAR"/>
    <x v="1"/>
    <n v="7496.9877930000002"/>
    <n v="7496987.7930000005"/>
    <n v="7.4969877930000006"/>
    <n v="7496987.7930000005"/>
    <n v="7.4969999999999999"/>
    <n v="7.4970000000000008"/>
    <s v="100"/>
    <n v="1"/>
    <n v="7496987.7930000005"/>
    <n v="7496.9877930000002"/>
    <n v="0"/>
    <x v="6"/>
    <x v="0"/>
    <s v="0"/>
    <x v="6"/>
    <s v="0"/>
    <x v="0"/>
    <n v="0"/>
    <n v="0"/>
    <n v="0"/>
    <s v="NAN"/>
    <s v="100"/>
    <s v="0"/>
    <s v="0"/>
    <s v="0"/>
    <n v="27"/>
    <n v="16"/>
  </r>
  <r>
    <s v="Sierra Leone"/>
    <x v="5"/>
    <n v="7976.9848629999997"/>
    <n v="7976984.8629999999"/>
    <n v="7.9769848629999993"/>
    <n v="7976984.862999999"/>
    <n v="7.9770000000000003"/>
    <n v="7.9770000000000003"/>
    <s v="42.92300034"/>
    <n v="0.4292300034"/>
    <n v="3423961.2398672383"/>
    <n v="3423.9612398672384"/>
    <n v="57.076999659999998"/>
    <x v="94"/>
    <x v="49"/>
    <s v="15.5639457;11.64645233"/>
    <x v="6"/>
    <s v="52.75270267"/>
    <x v="32"/>
    <s v="5.221136889"/>
    <s v="23.14294909"/>
    <s v="18.88321135"/>
    <s v="78.41163766"/>
    <s v="14.07927743"/>
    <s v="5.485735437"/>
    <s v="2.023349475"/>
    <s v=""/>
    <n v="27"/>
    <n v="13"/>
  </r>
  <r>
    <s v="Togo"/>
    <x v="5"/>
    <n v="8278.7373050000006"/>
    <n v="8278737.3050000006"/>
    <n v="8.2787373049999999"/>
    <n v="8278737.3049999997"/>
    <n v="8.2789999999999999"/>
    <n v="8.2789999999999999"/>
    <s v="42.79999924"/>
    <n v="0.42799999239999997"/>
    <n v="3543299.5036215964"/>
    <n v="3543.2995036215966"/>
    <n v="57.200000760000002"/>
    <x v="95"/>
    <x v="50"/>
    <s v="14.16432245"/>
    <x v="71"/>
    <s v="11.18652269"/>
    <x v="33"/>
    <s v="52.11755275"/>
    <s v="8.187542019"/>
    <s v="20.7910842"/>
    <s v="18.90382103"/>
    <s v="90.58991001"/>
    <s v="3.229348056"/>
    <s v="5.307990528"/>
    <s v="0.8727514049"/>
    <n v="27"/>
    <n v="13"/>
  </r>
  <r>
    <s v="Switzerland"/>
    <x v="1"/>
    <n v="8654.6181639999995"/>
    <n v="8654618.1639999989"/>
    <n v="8.6546181640000004"/>
    <n v="8654618.1640000008"/>
    <n v="8.6549999999999994"/>
    <n v="8.6549999999999994"/>
    <s v="73.91500092"/>
    <n v="0.73915000919999996"/>
    <n v="6397061.0955430856"/>
    <n v="6397.0610955430866"/>
    <n v="26.084999080000003"/>
    <x v="96"/>
    <x v="0"/>
    <s v="0"/>
    <x v="6"/>
    <s v="0"/>
    <x v="0"/>
    <s v="100"/>
    <s v="0"/>
    <s v="0"/>
    <s v="0"/>
    <s v="100"/>
    <s v="0"/>
    <s v="0"/>
    <s v="0"/>
    <n v="27"/>
    <n v="13"/>
  </r>
  <r>
    <s v="Israel"/>
    <x v="1"/>
    <n v="8655.5410159999992"/>
    <n v="8655541.0159999989"/>
    <n v="8.655541015999999"/>
    <n v="8655541.0159999989"/>
    <n v="8.6560000000000006"/>
    <n v="8.6559999999999988"/>
    <s v="92.58699799"/>
    <n v="0.92586997989999997"/>
    <n v="8013905.5865075439"/>
    <n v="8013.9055865075443"/>
    <n v="7.4130020099999996"/>
    <x v="6"/>
    <x v="0"/>
    <s v="0"/>
    <x v="6"/>
    <s v="0"/>
    <x v="0"/>
    <s v="100"/>
    <s v="0"/>
    <s v="0"/>
    <s v="0"/>
    <s v="100"/>
    <s v="0"/>
    <s v="0"/>
    <s v="0"/>
    <n v="27"/>
    <n v="13"/>
  </r>
  <r>
    <s v="Serbia"/>
    <x v="2"/>
    <n v="8737.3701170000004"/>
    <n v="8737370.1170000006"/>
    <n v="8.7373701170000011"/>
    <n v="8737370.1170000006"/>
    <n v="8.7370000000000001"/>
    <n v="8.7379999999999995"/>
    <s v="56.44599915"/>
    <n v="0.56445999150000004"/>
    <n v="4931895.8619741751"/>
    <n v="4931.8958619741743"/>
    <n v="43.554000850000001"/>
    <x v="97"/>
    <x v="51"/>
    <s v="0.4437204778"/>
    <x v="20"/>
    <s v="0.01655092647"/>
    <x v="22"/>
    <s v="95.84497475"/>
    <s v="3.545864028"/>
    <s v="0.5711602866"/>
    <s v="0.03800093141"/>
    <s v="94.87156989"/>
    <s v="4.783037865"/>
    <s v="0.3453922445"/>
    <s v="0"/>
    <n v="27"/>
    <n v="13"/>
  </r>
  <r>
    <s v="Papua New Guinea"/>
    <x v="4"/>
    <n v="8947.0273440000001"/>
    <n v="8947027.3440000005"/>
    <n v="8.9470273440000003"/>
    <n v="8947027.3440000005"/>
    <n v="8.9469999999999992"/>
    <n v="8.9479999999999986"/>
    <s v="13.34500027"/>
    <n v="0.13345000269999999"/>
    <n v="1193980.8232137738"/>
    <n v="1193.9808232137736"/>
    <n v="86.65499973"/>
    <x v="98"/>
    <x v="52"/>
    <s v="22.15762495"/>
    <x v="72"/>
    <s v="30.36979308"/>
    <x v="34"/>
    <s v="39.07134367"/>
    <s v="2.429850293"/>
    <s v="24.43180086"/>
    <s v="34.06700517"/>
    <s v="86.07527164"/>
    <s v="0.1721822608"/>
    <s v="7.390385564"/>
    <s v="6.362160532"/>
    <n v="27"/>
    <n v="13"/>
  </r>
  <r>
    <s v="Austria"/>
    <x v="1"/>
    <n v="9006.4003909999992"/>
    <n v="9006400.3909999989"/>
    <n v="9.0064003909999997"/>
    <n v="9006400.3909999989"/>
    <n v="9.0060000000000002"/>
    <n v="9.0069999999999997"/>
    <s v="58.7480011"/>
    <n v="0.58748001100000002"/>
    <n v="5291080.2007750841"/>
    <n v="5291.0802007750844"/>
    <n v="41.251998899999997"/>
    <x v="6"/>
    <x v="0"/>
    <s v="0"/>
    <x v="6"/>
    <s v="0"/>
    <x v="0"/>
    <s v="100"/>
    <s v="0"/>
    <s v="0"/>
    <s v="0"/>
    <s v="100"/>
    <s v="0"/>
    <s v="0"/>
    <s v="0"/>
    <n v="27"/>
    <n v="13"/>
  </r>
  <r>
    <s v="Belarus"/>
    <x v="2"/>
    <n v="9449.3212889999995"/>
    <n v="9449321.2889999989"/>
    <n v="9.4493212890000002"/>
    <n v="9449321.2890000008"/>
    <n v="9.4489999999999998"/>
    <n v="9.4499999999999993"/>
    <s v="79.48300171"/>
    <n v="0.79483001710000001"/>
    <n v="7510604.2017192636"/>
    <n v="7510.604201719264"/>
    <n v="20.516998290000004"/>
    <x v="99"/>
    <x v="53"/>
    <s v="0.09315436837"/>
    <x v="73"/>
    <s v="0"/>
    <x v="0"/>
    <s v="98.56412231"/>
    <s v="0.9955971951"/>
    <s v="0.4402804931"/>
    <s v="0"/>
    <s v="96.01087362"/>
    <s v="3.985572644"/>
    <s v="0.003553731977"/>
    <s v="0"/>
    <n v="27"/>
    <n v="13"/>
  </r>
  <r>
    <s v="Tajikistan"/>
    <x v="4"/>
    <n v="9537.6416019999997"/>
    <n v="9537641.602"/>
    <n v="9.537641601999999"/>
    <n v="9537641.6019999981"/>
    <n v="9.5380000000000003"/>
    <n v="9.5380000000000003"/>
    <s v="27.50599861"/>
    <n v="0.27505998609999999"/>
    <n v="2623423.5664729015"/>
    <n v="2623.4235664729017"/>
    <n v="72.494001389999994"/>
    <x v="100"/>
    <x v="54"/>
    <s v="3.421857005"/>
    <x v="74"/>
    <s v="12.15736404"/>
    <x v="35"/>
    <s v="76.6435992"/>
    <s v="3.207143928"/>
    <s v="4.140706948"/>
    <s v="16.00854992"/>
    <s v="95.58062386"/>
    <s v="0.8848144763"/>
    <s v="1.527268323"/>
    <s v="2.007293339"/>
    <n v="27"/>
    <n v="13"/>
  </r>
  <r>
    <s v="Hungary"/>
    <x v="1"/>
    <n v="9660.3496090000008"/>
    <n v="9660349.6090000011"/>
    <n v="9.6603496090000007"/>
    <n v="9660349.6090000011"/>
    <n v="9.66"/>
    <n v="9.6609999999999996"/>
    <s v="71.94200134"/>
    <n v="0.71942001340000006"/>
    <n v="6949848.8451554663"/>
    <n v="6949.8488451554658"/>
    <n v="28.057998659999996"/>
    <x v="101"/>
    <x v="0"/>
    <s v="0.000002527244192"/>
    <x v="6"/>
    <s v="0"/>
    <x v="0"/>
    <s v="100"/>
    <s v="0"/>
    <s v="0"/>
    <s v="0"/>
    <s v="100"/>
    <s v="0"/>
    <s v="0"/>
    <s v="0"/>
    <n v="27"/>
    <n v="13"/>
  </r>
  <r>
    <s v="United Arab Emirates"/>
    <x v="1"/>
    <n v="9890.4003909999992"/>
    <n v="9890400.3909999989"/>
    <n v="9.890400391"/>
    <n v="9890400.3910000008"/>
    <n v="9.89"/>
    <n v="9.891"/>
    <s v="87.04799652"/>
    <n v="0.87047996519999993"/>
    <n v="8609395.3881717455"/>
    <n v="8609.3953881717443"/>
    <n v="12.952003480000002"/>
    <x v="102"/>
    <x v="0"/>
    <s v="0.034404"/>
    <x v="8"/>
    <s v="0"/>
    <x v="0"/>
    <n v="0"/>
    <n v="0"/>
    <n v="0"/>
    <s v="NAN"/>
    <s v="NAN"/>
    <s v="NAN"/>
    <s v="NAN"/>
    <s v="NAN"/>
    <n v="27"/>
    <n v="16"/>
  </r>
  <r>
    <s v="Honduras"/>
    <x v="4"/>
    <n v="9904.6083980000003"/>
    <n v="9904608.398"/>
    <n v="9.9046083980000006"/>
    <n v="9904608.398"/>
    <n v="9.9049999999999994"/>
    <n v="9.9049999999999994"/>
    <s v="58.35899734"/>
    <n v="0.58358997340000007"/>
    <n v="5780230.1515262369"/>
    <n v="5780.2301515262379"/>
    <n v="41.641002659999998"/>
    <x v="103"/>
    <x v="55"/>
    <s v="3.885158264"/>
    <x v="75"/>
    <s v="0"/>
    <x v="0"/>
    <s v="89.87579955"/>
    <s v="0.8067095079"/>
    <s v="9.317490946"/>
    <s v="0"/>
    <s v="99.83728281"/>
    <s v="0.1537015262"/>
    <s v="0.009015663296"/>
    <s v="0"/>
    <n v="27"/>
    <n v="13"/>
  </r>
  <r>
    <s v="Sweden"/>
    <x v="1"/>
    <n v="10099.26953"/>
    <n v="10099269.529999999"/>
    <n v="10.099269529999999"/>
    <n v="10099269.529999999"/>
    <n v="10.099"/>
    <n v="10.1"/>
    <s v="87.97699738"/>
    <n v="0.87976997379999999"/>
    <n v="8885034.0898072384"/>
    <n v="8885.0340898072373"/>
    <n v="12.02300262"/>
    <x v="104"/>
    <x v="0"/>
    <s v="0.1731323735"/>
    <x v="76"/>
    <s v="0"/>
    <x v="0"/>
    <s v="99.71937474"/>
    <s v="0"/>
    <s v="0.2806252626"/>
    <s v="0"/>
    <s v="99.84155768"/>
    <s v="0"/>
    <s v="0.1584423157"/>
    <s v="0"/>
    <n v="27"/>
    <n v="13"/>
  </r>
  <r>
    <s v="Azerbaijan"/>
    <x v="2"/>
    <n v="10139.174800000001"/>
    <n v="10139174.800000001"/>
    <n v="10.139174800000001"/>
    <n v="10139174.800000001"/>
    <n v="10.138999999999999"/>
    <n v="10.139999999999999"/>
    <s v="56.39700317"/>
    <n v="0.56397003169999993"/>
    <n v="5718190.7333678408"/>
    <n v="5718.1907333678409"/>
    <n v="43.602996830000002"/>
    <x v="105"/>
    <x v="56"/>
    <s v="2.913842688"/>
    <x v="77"/>
    <s v="0"/>
    <x v="0"/>
    <s v="90.92579795"/>
    <s v="2.391535671"/>
    <s v="6.682666377"/>
    <s v="0"/>
    <s v="100"/>
    <s v="0"/>
    <s v="0"/>
    <s v="0"/>
    <n v="27"/>
    <n v="13"/>
  </r>
  <r>
    <s v="Portugal"/>
    <x v="1"/>
    <n v="10196.70703"/>
    <n v="10196707.029999999"/>
    <n v="10.196707029999999"/>
    <n v="10196707.029999999"/>
    <n v="10.196999999999999"/>
    <n v="10.196999999999999"/>
    <s v="66.30999756"/>
    <n v="0.6630999756"/>
    <n v="6761436.1827933481"/>
    <n v="6761.4361827933481"/>
    <n v="33.690002440000001"/>
    <x v="106"/>
    <x v="0"/>
    <s v="0.08800633369"/>
    <x v="73"/>
    <s v="0"/>
    <x v="0"/>
    <s v="99.73877609"/>
    <s v="0"/>
    <s v="0.2612239122"/>
    <s v="0"/>
    <s v="100"/>
    <s v="0"/>
    <s v="0"/>
    <s v="0"/>
    <n v="27"/>
    <n v="13"/>
  </r>
  <r>
    <s v="Jordan"/>
    <x v="2"/>
    <n v="10203.139649999999"/>
    <n v="10203139.649999999"/>
    <n v="10.203139649999999"/>
    <n v="10203139.649999999"/>
    <n v="10.202999999999999"/>
    <n v="10.203999999999999"/>
    <s v="91.41799927"/>
    <n v="0.91417999269999994"/>
    <n v="9327506.1307540778"/>
    <n v="9327.50613075408"/>
    <n v="8.5820007300000043"/>
    <x v="107"/>
    <x v="57"/>
    <s v="0.8536474704"/>
    <x v="78"/>
    <s v="0.05983483179"/>
    <x v="36"/>
    <s v="97.31147869"/>
    <s v="0.6239465945"/>
    <s v="2.024714716"/>
    <s v="0.03986"/>
    <s v="99.09321259"/>
    <s v="0.1013669408"/>
    <s v="0.7437104707"/>
    <s v="0.06171"/>
    <n v="27"/>
    <n v="13"/>
  </r>
  <r>
    <s v="Greece"/>
    <x v="1"/>
    <n v="10423.05566"/>
    <n v="10423055.66"/>
    <n v="10.423055659999999"/>
    <n v="10423055.66"/>
    <n v="10.423"/>
    <n v="10.423999999999999"/>
    <s v="79.71500397"/>
    <n v="0.79715003969999998"/>
    <n v="8308739.2331643095"/>
    <n v="8308.7392331643096"/>
    <n v="20.284996030000002"/>
    <x v="108"/>
    <x v="0"/>
    <s v="0"/>
    <x v="6"/>
    <s v="0"/>
    <x v="0"/>
    <s v="100"/>
    <s v="0"/>
    <s v="0"/>
    <s v="0"/>
    <s v="100"/>
    <s v="0"/>
    <s v="0"/>
    <s v="0"/>
    <n v="27"/>
    <n v="13"/>
  </r>
  <r>
    <s v="Czech Republic"/>
    <x v="1"/>
    <n v="10708.98242"/>
    <n v="10708982.42"/>
    <n v="10.70898242"/>
    <n v="10708982.42"/>
    <n v="10.709"/>
    <n v="10.709"/>
    <s v="74.06100464"/>
    <n v="0.74061004639999994"/>
    <n v="7931179.9669729834"/>
    <n v="7931.1799669729835"/>
    <n v="25.938995360000007"/>
    <x v="109"/>
    <x v="0"/>
    <s v="0.1194083325"/>
    <x v="29"/>
    <s v="0"/>
    <x v="0"/>
    <s v="99.8175993"/>
    <s v="0"/>
    <s v="0.1824006965"/>
    <s v="0"/>
    <s v="99.90265093"/>
    <s v="0"/>
    <s v="0.0973490679"/>
    <s v="0"/>
    <n v="27"/>
    <n v="13"/>
  </r>
  <r>
    <s v="Dominican Republic"/>
    <x v="2"/>
    <n v="10847.9043"/>
    <n v="10847904.300000001"/>
    <n v="10.8479043"/>
    <n v="10847904.299999999"/>
    <n v="10.848000000000001"/>
    <n v="10.847999999999999"/>
    <s v="82.54000092"/>
    <n v="0.82540000920000001"/>
    <n v="8953860.3090207204"/>
    <n v="8953.8603090207198"/>
    <n v="17.459999080000003"/>
    <x v="110"/>
    <x v="58"/>
    <s v="1.269428783"/>
    <x v="79"/>
    <s v="1.576720644"/>
    <x v="37"/>
    <s v="90.30446437"/>
    <s v="1.385315508"/>
    <s v="1.115118127"/>
    <s v="7.195101991"/>
    <s v="98.03689158"/>
    <s v="0.2727920359"/>
    <s v="1.302073396"/>
    <s v="0.3882429922"/>
    <n v="27"/>
    <n v="13"/>
  </r>
  <r>
    <s v="South Sudan"/>
    <x v="5"/>
    <n v="11193.728520000001"/>
    <n v="11193728.520000001"/>
    <n v="11.193728520000001"/>
    <n v="11193728.520000001"/>
    <n v="11.194000000000001"/>
    <n v="11.193999999999999"/>
    <s v="20.1989994"/>
    <n v="0.20198999400000001"/>
    <n v="2261021.1565924291"/>
    <n v="2261.0211565924292"/>
    <n v="79.801000599999995"/>
    <x v="111"/>
    <x v="59"/>
    <s v="13.53755519"/>
    <x v="80"/>
    <s v="8.084554762"/>
    <x v="38"/>
    <s v="33.59362881"/>
    <s v="42.16438068"/>
    <s v="14.11109616"/>
    <s v="10.13089435"/>
    <s v="70.01770445"/>
    <s v="18.71066092"/>
    <s v="11.27163464"/>
    <s v="0"/>
    <n v="27"/>
    <n v="13"/>
  </r>
  <r>
    <s v="Cuba"/>
    <x v="2"/>
    <n v="11326.61621"/>
    <n v="11326616.210000001"/>
    <n v="11.326616210000001"/>
    <n v="11326616.210000001"/>
    <n v="11.327"/>
    <n v="11.327"/>
    <s v="77.19400024"/>
    <n v="0.77194000239999994"/>
    <n v="8743468.1443312783"/>
    <n v="8743.4681443312784"/>
    <n v="22.805999760000006"/>
    <x v="112"/>
    <x v="60"/>
    <s v="1.252811506"/>
    <x v="81"/>
    <s v="0.2731077963"/>
    <x v="39"/>
    <s v="94.38665114"/>
    <s v="2.591752445"/>
    <s v="1.905972935"/>
    <s v="1.115623477"/>
    <s v="97.77557664"/>
    <s v="1.1403859"/>
    <s v="1.059840374"/>
    <s v="0.02419708411"/>
    <n v="27"/>
    <n v="13"/>
  </r>
  <r>
    <s v="Haiti"/>
    <x v="4"/>
    <n v="11402.5332"/>
    <n v="11402533.199999999"/>
    <n v="11.402533200000001"/>
    <n v="11402533.200000001"/>
    <n v="11.403"/>
    <n v="11.402999999999999"/>
    <s v="57.08799744"/>
    <n v="0.57087997440000005"/>
    <n v="6509477.8613111498"/>
    <n v="6509.4778613111503"/>
    <n v="42.912002559999998"/>
    <x v="113"/>
    <x v="61"/>
    <s v="23.49014795"/>
    <x v="82"/>
    <s v="0"/>
    <x v="0"/>
    <s v="42.8457001"/>
    <s v="13.25598695"/>
    <s v="43.89831295"/>
    <s v="0"/>
    <s v="84.62262129"/>
    <s v="7.227673879"/>
    <s v="8.149704835"/>
    <s v="0"/>
    <n v="27"/>
    <n v="13"/>
  </r>
  <r>
    <s v="Belgium"/>
    <x v="1"/>
    <n v="11589.61621"/>
    <n v="11589616.210000001"/>
    <n v="11.589616210000001"/>
    <n v="11589616.210000001"/>
    <n v="11.59"/>
    <n v="11.59"/>
    <s v="98.07899475"/>
    <n v="0.98078994750000004"/>
    <n v="11366979.07415105"/>
    <n v="11366.97907415105"/>
    <n v="1.9210052499999932"/>
    <x v="114"/>
    <x v="0"/>
    <s v="0.000003554796791"/>
    <x v="6"/>
    <s v="0"/>
    <x v="0"/>
    <s v="100"/>
    <s v="0"/>
    <s v="0"/>
    <s v="0"/>
    <s v="100"/>
    <s v="0"/>
    <s v="0"/>
    <s v="0"/>
    <n v="27"/>
    <n v="13"/>
  </r>
  <r>
    <s v="Bolivia (Plurinational State of)"/>
    <x v="4"/>
    <n v="11673.0293"/>
    <n v="11673029.300000001"/>
    <n v="11.6730293"/>
    <n v="11673029.299999999"/>
    <n v="11.673"/>
    <n v="11.673999999999999"/>
    <s v="70.1230011"/>
    <n v="0.70123001099999993"/>
    <n v="8185478.464442322"/>
    <n v="8185.4784644423216"/>
    <n v="29.876998900000004"/>
    <x v="115"/>
    <x v="62"/>
    <s v="1.575010843"/>
    <x v="83"/>
    <s v="4.898326997"/>
    <x v="19"/>
    <s v="79.93664283"/>
    <s v="0.2447364082"/>
    <s v="3.954133693"/>
    <s v="15.86448707"/>
    <s v="99.12211832"/>
    <s v="0.09051328947"/>
    <s v="0.5613453808"/>
    <s v="0.2260230112"/>
    <n v="27"/>
    <n v="13"/>
  </r>
  <r>
    <s v="Tunisia"/>
    <x v="4"/>
    <n v="11818.61816"/>
    <n v="11818618.16"/>
    <n v="11.81861816"/>
    <n v="11818618.16"/>
    <n v="11.819000000000001"/>
    <n v="11.818999999999999"/>
    <s v="69.56800079"/>
    <n v="0.69568000789999995"/>
    <n v="8221976.3749158829"/>
    <n v="8221.9763749158828"/>
    <n v="30.431999210000001"/>
    <x v="116"/>
    <x v="23"/>
    <s v="0.8253403378"/>
    <x v="84"/>
    <s v="0"/>
    <x v="0"/>
    <s v="93.93623193"/>
    <s v="3.351687357"/>
    <s v="2.71208071"/>
    <s v="0"/>
    <s v="99.12119763"/>
    <s v="0.8788023684"/>
    <s v="0"/>
    <s v="0"/>
    <n v="27"/>
    <n v="13"/>
  </r>
  <r>
    <s v="Burundi"/>
    <x v="5"/>
    <n v="11890.78125"/>
    <n v="11890781.25"/>
    <n v="11.89078125"/>
    <n v="11890781.25"/>
    <n v="11.891"/>
    <n v="11.891"/>
    <s v="13.70800018"/>
    <n v="0.13708000180000002"/>
    <n v="1629988.3151534065"/>
    <n v="1629.9883151534063"/>
    <n v="86.291999820000001"/>
    <x v="117"/>
    <x v="63"/>
    <s v="14.75825969"/>
    <x v="85"/>
    <s v="3.594924913"/>
    <x v="40"/>
    <s v="57.68576527"/>
    <s v="21.25148213"/>
    <s v="16.89675238"/>
    <s v="4.166000219"/>
    <s v="90.66911086"/>
    <s v="8.034462869"/>
    <s v="1.296426269"/>
    <s v="0"/>
    <n v="27"/>
    <n v="13"/>
  </r>
  <r>
    <s v="Benin"/>
    <x v="4"/>
    <n v="12123.19824"/>
    <n v="12123198.24"/>
    <n v="12.123198239999999"/>
    <n v="12123198.239999998"/>
    <n v="12.122999999999999"/>
    <n v="12.123999999999999"/>
    <s v="48.4149971"/>
    <n v="0.48414997100000001"/>
    <n v="5869446.0763232512"/>
    <n v="5869.446076323251"/>
    <n v="51.585002899999999"/>
    <x v="118"/>
    <x v="64"/>
    <s v="21.97254088"/>
    <x v="86"/>
    <s v="3.295800547"/>
    <x v="41"/>
    <s v="58.05226799"/>
    <s v="12.70520504"/>
    <s v="23.97796833"/>
    <s v="5.264558634;73.25800004"/>
    <s v="5.708056353"/>
    <s v="19.83580681"/>
    <s v="1.198136794"/>
    <s v=""/>
    <n v="27"/>
    <n v="13"/>
  </r>
  <r>
    <s v="Rwanda"/>
    <x v="5"/>
    <n v="12952.208979999999"/>
    <n v="12952208.979999999"/>
    <n v="12.95220898"/>
    <n v="12952208.98"/>
    <n v="12.952"/>
    <n v="12.952999999999999"/>
    <s v="17.43200111"/>
    <n v="0.17432001110000001"/>
    <n v="2257829.2131631193"/>
    <n v="2257.8292131631197"/>
    <n v="82.567998889999998"/>
    <x v="119"/>
    <x v="65"/>
    <s v="13.15480415"/>
    <x v="87"/>
    <s v="4.109975401"/>
    <x v="42"/>
    <s v="55.64246823"/>
    <s v="25.08014133"/>
    <s v="14.77886772"/>
    <s v="4.498522714"/>
    <s v="83.0175993"/>
    <s v="9.250506251"/>
    <s v="5.462303057"/>
    <s v="2.269591394"/>
    <n v="27"/>
    <n v="13"/>
  </r>
  <r>
    <s v="Guinea"/>
    <x v="5"/>
    <n v="13132.79199"/>
    <n v="13132791.99"/>
    <n v="13.132791989999999"/>
    <n v="13132791.99"/>
    <n v="13.132999999999999"/>
    <n v="13.132999999999999"/>
    <s v="36.875"/>
    <n v="0.36875000000000002"/>
    <n v="4842717.0463125007"/>
    <n v="4842.7170463125003"/>
    <n v="63.125"/>
    <x v="120"/>
    <x v="66"/>
    <s v="6.296119406"/>
    <x v="88"/>
    <s v="8.460500354"/>
    <x v="43"/>
    <s v="50.74817899"/>
    <s v="26.14432944"/>
    <s v="9.704719143"/>
    <s v="13.40277243"/>
    <s v="86.58169007"/>
    <s v="12.95724153"/>
    <s v="0.461068398"/>
    <s v="0"/>
    <n v="27"/>
    <n v="13"/>
  </r>
  <r>
    <s v="Zimbabwe"/>
    <x v="4"/>
    <n v="14862.92676"/>
    <n v="14862926.76"/>
    <n v="14.862926760000001"/>
    <n v="14862926.76"/>
    <n v="14.863"/>
    <n v="14.863"/>
    <s v="32.24200058"/>
    <n v="0.32242000580000002"/>
    <n v="4792104.9321641754"/>
    <n v="4792.1049321641758"/>
    <n v="67.757999420000004"/>
    <x v="121"/>
    <x v="67"/>
    <s v="16.27785545"/>
    <x v="89"/>
    <s v="6.858147242"/>
    <x v="44"/>
    <s v="48.28242885"/>
    <s v="18.59098467"/>
    <s v="23.01364655"/>
    <s v="10.11293992"/>
    <s v="92.89512895"/>
    <s v="4.964517757"/>
    <s v="2.122298674"/>
    <s v="0.01805461538"/>
    <n v="27"/>
    <n v="13"/>
  </r>
  <r>
    <s v="Somalia"/>
    <x v="5"/>
    <n v="15893.21875"/>
    <n v="15893218.75"/>
    <n v="15.893218750000001"/>
    <n v="15893218.75"/>
    <n v="15.893000000000001"/>
    <n v="15.894"/>
    <s v="46.14099884"/>
    <n v="0.46140998840000003"/>
    <n v="7333289.8790761633"/>
    <n v="7333.2898790761628"/>
    <n v="53.859001159999998"/>
    <x v="122"/>
    <x v="68"/>
    <s v="13.41704303"/>
    <x v="90"/>
    <s v="2.401784021"/>
    <x v="45"/>
    <s v="37.07586282"/>
    <s v="36.64324958"/>
    <s v="21.82149546"/>
    <s v="4.459392143"/>
    <s v="79.12330574"/>
    <s v="17.26991556"/>
    <s v="3.606778703"/>
    <s v="0"/>
    <n v="27"/>
    <n v="13"/>
  </r>
  <r>
    <s v="Chad"/>
    <x v="5"/>
    <n v="16425.859380000002"/>
    <n v="16425859.380000001"/>
    <n v="16.425859380000002"/>
    <n v="16425859.380000003"/>
    <n v="16.425999999999998"/>
    <n v="16.426000000000002"/>
    <s v="23.52000046"/>
    <n v="0.23520000459999998"/>
    <n v="3863362.2017349531"/>
    <n v="3863.3622017349535"/>
    <n v="76.479999539999994"/>
    <x v="123"/>
    <x v="69"/>
    <s v="31.56245714"/>
    <x v="91"/>
    <s v="7.509718784"/>
    <x v="46"/>
    <s v="37.57521525"/>
    <s v="14.35396111"/>
    <s v="38.52496761"/>
    <s v="9.545856027"/>
    <s v="74.19222309"/>
    <s v="15.99651381"/>
    <s v="8.922452721"/>
    <s v="0.8888103843"/>
    <n v="27"/>
    <n v="13"/>
  </r>
  <r>
    <s v="Cambodia"/>
    <x v="4"/>
    <n v="16718.970700000002"/>
    <n v="16718970.700000001"/>
    <n v="16.718970700000003"/>
    <n v="16718970.700000003"/>
    <n v="16.719000000000001"/>
    <n v="16.719000000000001"/>
    <s v="24.23200035"/>
    <n v="0.24232000349999999"/>
    <n v="4051341.0385403978"/>
    <n v="4051.3410385403977"/>
    <n v="75.767999650000007"/>
    <x v="124"/>
    <x v="70"/>
    <s v="5.677218558"/>
    <x v="92"/>
    <s v="9.200674434"/>
    <x v="47"/>
    <s v="65.06715583"/>
    <s v="15.51772278"/>
    <s v="7.492899307"/>
    <s v="11.92222209"/>
    <s v="90.45807717"/>
    <s v="8.85091472"/>
    <s v="0"/>
    <s v="0.6910081144"/>
    <n v="27"/>
    <n v="13"/>
  </r>
  <r>
    <s v="Senegal"/>
    <x v="4"/>
    <n v="16743.929690000001"/>
    <n v="16743929.690000001"/>
    <n v="16.743929690000002"/>
    <n v="16743929.690000001"/>
    <n v="16.744"/>
    <n v="16.744"/>
    <s v="48.12200165"/>
    <n v="0.48122001650000001"/>
    <n v="8057514.1216966407"/>
    <n v="8057.5141216966404"/>
    <n v="51.877998349999999"/>
    <x v="125"/>
    <x v="71"/>
    <s v="12.60781566"/>
    <x v="93"/>
    <s v="0.09972904042"/>
    <x v="48"/>
    <s v="75.2429282"/>
    <s v="4.052382433"/>
    <s v="20.51245174"/>
    <s v="0.1922376314"/>
    <s v="95.32170094"/>
    <s v="0.5920836567"/>
    <s v="4.086215402"/>
    <s v="0"/>
    <n v="27"/>
    <n v="13"/>
  </r>
  <r>
    <s v="Netherlands"/>
    <x v="1"/>
    <n v="17134.873049999998"/>
    <n v="17134873.049999997"/>
    <n v="17.134873049999999"/>
    <n v="17134873.050000001"/>
    <n v="17.135000000000002"/>
    <n v="17.135000000000002"/>
    <s v="92.23600006"/>
    <n v="0.9223600005999999"/>
    <n v="15804521.51667892"/>
    <n v="15804.52151667892"/>
    <n v="7.763999940000005"/>
    <x v="126"/>
    <x v="0"/>
    <s v="0.000000712408621"/>
    <x v="6"/>
    <s v="0"/>
    <x v="0"/>
    <s v="100"/>
    <s v="0"/>
    <s v="0"/>
    <s v="0"/>
    <s v="100"/>
    <s v="0"/>
    <s v="0"/>
    <s v="0"/>
    <n v="27"/>
    <n v="13"/>
  </r>
  <r>
    <s v="Syrian Arab Republic"/>
    <x v="5"/>
    <n v="17500.65625"/>
    <n v="17500656.25"/>
    <n v="17.500656249999999"/>
    <n v="17500656.25"/>
    <n v="17.501000000000001"/>
    <n v="17.501000000000001"/>
    <s v="55.47500229"/>
    <n v="0.55475002289999997"/>
    <n v="9708489.4554525279"/>
    <n v="9708.4894554525272"/>
    <n v="44.524997710000001"/>
    <x v="127"/>
    <x v="72"/>
    <s v="0.2004120542"/>
    <x v="27"/>
    <s v="0"/>
    <x v="0"/>
    <s v="92.082745"/>
    <s v="7.917255"/>
    <s v="0"/>
    <s v="0"/>
    <s v="95.40516436"/>
    <s v="4.233570117"/>
    <s v="0.361265525"/>
    <s v="0"/>
    <n v="27"/>
    <n v="13"/>
  </r>
  <r>
    <s v="Ecuador"/>
    <x v="2"/>
    <n v="17643.060549999998"/>
    <n v="17643060.549999997"/>
    <n v="17.643060549999998"/>
    <n v="17643060.549999997"/>
    <n v="17.643000000000001"/>
    <n v="17.644000000000002"/>
    <s v="64.16600037"/>
    <n v="0.64166000370000009"/>
    <n v="11320846.297792323"/>
    <n v="11320.846297792325"/>
    <n v="35.833999629999994"/>
    <x v="128"/>
    <x v="0"/>
    <s v="2.604485389"/>
    <x v="60"/>
    <s v="2.032299589"/>
    <x v="49"/>
    <s v="87.05074495"/>
    <s v="0.009631811022"/>
    <s v="7.26819549"/>
    <s v="5.671427747"/>
    <s v="100"/>
    <s v="0"/>
    <s v="0"/>
    <s v="0"/>
    <n v="27"/>
    <n v="13"/>
  </r>
  <r>
    <s v="Guatemala"/>
    <x v="2"/>
    <n v="17915.566409999999"/>
    <n v="17915566.41"/>
    <n v="17.91556641"/>
    <n v="17915566.41"/>
    <n v="17.916"/>
    <n v="17.916"/>
    <s v="51.83599854"/>
    <n v="0.51835998539999995"/>
    <n v="9286712.7427203301"/>
    <n v="9286.7127427203286"/>
    <n v="48.164001460000001"/>
    <x v="129"/>
    <x v="40"/>
    <s v="3.215911815"/>
    <x v="94"/>
    <s v="1.743509404"/>
    <x v="20"/>
    <s v="90.1193298"/>
    <s v="1.849169999"/>
    <s v="4.583438691"/>
    <s v="3.448061508"/>
    <s v="97.61816944"/>
    <s v="0.2768660057"/>
    <s v="1.94525887"/>
    <s v="0.1597056849"/>
    <n v="27"/>
    <n v="13"/>
  </r>
  <r>
    <s v="Zambia"/>
    <x v="5"/>
    <n v="18383.95508"/>
    <n v="18383955.079999998"/>
    <n v="18.38395508"/>
    <n v="18383955.079999998"/>
    <n v="18.384"/>
    <n v="18.384"/>
    <s v="44.6289978"/>
    <n v="0.44628997800000003"/>
    <n v="8204574.9082061881"/>
    <n v="8204.5749082061884"/>
    <n v="55.3710022"/>
    <x v="130"/>
    <x v="73"/>
    <s v="21.57684071"/>
    <x v="95"/>
    <s v="6.856836706"/>
    <x v="44"/>
    <s v="48.22728833"/>
    <s v="8.331703613"/>
    <s v="31.60865444"/>
    <s v="11.83235362"/>
    <s v="86.73385466"/>
    <s v="3.451996194"/>
    <s v="9.130414105"/>
    <s v="0.6837350463"/>
    <n v="27"/>
    <n v="13"/>
  </r>
  <r>
    <s v="Kazakhstan"/>
    <x v="2"/>
    <n v="18776.707030000001"/>
    <n v="18776707.030000001"/>
    <n v="18.776707030000001"/>
    <n v="18776707.030000001"/>
    <n v="18.777000000000001"/>
    <n v="18.777000000000001"/>
    <s v="57.67100143"/>
    <n v="0.57671001430000002"/>
    <n v="10828714.979778212"/>
    <n v="10828.714979778211"/>
    <n v="42.328998570000003"/>
    <x v="131"/>
    <x v="74"/>
    <s v="2.545956934"/>
    <x v="96"/>
    <s v="0.07764770471"/>
    <x v="50"/>
    <s v="91.93925234"/>
    <s v="1.862616064"/>
    <s v="6.014693049"/>
    <s v="0.1834385438"/>
    <s v="98.00073133"/>
    <s v="1.999268673"/>
    <s v="0"/>
    <s v="0"/>
    <n v="27"/>
    <n v="13"/>
  </r>
  <r>
    <s v="Chile"/>
    <x v="1"/>
    <n v="19116.208979999999"/>
    <n v="19116208.98"/>
    <n v="19.11620898"/>
    <n v="19116208.98"/>
    <n v="19.116"/>
    <n v="19.117000000000001"/>
    <s v="87.72699738"/>
    <n v="0.87726997380000005"/>
    <n v="16770076.151039926"/>
    <n v="16770.076151039924"/>
    <n v="12.27300262"/>
    <x v="132"/>
    <x v="0"/>
    <s v="0.000001277139333"/>
    <x v="6"/>
    <s v="0"/>
    <x v="0"/>
    <s v="100"/>
    <s v="0"/>
    <s v="0"/>
    <s v="0"/>
    <s v="100"/>
    <s v="0"/>
    <s v="0"/>
    <s v="0"/>
    <n v="27"/>
    <n v="13"/>
  </r>
  <r>
    <s v="Malawi"/>
    <x v="5"/>
    <n v="19129.95508"/>
    <n v="19129955.079999998"/>
    <n v="19.129955079999998"/>
    <n v="19129955.079999998"/>
    <n v="19.13"/>
    <n v="19.130000000000003"/>
    <s v="17.42700005"/>
    <n v="0.17427000049999999"/>
    <n v="3333777.2813565773"/>
    <n v="3333.7772813565775"/>
    <n v="82.572999949999996"/>
    <x v="133"/>
    <x v="75"/>
    <s v="5.776304407"/>
    <x v="97"/>
    <s v="2.22515211"/>
    <x v="51"/>
    <s v="66.58504376"/>
    <s v="24.41415803"/>
    <s v="6.383874146"/>
    <s v="2.616924066"/>
    <s v="86.45469821"/>
    <s v="10.27894825"/>
    <s v="2.897503996"/>
    <s v="0.3688495446"/>
    <n v="27"/>
    <n v="13"/>
  </r>
  <r>
    <s v="Romania"/>
    <x v="1"/>
    <n v="19237.681639999999"/>
    <n v="19237681.640000001"/>
    <n v="19.237681639999998"/>
    <n v="19237681.639999997"/>
    <n v="19.238"/>
    <n v="19.238"/>
    <s v="54.19400024"/>
    <n v="0.54194000240000006"/>
    <n v="10425669.234152038"/>
    <n v="10425.669234152037"/>
    <n v="45.805999759999999"/>
    <x v="6"/>
    <x v="0"/>
    <s v="0"/>
    <x v="6"/>
    <s v="0"/>
    <x v="0"/>
    <s v="100"/>
    <s v="0"/>
    <s v="0"/>
    <s v="0"/>
    <s v="100"/>
    <s v="0"/>
    <s v="0"/>
    <s v="0"/>
    <n v="27"/>
    <n v="13"/>
  </r>
  <r>
    <s v="Mali"/>
    <x v="5"/>
    <n v="20250.833979999999"/>
    <n v="20250833.98"/>
    <n v="20.250833979999999"/>
    <n v="20250833.98"/>
    <n v="20.251000000000001"/>
    <n v="20.251000000000001"/>
    <s v="43.90900421"/>
    <n v="0.43909004209999997"/>
    <n v="8891939.5448383093"/>
    <n v="8891.9395448383093"/>
    <n v="56.090995790000001"/>
    <x v="134"/>
    <x v="76"/>
    <s v="12.24697135"/>
    <x v="98"/>
    <s v="1.35100309"/>
    <x v="52"/>
    <s v="72.08089521"/>
    <s v="3.78241223"/>
    <s v="21.72810084"/>
    <s v="2.408591717"/>
    <s v="95.91745475"/>
    <s v="3.947121723"/>
    <s v="0.1354235314"/>
    <s v="0"/>
    <n v="27"/>
    <n v="13"/>
  </r>
  <r>
    <s v="Burkina Faso"/>
    <x v="5"/>
    <n v="20903.277340000001"/>
    <n v="20903277.34"/>
    <n v="20.903277339999999"/>
    <n v="20903277.34"/>
    <n v="20.902999999999999"/>
    <n v="20.904"/>
    <s v="30.60700035"/>
    <n v="0.30607000350000002"/>
    <n v="6397866.1686152713"/>
    <n v="6397.8661686152709"/>
    <n v="69.392999650000007"/>
    <x v="135"/>
    <x v="77"/>
    <s v="21.15863263"/>
    <x v="99"/>
    <s v="0.3535095024"/>
    <x v="53"/>
    <s v="32.7182589"/>
    <s v="38.62690254"/>
    <s v="28.3404457"/>
    <s v="0.3143928626"/>
    <s v="80.08191854"/>
    <s v="14.60004919"/>
    <s v="4.875836487"/>
    <s v="0.4421957805"/>
    <n v="27"/>
    <n v="13"/>
  </r>
  <r>
    <s v="Sri Lanka"/>
    <x v="4"/>
    <n v="21413.25"/>
    <n v="21413250"/>
    <n v="21.413250000000001"/>
    <n v="21413250"/>
    <n v="21.413"/>
    <n v="21.414000000000001"/>
    <s v="18.71299934"/>
    <n v="0.1871299934"/>
    <n v="4007061.3311725501"/>
    <n v="4007.0613311725501"/>
    <n v="81.287000660000004"/>
    <x v="136"/>
    <x v="78"/>
    <s v="5.348927064"/>
    <x v="100"/>
    <s v="1.82803542"/>
    <x v="54"/>
    <s v="90.5374357"/>
    <s v="0.7032099038"/>
    <s v="6.510488612"/>
    <s v="2.248865782"/>
    <s v="99.56938019"/>
    <s v="0.1273977901"/>
    <s v="0.3032220202"/>
    <s v="0"/>
    <n v="27"/>
    <n v="13"/>
  </r>
  <r>
    <s v="Niger"/>
    <x v="5"/>
    <n v="24206.636719999999"/>
    <n v="24206636.719999999"/>
    <n v="24.206636719999999"/>
    <n v="24206636.719999999"/>
    <n v="24.207000000000001"/>
    <n v="24.207000000000001"/>
    <s v="16.62599945"/>
    <n v="0.16625999449999998"/>
    <n v="4024595.2879306972"/>
    <n v="4024.5952879306974"/>
    <n v="83.374000550000005"/>
    <x v="137"/>
    <x v="79"/>
    <s v="27.02751244"/>
    <x v="101"/>
    <s v="4.406791392"/>
    <x v="55"/>
    <s v="39.15415932"/>
    <s v="23.98774039"/>
    <s v="31.99150648"/>
    <s v="4.866593813"/>
    <s v="85.81383976"/>
    <s v="9.950440829"/>
    <s v="2.13468778"/>
    <s v="2.101031634"/>
    <n v="27"/>
    <n v="13"/>
  </r>
  <r>
    <s v="Australia"/>
    <x v="1"/>
    <n v="25499.880860000001"/>
    <n v="25499880.859999999"/>
    <n v="25.499880860000001"/>
    <n v="25499880.859999999"/>
    <n v="25.5"/>
    <n v="25.5"/>
    <s v="86.24099731"/>
    <n v="0.8624099731"/>
    <n v="21991351.566525806"/>
    <n v="21991.351566525806"/>
    <n v="13.759002690000003"/>
    <x v="138"/>
    <x v="0"/>
    <s v="0.03018817873"/>
    <x v="8"/>
    <s v="0"/>
    <x v="0"/>
    <s v="100"/>
    <s v="0"/>
    <s v="0"/>
    <s v="0"/>
    <s v="99.965"/>
    <s v="0"/>
    <s v="0.035"/>
    <s v="0"/>
    <n v="27"/>
    <n v="13"/>
  </r>
  <r>
    <s v="Democratic People's Republic of Korea"/>
    <x v="5"/>
    <n v="25778.814450000002"/>
    <n v="25778814.450000003"/>
    <n v="25.778814450000002"/>
    <n v="25778814.450000003"/>
    <n v="25.779"/>
    <n v="25.779"/>
    <s v="62.38100052"/>
    <n v="0.62381000519999996"/>
    <n v="16081082.376104336"/>
    <n v="16081.082376104336"/>
    <n v="37.618999479999999"/>
    <x v="139"/>
    <x v="21"/>
    <s v="5.20969278"/>
    <x v="102"/>
    <s v="0.2633330058"/>
    <x v="56"/>
    <s v="88.75362488"/>
    <s v="0.3564402606"/>
    <s v="10.18993486"/>
    <s v="0.7"/>
    <s v="96.91351044"/>
    <s v="0.8801428799"/>
    <s v="2.206346677"/>
    <s v="0"/>
    <n v="27"/>
    <n v="13"/>
  </r>
  <r>
    <s v="Côte d'Ivoire"/>
    <x v="4"/>
    <n v="26378.275389999999"/>
    <n v="26378275.390000001"/>
    <n v="26.378275389999999"/>
    <n v="26378275.390000001"/>
    <n v="26.378"/>
    <n v="26.379000000000001"/>
    <s v="51.70599747"/>
    <n v="0.51705997469999998"/>
    <n v="13639150.405783033"/>
    <n v="13639.150405783032"/>
    <n v="48.29400253"/>
    <x v="140"/>
    <x v="80"/>
    <s v="14.19244161"/>
    <x v="103"/>
    <s v="5.963066293"/>
    <x v="57"/>
    <s v="55.72244686"/>
    <s v="13.34316829"/>
    <s v="23.17527956"/>
    <s v="7.759105289"/>
    <s v="85.09355329"/>
    <s v="4.818535156"/>
    <s v="5.80236656"/>
    <s v="4.285544994"/>
    <n v="27"/>
    <n v="13"/>
  </r>
  <r>
    <s v="Cameroon"/>
    <x v="4"/>
    <n v="26545.863280000001"/>
    <n v="26545863.280000001"/>
    <n v="26.545863280000003"/>
    <n v="26545863.280000001"/>
    <n v="26.545999999999999"/>
    <n v="26.546000000000003"/>
    <s v="57.56000519"/>
    <n v="0.57560005189999996"/>
    <n v="15279800.281698303"/>
    <n v="15279.800281698304"/>
    <n v="42.439994810000002"/>
    <x v="141"/>
    <x v="81"/>
    <s v="15.00100626"/>
    <x v="104"/>
    <s v="6.403826927"/>
    <x v="58"/>
    <s v="43.52758112"/>
    <s v="12.67259943"/>
    <s v="30.12380645"/>
    <s v="13.676013"/>
    <s v="82.08358486"/>
    <s v="13.02379677"/>
    <s v="3.850701351"/>
    <s v="1.041917019"/>
    <n v="27"/>
    <n v="13"/>
  </r>
  <r>
    <s v="Madagascar"/>
    <x v="5"/>
    <n v="27691.019530000001"/>
    <n v="27691019.530000001"/>
    <n v="27.691019530000002"/>
    <n v="27691019.530000001"/>
    <n v="27.690999999999999"/>
    <n v="27.692"/>
    <s v="38.5340004"/>
    <n v="0.38534000399999996"/>
    <n v="10670457.576454278"/>
    <n v="10670.457576454277"/>
    <n v="61.465999600000004"/>
    <x v="142"/>
    <x v="82"/>
    <s v="32.31145967"/>
    <x v="105"/>
    <s v="11.58468244"/>
    <x v="59"/>
    <s v="36.40642028"/>
    <s v="1.601776163"/>
    <s v="43.95389345"/>
    <s v="18.03791011"/>
    <s v="80.47000694"/>
    <s v="4.498430298"/>
    <s v="13.74049434"/>
    <s v="1.291068417"/>
    <n v="27"/>
    <n v="13"/>
  </r>
  <r>
    <s v="Venezuela (Bolivarian Republic of)"/>
    <x v="0"/>
    <n v="28435.943360000001"/>
    <n v="28435943.359999999"/>
    <n v="28.43594336"/>
    <n v="28435943.359999999"/>
    <n v="28.436"/>
    <n v="28.436"/>
    <s v="88.27899933"/>
    <n v="0.88278999330000008"/>
    <n v="25102966.24825358"/>
    <n v="25102.966248253582"/>
    <n v="11.721000669999995"/>
    <x v="143"/>
    <x v="58"/>
    <s v="5.843416373"/>
    <x v="106"/>
    <n v="0"/>
    <x v="0"/>
    <n v="0"/>
    <n v="0"/>
    <n v="0"/>
    <s v="NAN"/>
    <s v="NAN"/>
    <s v="NAN"/>
    <s v="NAN"/>
    <s v="NAN"/>
    <n v="27"/>
    <n v="17"/>
  </r>
  <r>
    <s v="Nepal"/>
    <x v="4"/>
    <n v="29136.808590000001"/>
    <n v="29136808.59"/>
    <n v="29.136808590000001"/>
    <n v="29136808.59"/>
    <n v="29.137"/>
    <n v="29.137"/>
    <s v="20.57600021"/>
    <n v="0.20576000210000001"/>
    <n v="5995189.7966656983"/>
    <n v="5995.1897966656979"/>
    <n v="79.423999789999996"/>
    <x v="144"/>
    <x v="83"/>
    <s v="4.699081176"/>
    <x v="107"/>
    <s v="1.246551314"/>
    <x v="60"/>
    <s v="90.20327165"/>
    <s v="4.207348246"/>
    <s v="4.269023951"/>
    <s v="1.320356149"/>
    <s v="89.57763316"/>
    <s v="3.101581411"/>
    <s v="6.359123168"/>
    <s v="0.9616622585"/>
    <n v="27"/>
    <n v="13"/>
  </r>
  <r>
    <s v="Yemen"/>
    <x v="5"/>
    <n v="29825.96875"/>
    <n v="29825968.75"/>
    <n v="29.825968750000001"/>
    <n v="29825968.75"/>
    <n v="29.826000000000001"/>
    <n v="29.826000000000001"/>
    <s v="37.90799713"/>
    <n v="0.37907997129999998"/>
    <n v="11306427.377744697"/>
    <n v="11306.427377744696"/>
    <n v="62.092002870000002"/>
    <x v="145"/>
    <x v="84"/>
    <s v="7.77785276"/>
    <x v="108"/>
    <s v="2.595835594"/>
    <x v="61"/>
    <s v="50.68133437"/>
    <s v="33.53021373"/>
    <s v="11.60782393"/>
    <s v="4.180627978"/>
    <s v="77.01412934"/>
    <s v="21.48137937"/>
    <s v="1.504491286"/>
    <s v="0"/>
    <n v="27"/>
    <n v="13"/>
  </r>
  <r>
    <s v="Ghana"/>
    <x v="4"/>
    <n v="31072.945309999999"/>
    <n v="31072945.309999999"/>
    <n v="31.072945309999998"/>
    <n v="31072945.309999999"/>
    <n v="31.073"/>
    <n v="31.073"/>
    <s v="57.34899902"/>
    <n v="0.57348999020000002"/>
    <n v="17820023.101317037"/>
    <n v="17820.023101317038"/>
    <n v="42.651000979999999"/>
    <x v="146"/>
    <x v="85"/>
    <s v="2.812216176"/>
    <x v="109"/>
    <s v="4.810725058"/>
    <x v="62"/>
    <s v="71.89275005"/>
    <s v="11.93454827"/>
    <s v="4.999356483"/>
    <s v="11.17334519"/>
    <s v="96.12725952"/>
    <s v="2.608342455"/>
    <s v="1.185613803"/>
    <s v="0.07878421819"/>
    <n v="27"/>
    <n v="13"/>
  </r>
  <r>
    <s v="Mozambique"/>
    <x v="5"/>
    <n v="31255.435549999998"/>
    <n v="31255435.549999997"/>
    <n v="31.255435549999998"/>
    <n v="31255435.549999997"/>
    <n v="31.254999999999999"/>
    <n v="31.256"/>
    <s v="37.0739975"/>
    <n v="0.370739975"/>
    <n v="11587639.39442111"/>
    <n v="11587.63939442111"/>
    <n v="62.926002500000003"/>
    <x v="147"/>
    <x v="86"/>
    <s v="16.72614511"/>
    <x v="110"/>
    <s v="9.928644759"/>
    <x v="63"/>
    <s v="48.8666865"/>
    <s v="12.64088359"/>
    <s v="23.6862564"/>
    <s v="14.80617352"/>
    <s v="87.98504792"/>
    <s v="5.452291027"/>
    <s v="4.912684644"/>
    <s v="1.649976404"/>
    <n v="27"/>
    <n v="13"/>
  </r>
  <r>
    <s v="Malaysia"/>
    <x v="2"/>
    <n v="32365.998049999998"/>
    <n v="32365998.049999997"/>
    <n v="32.365998050000002"/>
    <n v="32365998.050000001"/>
    <n v="32.366"/>
    <n v="32.366"/>
    <s v="77.15999603"/>
    <n v="0.7715999603"/>
    <n v="24973602.810449876"/>
    <n v="24973.602810449876"/>
    <n v="22.840003969999998"/>
    <x v="148"/>
    <x v="87"/>
    <s v="2.545553241"/>
    <x v="96"/>
    <n v="0"/>
    <x v="0"/>
    <s v="90.19744812"/>
    <s v="0.5444513971"/>
    <s v="9.258100478"/>
    <s v="NAN"/>
    <s v="99.14309591"/>
    <s v="0.2983242605"/>
    <s v="0.4685798319"/>
    <s v="0.09"/>
    <n v="27"/>
    <n v="14"/>
  </r>
  <r>
    <s v="Angola"/>
    <x v="4"/>
    <n v="32866.269529999998"/>
    <n v="32866269.529999997"/>
    <n v="32.866269529999997"/>
    <n v="32866269.529999997"/>
    <n v="32.866"/>
    <n v="32.866999999999997"/>
    <s v="66.82499695"/>
    <n v="0.66824996950000004"/>
    <n v="21962883.611001279"/>
    <n v="21962.883611001278"/>
    <n v="33.175003050000001"/>
    <x v="149"/>
    <x v="88"/>
    <s v="19.45082534"/>
    <x v="111"/>
    <s v="14.09408712"/>
    <x v="64"/>
    <s v="27.80822661"/>
    <s v="8.740488389"/>
    <s v="22.93315258"/>
    <s v="40.51813242"/>
    <s v="71.74314862"/>
    <s v="9.558837489"/>
    <s v="17.72203473"/>
    <s v="0.9759791629"/>
    <n v="27"/>
    <n v="13"/>
  </r>
  <r>
    <s v="Peru"/>
    <x v="2"/>
    <n v="32971.847659999999"/>
    <n v="32971847.66"/>
    <n v="32.971847660000002"/>
    <n v="32971847.66"/>
    <n v="32.972000000000001"/>
    <n v="32.971999999999994"/>
    <s v="78.2970047"/>
    <n v="0.78297004700000006"/>
    <n v="25815969.112027042"/>
    <n v="25815.96911202704"/>
    <n v="21.702995299999998"/>
    <x v="150"/>
    <x v="89"/>
    <s v="4.150468349"/>
    <x v="112"/>
    <s v="1.860606087"/>
    <x v="65"/>
    <s v="80.79943849"/>
    <s v="1.596943771"/>
    <s v="9.612691163"/>
    <s v="7.990926578"/>
    <s v="96.55984408"/>
    <s v="0.6423932356"/>
    <s v="2.636408693"/>
    <s v="0.1613539953"/>
    <n v="27"/>
    <n v="13"/>
  </r>
  <r>
    <s v="Uzbekistan"/>
    <x v="4"/>
    <n v="33469.199220000002"/>
    <n v="33469199.220000003"/>
    <n v="33.46919922"/>
    <n v="33469199.219999999"/>
    <n v="33.469000000000001"/>
    <n v="33.47"/>
    <s v="50.41599655"/>
    <n v="0.50415996549999997"/>
    <n v="16873830.324067827"/>
    <n v="16873.830324067829"/>
    <n v="49.584003449999997"/>
    <x v="151"/>
    <x v="0"/>
    <s v="0.22384422"/>
    <x v="113"/>
    <s v="1.947370925"/>
    <x v="66"/>
    <s v="96.07258236"/>
    <s v="0"/>
    <s v="0"/>
    <s v="3.927417637"/>
    <s v="99.55600556"/>
    <s v="0"/>
    <s v="0.4439944434"/>
    <s v="0"/>
    <n v="27"/>
    <n v="13"/>
  </r>
  <r>
    <s v="Saudi Arabia"/>
    <x v="1"/>
    <n v="34813.867189999997"/>
    <n v="34813867.189999998"/>
    <n v="34.813867189999996"/>
    <n v="34813867.189999998"/>
    <n v="34.814"/>
    <n v="34.814"/>
    <s v="84.28700256"/>
    <n v="0.84287002560000002"/>
    <n v="29343565.1296703"/>
    <n v="29343.5651296703"/>
    <n v="15.712997439999995"/>
    <x v="6"/>
    <x v="0"/>
    <s v="0"/>
    <x v="6"/>
    <s v="0"/>
    <x v="0"/>
    <n v="0"/>
    <n v="0"/>
    <n v="0"/>
    <s v="NAN"/>
    <s v="NAN"/>
    <s v="NAN"/>
    <s v="NAN"/>
    <s v="NAN"/>
    <n v="27"/>
    <n v="16"/>
  </r>
  <r>
    <s v="Morocco"/>
    <x v="4"/>
    <n v="36910.558590000001"/>
    <n v="36910558.590000004"/>
    <n v="36.910558590000001"/>
    <n v="36910558.590000004"/>
    <n v="36.911000000000001"/>
    <n v="36.910999999999994"/>
    <s v="63.53199768"/>
    <n v="0.63531997680000007"/>
    <n v="23450015.227073845"/>
    <n v="23450.015227073844"/>
    <n v="36.468002319999997"/>
    <x v="152"/>
    <x v="90"/>
    <s v="2.8776725"/>
    <x v="114"/>
    <s v="1.456433219"/>
    <x v="67"/>
    <s v="77.34612896"/>
    <s v="12.03707816"/>
    <s v="6.623063373"/>
    <s v="3.993729502"/>
    <s v="97.89674601"/>
    <s v="1.375477117"/>
    <s v="0.7277768759"/>
    <s v="0"/>
    <n v="27"/>
    <n v="13"/>
  </r>
  <r>
    <s v="Canada"/>
    <x v="1"/>
    <n v="37742.15625"/>
    <n v="37742156.25"/>
    <n v="37.742156250000001"/>
    <n v="37742156.25"/>
    <n v="37.741999999999997"/>
    <n v="37.742999999999995"/>
    <s v="81.56200409"/>
    <n v="0.81562004090000007"/>
    <n v="30783259.024279192"/>
    <n v="30783.259024279192"/>
    <n v="18.437995909999998"/>
    <x v="153"/>
    <x v="0"/>
    <s v="0.7781893369"/>
    <x v="115"/>
    <s v="0"/>
    <x v="0"/>
    <s v="99.0604959"/>
    <s v="0"/>
    <s v="0.9395041006"/>
    <s v="0"/>
    <s v="99.25827766"/>
    <s v="0"/>
    <s v="0.7417223371"/>
    <s v="0"/>
    <n v="27"/>
    <n v="13"/>
  </r>
  <r>
    <s v="Poland"/>
    <x v="1"/>
    <n v="37846.605470000002"/>
    <n v="37846605.469999999"/>
    <n v="37.84660547"/>
    <n v="37846605.469999999"/>
    <n v="37.847000000000001"/>
    <n v="37.846999999999994"/>
    <s v="60.04300308"/>
    <n v="0.60043003080000001"/>
    <n v="22724238.488027547"/>
    <n v="22724.238488027549"/>
    <n v="39.956996920000002"/>
    <x v="154"/>
    <x v="0"/>
    <s v="0.03340844529"/>
    <x v="8"/>
    <s v="0"/>
    <x v="0"/>
    <s v="100"/>
    <s v="0"/>
    <s v="0"/>
    <s v="0"/>
    <s v="99.94435484"/>
    <s v="0"/>
    <s v="0.05564516129"/>
    <s v="0"/>
    <n v="27"/>
    <n v="13"/>
  </r>
  <r>
    <s v="Afghanistan"/>
    <x v="5"/>
    <n v="38928.339840000001"/>
    <n v="38928339.840000004"/>
    <n v="38.92833984"/>
    <n v="38928339.839999996"/>
    <n v="38.927999999999997"/>
    <n v="38.928999999999995"/>
    <s v="26.02599907"/>
    <n v="0.2602599907"/>
    <n v="10131489.364724841"/>
    <n v="10131.489364724839"/>
    <n v="73.974000930000003"/>
    <x v="155"/>
    <x v="91"/>
    <s v="14.56026288"/>
    <x v="116"/>
    <s v="8.900782174"/>
    <x v="68"/>
    <s v="66.32791521"/>
    <s v="1.956824851"/>
    <s v="19.68294895"/>
    <s v="12.03231098"/>
    <s v="100"/>
    <s v="0"/>
    <s v="0"/>
    <s v="0"/>
    <n v="27"/>
    <n v="13"/>
  </r>
  <r>
    <s v="Iraq"/>
    <x v="2"/>
    <n v="40222.503909999999"/>
    <n v="40222503.909999996"/>
    <n v="40.22250391"/>
    <n v="40222503.910000004"/>
    <n v="40.222999999999999"/>
    <n v="40.222999999999999"/>
    <s v="70.89299774"/>
    <n v="0.70892997739999997"/>
    <n v="28514938.787887707"/>
    <n v="28514.93878788771"/>
    <n v="29.107002260000002"/>
    <x v="156"/>
    <x v="92"/>
    <s v="0.000002427900808"/>
    <x v="6"/>
    <s v="0.7479339713"/>
    <x v="69"/>
    <s v="94.83114678"/>
    <s v="2.599251339"/>
    <s v="0"/>
    <s v="2.569601877"/>
    <s v="99.80873103"/>
    <s v="0.19126897"/>
    <s v="0"/>
    <s v="0"/>
    <n v="27"/>
    <n v="13"/>
  </r>
  <r>
    <s v="Ukraine"/>
    <x v="4"/>
    <n v="43733.757810000003"/>
    <n v="43733757.810000002"/>
    <n v="43.73375781"/>
    <n v="43733757.810000002"/>
    <n v="43.734000000000002"/>
    <n v="43.733999999999995"/>
    <s v="69.60800171"/>
    <n v="0.6960800171"/>
    <n v="30442194.884232059"/>
    <n v="30442.19488423206"/>
    <n v="30.391998290000004"/>
    <x v="157"/>
    <x v="93"/>
    <s v="0.07590450129"/>
    <x v="117"/>
    <s v="0.323834836"/>
    <x v="15"/>
    <s v="100"/>
    <s v="0"/>
    <s v="0"/>
    <s v="0"/>
    <s v="91.27727011"/>
    <s v="8.14845779"/>
    <s v="0.1090456533"/>
    <s v="0.4652264446"/>
    <n v="27"/>
    <n v="13"/>
  </r>
  <r>
    <s v="Sudan"/>
    <x v="5"/>
    <n v="43849.269529999998"/>
    <n v="43849269.530000001"/>
    <n v="43.849269530000001"/>
    <n v="43849269.530000001"/>
    <n v="43.848999999999997"/>
    <n v="43.849999999999994"/>
    <s v="35.25299835"/>
    <n v="0.35252998349999998"/>
    <n v="15458182.263897952"/>
    <n v="15458.18226389795"/>
    <n v="64.747001650000001"/>
    <x v="158"/>
    <x v="94"/>
    <s v="3.650217875"/>
    <x v="118"/>
    <s v="9.231086774"/>
    <x v="70"/>
    <s v="53.19902707"/>
    <s v="27.45764451"/>
    <s v="5.637660008"/>
    <s v="13.70566842"/>
    <s v="73.76365956"/>
    <s v="25.22343986"/>
    <s v="0"/>
    <s v="1.012900581"/>
    <n v="27"/>
    <n v="13"/>
  </r>
  <r>
    <s v="Algeria"/>
    <x v="4"/>
    <n v="43851.042970000002"/>
    <n v="43851042.969999999"/>
    <n v="43.851042970000002"/>
    <n v="43851042.969999999"/>
    <n v="43.850999999999999"/>
    <n v="43.851999999999997"/>
    <s v="73.73300171"/>
    <n v="0.73733001710000001"/>
    <n v="32332690.262922935"/>
    <n v="32332.690262922937"/>
    <n v="26.266998290000004"/>
    <x v="159"/>
    <x v="95"/>
    <s v="0.5318366638"/>
    <x v="119"/>
    <s v="0.04495253272"/>
    <x v="71"/>
    <s v="90.03753791"/>
    <s v="8.79672214"/>
    <s v="0.9946030281"/>
    <s v="0.1711369258"/>
    <s v="96.00473586"/>
    <s v="3.628288591"/>
    <s v="0.3669755478"/>
    <s v="0"/>
    <n v="27"/>
    <n v="13"/>
  </r>
  <r>
    <s v="Argentina"/>
    <x v="2"/>
    <n v="45195.777340000001"/>
    <n v="45195777.340000004"/>
    <n v="45.195777339999999"/>
    <n v="45195777.339999996"/>
    <n v="45.195999999999998"/>
    <n v="45.195999999999998"/>
    <s v="92.11100006"/>
    <n v="0.92111000059999992"/>
    <n v="41630282.492764868"/>
    <n v="41630.282492764862"/>
    <n v="7.888999940000005"/>
    <x v="71"/>
    <x v="0"/>
    <n v="0"/>
    <x v="6"/>
    <n v="0"/>
    <x v="0"/>
    <n v="0"/>
    <n v="0"/>
    <n v="0"/>
    <s v="NAN"/>
    <s v="99.79042065"/>
    <s v="0"/>
    <s v="0.2095793501"/>
    <s v="0"/>
    <n v="27"/>
    <n v="19"/>
  </r>
  <r>
    <s v="Uganda"/>
    <x v="5"/>
    <n v="45741"/>
    <n v="45741000"/>
    <n v="45.741"/>
    <n v="45741000"/>
    <n v="45.741"/>
    <n v="45.741"/>
    <s v="24.95400047"/>
    <n v="0.24954000470000001"/>
    <n v="11414209.3549827"/>
    <n v="11414.2093549827"/>
    <n v="75.045999530000003"/>
    <x v="160"/>
    <x v="96"/>
    <s v="12.16590654"/>
    <x v="120"/>
    <s v="4.696184252"/>
    <x v="72"/>
    <s v="48.23118958"/>
    <s v="31.78469426"/>
    <s v="14.07616061"/>
    <s v="5.907955546"/>
    <s v="78.7828518"/>
    <s v="13.74416783"/>
    <s v="6.421044133"/>
    <s v="1.051936238"/>
    <n v="27"/>
    <n v="13"/>
  </r>
  <r>
    <s v="Spain"/>
    <x v="1"/>
    <n v="46754.78125"/>
    <n v="46754781.25"/>
    <n v="46.754781250000001"/>
    <n v="46754781.25"/>
    <n v="46.755000000000003"/>
    <n v="46.754999999999995"/>
    <s v="80.80999756"/>
    <n v="0.80809997560000002"/>
    <n v="37782537.58730834"/>
    <n v="37782.537587308339"/>
    <n v="19.190002440000001"/>
    <x v="161"/>
    <x v="0"/>
    <s v="0.07438739142"/>
    <x v="121"/>
    <s v="0"/>
    <x v="0"/>
    <s v="100"/>
    <s v="0"/>
    <s v="0"/>
    <s v="0"/>
    <s v="99.90794521"/>
    <s v="0"/>
    <s v="0.09205479452"/>
    <s v="0"/>
    <n v="27"/>
    <n v="13"/>
  </r>
  <r>
    <s v="Colombia"/>
    <x v="2"/>
    <n v="50882.882810000003"/>
    <n v="50882882.810000002"/>
    <n v="50.882882810000005"/>
    <n v="50882882.810000002"/>
    <n v="50.883000000000003"/>
    <n v="50.882999999999996"/>
    <s v="81.42499542"/>
    <n v="0.81424995420000001"/>
    <n v="41431384.997606471"/>
    <n v="41431.384997606474"/>
    <n v="18.575004579999998"/>
    <x v="162"/>
    <x v="39"/>
    <s v="0.9536162228"/>
    <x v="122"/>
    <s v="1.368574512"/>
    <x v="73"/>
    <s v="86.76707282"/>
    <s v="0.7312282016"/>
    <s v="5.13386897"/>
    <s v="7.367830005"/>
    <s v="99.9381928"/>
    <s v="0.0618072"/>
    <s v="0"/>
    <s v="0"/>
    <n v="27"/>
    <n v="13"/>
  </r>
  <r>
    <s v="Republic of Korea"/>
    <x v="1"/>
    <n v="51269.183590000001"/>
    <n v="51269183.590000004"/>
    <n v="51.269183589999997"/>
    <n v="51269183.589999996"/>
    <n v="51.268999999999998"/>
    <n v="51.269999999999996"/>
    <s v="81.41400146"/>
    <n v="0.81414001459999996"/>
    <n v="41740293.876492679"/>
    <n v="41740.29387649268"/>
    <n v="18.585998540000006"/>
    <x v="163"/>
    <x v="0"/>
    <s v="0.06860335296"/>
    <x v="121"/>
    <s v="0"/>
    <x v="0"/>
    <n v="0"/>
    <n v="0"/>
    <n v="0"/>
    <s v="NAN"/>
    <s v="NAN"/>
    <s v="NAN"/>
    <s v="NAN"/>
    <s v="NAN"/>
    <n v="27"/>
    <n v="16"/>
  </r>
  <r>
    <s v="Kenya"/>
    <x v="4"/>
    <n v="53771.300779999998"/>
    <n v="53771300.780000001"/>
    <n v="53.771300779999997"/>
    <n v="53771300.779999994"/>
    <n v="53.771000000000001"/>
    <n v="53.771999999999998"/>
    <s v="27.99499893"/>
    <n v="0.27994998930000004"/>
    <n v="15053275.078008084"/>
    <n v="15053.275078008082"/>
    <n v="72.005001069999992"/>
    <x v="164"/>
    <x v="97"/>
    <s v="9.780087524"/>
    <x v="123"/>
    <s v="19.04515084"/>
    <x v="74"/>
    <s v="51.77997893"/>
    <s v="11.56900419"/>
    <s v="12.51911322"/>
    <s v="24.13190366"/>
    <s v="86.97523145"/>
    <s v="4.327944725"/>
    <s v="2.73514263"/>
    <s v="5.961681193"/>
    <n v="27"/>
    <n v="13"/>
  </r>
  <r>
    <s v="Myanmar"/>
    <x v="4"/>
    <n v="54409.792970000002"/>
    <n v="54409792.969999999"/>
    <n v="54.409792970000005"/>
    <n v="54409792.970000006"/>
    <n v="54.41"/>
    <n v="54.41"/>
    <s v="31.14100075"/>
    <n v="0.31141000749999997"/>
    <n v="16943754.036861144"/>
    <n v="16943.754036861148"/>
    <n v="68.858999249999997"/>
    <x v="165"/>
    <x v="98"/>
    <s v="5.10942478"/>
    <x v="124"/>
    <s v="9.576946362"/>
    <x v="75"/>
    <s v="78.42256469"/>
    <s v="2.316962142"/>
    <s v="6.592393694"/>
    <s v="12.66807947"/>
    <s v="95.42788606"/>
    <s v="0"/>
    <s v="1.830283006"/>
    <s v="2.741830931"/>
    <n v="27"/>
    <n v="13"/>
  </r>
  <r>
    <s v="South Africa"/>
    <x v="2"/>
    <n v="59308.691409999999"/>
    <n v="59308691.409999996"/>
    <n v="59.308691410000002"/>
    <n v="59308691.410000004"/>
    <n v="59.308999999999997"/>
    <n v="59.308999999999997"/>
    <s v="67.35400391"/>
    <n v="0.67354003910000004"/>
    <n v="39946778.331261232"/>
    <n v="39946.778331261237"/>
    <n v="32.645996089999997"/>
    <x v="166"/>
    <x v="99"/>
    <s v="1.410816657"/>
    <x v="125"/>
    <s v="1.931389712"/>
    <x v="76"/>
    <s v="83.32948118"/>
    <s v="6.977359359"/>
    <s v="3.776999287"/>
    <s v="5.916160173"/>
    <s v="99.00126484"/>
    <s v="0.734785403"/>
    <s v="0.2639497547"/>
    <s v="0"/>
    <n v="27"/>
    <n v="13"/>
  </r>
  <r>
    <s v="United Republic of Tanzania"/>
    <x v="4"/>
    <n v="59734.214840000001"/>
    <n v="59734214.840000004"/>
    <n v="59.73421484"/>
    <n v="59734214.840000004"/>
    <n v="59.734000000000002"/>
    <n v="59.734999999999999"/>
    <s v="35.22700119"/>
    <n v="0.35227001190000001"/>
    <n v="21042572.572523959"/>
    <n v="21042.572572523957"/>
    <n v="64.77299880999999"/>
    <x v="167"/>
    <x v="100"/>
    <s v="14.51775136"/>
    <x v="126"/>
    <s v="13.47538038"/>
    <x v="77"/>
    <s v="45.44696534"/>
    <s v="13.98368881"/>
    <s v="21.21996133"/>
    <s v="19.34938452"/>
    <s v="88.7939249"/>
    <s v="6.337231166"/>
    <s v="2.194178786"/>
    <s v="2.674665152"/>
    <n v="27"/>
    <n v="13"/>
  </r>
  <r>
    <s v="Italy"/>
    <x v="1"/>
    <n v="60461.828130000002"/>
    <n v="60461828.130000003"/>
    <n v="60.461828130000001"/>
    <n v="60461828.130000003"/>
    <n v="60.462000000000003"/>
    <n v="60.461999999999996"/>
    <s v="71.03899384"/>
    <n v="0.71038993840000009"/>
    <n v="42951474.360822096"/>
    <n v="42951.474360822096"/>
    <n v="28.961006159999997"/>
    <x v="168"/>
    <x v="0"/>
    <s v="0.08296592591"/>
    <x v="117"/>
    <s v="0"/>
    <x v="0"/>
    <n v="0"/>
    <n v="0"/>
    <n v="0"/>
    <s v="NAN"/>
    <s v="NAN"/>
    <s v="NAN"/>
    <s v="NAN"/>
    <s v="NAN"/>
    <n v="27"/>
    <n v="16"/>
  </r>
  <r>
    <s v="France"/>
    <x v="1"/>
    <n v="65273.511720000002"/>
    <n v="65273511.719999999"/>
    <n v="65.273511720000002"/>
    <n v="65273511.719999999"/>
    <n v="65.274000000000001"/>
    <n v="65.274000000000001"/>
    <s v="80.97499847"/>
    <n v="0.80974998470000004"/>
    <n v="52855225.11658527"/>
    <n v="52855.225116585272"/>
    <n v="19.025001529999997"/>
    <x v="169"/>
    <x v="0"/>
    <s v="0.00000149610841"/>
    <x v="6"/>
    <s v="0"/>
    <x v="0"/>
    <s v="100"/>
    <s v="0"/>
    <s v="0"/>
    <s v="0"/>
    <s v="100"/>
    <s v="0"/>
    <s v="0"/>
    <s v="0"/>
    <n v="27"/>
    <n v="13"/>
  </r>
  <r>
    <s v="United Kingdom"/>
    <x v="1"/>
    <n v="67886.007809999996"/>
    <n v="67886007.810000002"/>
    <n v="67.886007809999995"/>
    <n v="67886007.810000002"/>
    <n v="67.885999999999996"/>
    <n v="67.887"/>
    <s v="83.90299988"/>
    <n v="0.83902999879999995"/>
    <n v="56958397.051361091"/>
    <n v="56958.397051361084"/>
    <n v="16.097000120000004"/>
    <x v="170"/>
    <x v="0"/>
    <s v="0.00000143853282"/>
    <x v="6"/>
    <s v="0"/>
    <x v="0"/>
    <s v="100"/>
    <s v="0"/>
    <s v="0"/>
    <s v="0"/>
    <s v="100"/>
    <s v="0"/>
    <s v="0"/>
    <s v="0"/>
    <n v="27"/>
    <n v="13"/>
  </r>
  <r>
    <s v="Thailand"/>
    <x v="2"/>
    <n v="69799.976559999996"/>
    <n v="69799976.560000002"/>
    <n v="69.79997655999999"/>
    <n v="69799976.559999987"/>
    <n v="69.8"/>
    <n v="69.800000000000011"/>
    <s v="51.43000031"/>
    <n v="0.51430000310000001"/>
    <n v="35898128.161187932"/>
    <n v="35898.128161187924"/>
    <n v="48.569999690000003"/>
    <x v="6"/>
    <x v="0"/>
    <s v="0"/>
    <x v="6"/>
    <s v="0"/>
    <x v="0"/>
    <s v="100"/>
    <s v="0"/>
    <s v="0"/>
    <s v="0"/>
    <s v="100"/>
    <s v="0"/>
    <s v="0"/>
    <s v="0"/>
    <n v="27"/>
    <n v="13"/>
  </r>
  <r>
    <s v="Germany"/>
    <x v="1"/>
    <n v="83783.945309999996"/>
    <n v="83783945.310000002"/>
    <n v="83.783945309999993"/>
    <n v="83783945.309999987"/>
    <n v="83.784000000000006"/>
    <n v="83.784000000000006"/>
    <s v="77.45300293"/>
    <n v="0.77453002929999992"/>
    <n v="64893181.615823895"/>
    <n v="64893.181615823887"/>
    <n v="22.546997070000003"/>
    <x v="108"/>
    <x v="0"/>
    <s v="0"/>
    <x v="6"/>
    <s v="0"/>
    <x v="0"/>
    <s v="100"/>
    <s v="0"/>
    <s v="0"/>
    <s v="0"/>
    <s v="100"/>
    <s v="0"/>
    <s v="0"/>
    <s v="0"/>
    <n v="27"/>
    <n v="13"/>
  </r>
  <r>
    <s v="Iran (Islamic Republic of)"/>
    <x v="4"/>
    <n v="83992.953129999994"/>
    <n v="83992953.129999995"/>
    <n v="83.992953129999989"/>
    <n v="83992953.129999995"/>
    <n v="83.992999999999995"/>
    <n v="83.993000000000009"/>
    <s v="75.87400055"/>
    <n v="0.75874000550000009"/>
    <n v="63728813.719817445"/>
    <n v="63728.813719817445"/>
    <n v="24.125999449999995"/>
    <x v="171"/>
    <x v="74"/>
    <s v="0.5137973631"/>
    <x v="127"/>
    <s v="0.06525508185"/>
    <x v="78"/>
    <s v="93.82873538"/>
    <s v="4.297948765"/>
    <s v="1.602839669"/>
    <s v="0.2704761905"/>
    <s v="98.64448672"/>
    <s v="1.188006671"/>
    <s v="0.1675066077"/>
    <s v="0"/>
    <n v="27"/>
    <n v="13"/>
  </r>
  <r>
    <s v="Turkey"/>
    <x v="2"/>
    <n v="84339.070309999996"/>
    <n v="84339070.310000002"/>
    <n v="84.339070309999997"/>
    <n v="84339070.310000002"/>
    <n v="84.338999999999999"/>
    <n v="84.34"/>
    <s v="76.10500336"/>
    <n v="0.76105003360000001"/>
    <n v="64186252.293218262"/>
    <n v="64186.252293218262"/>
    <n v="23.894996640000002"/>
    <x v="172"/>
    <x v="101"/>
    <s v="0.7376749545"/>
    <x v="128"/>
    <s v="0.2249778093"/>
    <x v="2"/>
    <s v="96.02516977"/>
    <s v="2.684574639"/>
    <s v="0.7882555911"/>
    <s v="0.502"/>
    <s v="97.32481783"/>
    <s v="1.815385203"/>
    <s v="0.7217969634"/>
    <s v="0.138"/>
    <n v="27"/>
    <n v="13"/>
  </r>
  <r>
    <s v="Democratic Republic of the Congo"/>
    <x v="4"/>
    <n v="89561.40625"/>
    <n v="89561406.25"/>
    <n v="89.561406250000005"/>
    <n v="89561406.25"/>
    <n v="89.561000000000007"/>
    <n v="89.562000000000012"/>
    <s v="45.63800049"/>
    <n v="0.45638000490000002"/>
    <n v="40874035.023225896"/>
    <n v="40874.035023225893"/>
    <n v="54.361999509999997"/>
    <x v="173"/>
    <x v="102"/>
    <s v="32.54231607"/>
    <x v="129"/>
    <s v="8.064332495"/>
    <x v="79"/>
    <s v="21.98279234"/>
    <s v="12.68294146"/>
    <s v="51.21598167"/>
    <s v="14.11828453"/>
    <s v="74.50335478"/>
    <s v="14.34445818"/>
    <s v="10.29905862"/>
    <s v="0.8531284131"/>
    <n v="27"/>
    <n v="13"/>
  </r>
  <r>
    <s v="Viet Nam"/>
    <x v="4"/>
    <n v="97338.585940000004"/>
    <n v="97338585.939999998"/>
    <n v="97.338585940000002"/>
    <n v="97338585.939999998"/>
    <n v="97.338999999999999"/>
    <n v="97.338999999999999"/>
    <s v="37.34000015"/>
    <n v="0.37340000150000002"/>
    <n v="36346228.136003882"/>
    <n v="36346.228136003883"/>
    <n v="62.659999849999998"/>
    <x v="174"/>
    <x v="0"/>
    <s v="3.115643126"/>
    <x v="130"/>
    <s v="0"/>
    <x v="0"/>
    <s v="95.51453844"/>
    <s v="0"/>
    <s v="4.48546156"/>
    <s v="0"/>
    <s v="99.18304001"/>
    <s v="0"/>
    <s v="0.816959987"/>
    <s v="0"/>
    <n v="27"/>
    <n v="13"/>
  </r>
  <r>
    <s v="Egypt"/>
    <x v="4"/>
    <n v="102334.4063"/>
    <n v="102334406.3"/>
    <n v="102.3344063"/>
    <n v="102334406.3"/>
    <n v="102.334"/>
    <n v="102.33500000000001"/>
    <s v="42.78300095"/>
    <n v="0.4278300095"/>
    <n v="43781730.019505858"/>
    <n v="43781.730019505863"/>
    <n v="57.216999049999998"/>
    <x v="175"/>
    <x v="103"/>
    <s v="0.3222149265"/>
    <x v="65"/>
    <s v="0"/>
    <x v="0"/>
    <s v="99.33283515"/>
    <s v="0.3359418224"/>
    <s v="0.3312230319"/>
    <s v="0"/>
    <s v="99.5837311"/>
    <s v="0.1061012067"/>
    <s v="0.3101676943"/>
    <s v="0"/>
    <n v="27"/>
    <n v="13"/>
  </r>
  <r>
    <s v="Philippines"/>
    <x v="4"/>
    <n v="109581.08590000001"/>
    <n v="109581085.90000001"/>
    <n v="109.58108590000001"/>
    <n v="109581085.90000001"/>
    <n v="109.581"/>
    <n v="109.58200000000001"/>
    <s v="47.40799713"/>
    <n v="0.47407997129999996"/>
    <n v="51950198.058494836"/>
    <n v="51950.198058494832"/>
    <n v="52.592002870000002"/>
    <x v="176"/>
    <x v="104"/>
    <s v="3.034479307"/>
    <x v="131"/>
    <s v="0"/>
    <x v="0"/>
    <s v="91.06193322"/>
    <s v="3.959520428"/>
    <s v="4.978546347"/>
    <s v="0"/>
    <s v="97.4893325"/>
    <s v="1.632836465"/>
    <s v="0.877831036"/>
    <s v="0"/>
    <n v="27"/>
    <n v="13"/>
  </r>
  <r>
    <s v="Ethiopia"/>
    <x v="5"/>
    <n v="114963.58590000001"/>
    <n v="114963585.90000001"/>
    <n v="114.96358590000001"/>
    <n v="114963585.90000001"/>
    <n v="114.964"/>
    <n v="114.964"/>
    <s v="21.69499969"/>
    <n v="0.2169499969"/>
    <n v="24941349.604617886"/>
    <n v="24941.349604617884"/>
    <n v="78.305000309999997"/>
    <x v="177"/>
    <x v="105"/>
    <s v="18.63506013"/>
    <x v="132"/>
    <s v="5.008647486"/>
    <x v="80"/>
    <s v="40.03013919"/>
    <s v="30.18668334"/>
    <s v="23.49561327"/>
    <s v="6.287564203"/>
    <s v="84.21282816"/>
    <s v="14.30300858"/>
    <s v="1.091582355"/>
    <s v="0.392580896"/>
    <n v="27"/>
    <n v="13"/>
  </r>
  <r>
    <s v="Japan"/>
    <x v="1"/>
    <n v="126476.46090000001"/>
    <n v="126476460.90000001"/>
    <n v="126.47646090000001"/>
    <n v="126476460.90000001"/>
    <n v="126.476"/>
    <n v="126.477"/>
    <s v="91.78199768"/>
    <n v="0.91781997680000005"/>
    <n v="116082622.40898412"/>
    <n v="116082.62240898411"/>
    <n v="8.2180023199999965"/>
    <x v="178"/>
    <x v="0"/>
    <s v="0.9210875467"/>
    <x v="133"/>
    <s v="0"/>
    <x v="0"/>
    <n v="0"/>
    <n v="0"/>
    <n v="0"/>
    <s v="NAN"/>
    <s v="NAN"/>
    <s v="NAN"/>
    <s v="NAN"/>
    <s v="NAN"/>
    <n v="27"/>
    <n v="16"/>
  </r>
  <r>
    <s v="Mexico"/>
    <x v="2"/>
    <n v="128932.75"/>
    <n v="128932750"/>
    <n v="128.93275"/>
    <n v="128932750"/>
    <n v="128.93299999999999"/>
    <n v="128.93299999999999"/>
    <s v="80.73099518"/>
    <n v="0.80730995179999998"/>
    <n v="104088692.18794145"/>
    <n v="104088.69218794144"/>
    <n v="19.269004820000006"/>
    <x v="179"/>
    <x v="0"/>
    <s v="0.3204317169"/>
    <x v="65"/>
    <s v="0"/>
    <x v="0"/>
    <s v="98.33706893"/>
    <s v="0"/>
    <s v="1.662931067"/>
    <s v="0"/>
    <s v="100"/>
    <s v="0"/>
    <s v="0"/>
    <s v="0"/>
    <n v="27"/>
    <n v="13"/>
  </r>
  <r>
    <s v="Russian Federation"/>
    <x v="2"/>
    <n v="145934.45310000001"/>
    <n v="145934453.10000002"/>
    <n v="145.93445310000001"/>
    <n v="145934453.10000002"/>
    <n v="145.934"/>
    <n v="145.935"/>
    <s v="74.75400543"/>
    <n v="0.74754005430000003"/>
    <n v="109091848.99461482"/>
    <n v="109091.84899461482"/>
    <n v="25.245994569999993"/>
    <x v="180"/>
    <x v="106"/>
    <s v="2.38545555"/>
    <x v="134"/>
    <n v="0"/>
    <x v="0"/>
    <s v="91.54410196"/>
    <s v="1.583163513"/>
    <s v="6.872734531"/>
    <s v="NAN"/>
    <s v="98.83259961"/>
    <s v="0.2973899687"/>
    <s v="0.6700104236"/>
    <s v="0.2"/>
    <n v="27"/>
    <n v="14"/>
  </r>
  <r>
    <s v="Bangladesh"/>
    <x v="4"/>
    <n v="164689.39060000001"/>
    <n v="164689390.60000002"/>
    <n v="164.68939060000002"/>
    <n v="164689390.60000002"/>
    <n v="164.68899999999999"/>
    <n v="164.69"/>
    <s v="38.17700195"/>
    <n v="0.3817700195"/>
    <n v="62873471.860805124"/>
    <n v="62873.471860805119"/>
    <n v="61.822998050000002"/>
    <x v="181"/>
    <x v="107"/>
    <s v="0.4626557002"/>
    <x v="135"/>
    <s v="0.6829581735"/>
    <x v="81"/>
    <s v="97.88023776"/>
    <s v="0.8581049804"/>
    <s v="0.3164802414"/>
    <s v="0.9451770151"/>
    <s v="97.40277797"/>
    <s v="1.639520121"/>
    <s v="0.6993752147"/>
    <s v="0.2583266934"/>
    <n v="27"/>
    <n v="13"/>
  </r>
  <r>
    <s v="Nigeria"/>
    <x v="4"/>
    <n v="206139.5938"/>
    <n v="206139593.80000001"/>
    <n v="206.1395938"/>
    <n v="206139593.80000001"/>
    <n v="206.14"/>
    <n v="206.14000000000001"/>
    <s v="51.95800018"/>
    <n v="0.51958000179999997"/>
    <n v="107106010.51765527"/>
    <n v="107106.01051765526"/>
    <n v="48.041999820000001"/>
    <x v="182"/>
    <x v="108"/>
    <s v="11.79691148"/>
    <x v="136"/>
    <s v="5.614635794"/>
    <x v="82"/>
    <s v="61.65821003"/>
    <s v="7.128924583"/>
    <s v="20.92487535"/>
    <s v="10.28799004"/>
    <s v="92.35770519"/>
    <s v="2.99188065"/>
    <s v="3.356908786"/>
    <s v="1.29350537"/>
    <n v="27"/>
    <n v="13"/>
  </r>
  <r>
    <s v="Brazil"/>
    <x v="2"/>
    <n v="212559.4063"/>
    <n v="212559406.30000001"/>
    <n v="212.55940630000001"/>
    <n v="212559406.30000001"/>
    <n v="212.559"/>
    <n v="212.56"/>
    <s v="87.07299805"/>
    <n v="0.87072998049999994"/>
    <n v="185081847.70269057"/>
    <n v="185081.84770269057"/>
    <n v="12.927001950000005"/>
    <x v="183"/>
    <x v="109"/>
    <s v="0.5525980099"/>
    <x v="137"/>
    <n v="0"/>
    <x v="0"/>
    <s v="95.94525953"/>
    <s v="0.9789509154"/>
    <s v="3.075789551"/>
    <s v="NAN"/>
    <s v="99.82200131"/>
    <s v="0"/>
    <s v="0.1779986949"/>
    <s v="0"/>
    <n v="27"/>
    <n v="14"/>
  </r>
  <r>
    <s v="Pakistan"/>
    <x v="4"/>
    <n v="220892.32810000001"/>
    <n v="220892328.10000002"/>
    <n v="220.89232810000001"/>
    <n v="220892328.10000002"/>
    <n v="220.892"/>
    <n v="220.893"/>
    <s v="37.16500092"/>
    <n v="0.37165000919999996"/>
    <n v="82094635.770574421"/>
    <n v="82094.635770574416"/>
    <n v="62.834999080000003"/>
    <x v="184"/>
    <x v="32"/>
    <s v="4.413307574"/>
    <x v="138"/>
    <s v="1.61544782"/>
    <x v="83"/>
    <s v="88.59986076"/>
    <s v="3.852278117"/>
    <s v="5.174596509"/>
    <s v="2.373264617"/>
    <s v="92.76804985"/>
    <s v="3.771561162"/>
    <s v="3.126184571"/>
    <s v="0.3342044223"/>
    <n v="27"/>
    <n v="13"/>
  </r>
  <r>
    <s v="Indonesia"/>
    <x v="4"/>
    <n v="273523.625"/>
    <n v="273523625"/>
    <n v="273.52362499999998"/>
    <n v="273523625"/>
    <n v="273.524"/>
    <n v="273.524"/>
    <s v="56.64099884"/>
    <n v="0.56640998840000001"/>
    <n v="154926513.26337594"/>
    <n v="154926.51326337596"/>
    <n v="43.359001159999998"/>
    <x v="185"/>
    <x v="110"/>
    <s v="5.553871666"/>
    <x v="139"/>
    <s v="1.175304087"/>
    <x v="84"/>
    <s v="85.66796238"/>
    <s v="1.17809123"/>
    <s v="10.61491462"/>
    <s v="2.539031772"/>
    <s v="97.58051207"/>
    <s v="0.6085098345"/>
    <s v="1.679615139"/>
    <s v="0.1313629588"/>
    <n v="27"/>
    <n v="13"/>
  </r>
  <r>
    <s v="United States of America"/>
    <x v="1"/>
    <n v="331002.65629999997"/>
    <n v="331002656.29999995"/>
    <n v="331.00265629999996"/>
    <n v="331002656.29999995"/>
    <n v="331.00299999999999"/>
    <n v="331.00299999999999"/>
    <s v="82.66400146"/>
    <n v="0.82664001459999992"/>
    <n v="273620040.63647074"/>
    <n v="273620.04063647072"/>
    <n v="17.335998540000006"/>
    <x v="186"/>
    <x v="0"/>
    <s v="0.1164733182"/>
    <x v="29"/>
    <s v="0"/>
    <x v="0"/>
    <s v="99.67078734"/>
    <s v="0"/>
    <s v="0.3292126628"/>
    <s v="0"/>
    <s v="99.92814447"/>
    <s v="0"/>
    <s v="0.0718555296"/>
    <s v="0"/>
    <n v="27"/>
    <n v="13"/>
  </r>
  <r>
    <s v="India"/>
    <x v="4"/>
    <n v="1380004.375"/>
    <n v="1380004375"/>
    <n v="1380.004375"/>
    <n v="1380004375"/>
    <n v="1380.0039999999999"/>
    <n v="1380.0049999999999"/>
    <s v="34.9260025"/>
    <n v="0.34926002500000003"/>
    <n v="481980362.51260942"/>
    <n v="481980.3625126094"/>
    <n v="65.07399749999999"/>
    <x v="187"/>
    <x v="108"/>
    <s v="3.963153945"/>
    <x v="140"/>
    <s v="0.5637184626"/>
    <x v="6"/>
    <s v="88.78250313"/>
    <s v="5.902210054"/>
    <s v="4.57637573"/>
    <s v="0.7389110856"/>
    <s v="93.6700363"/>
    <s v="3.272056027"/>
    <s v="2.820607523"/>
    <s v="0.2373001538"/>
    <n v="27"/>
    <n v="13"/>
  </r>
  <r>
    <s v="China"/>
    <x v="2"/>
    <n v="1463140.5"/>
    <n v="1463140500"/>
    <n v="1463.1405"/>
    <n v="1463140500"/>
    <n v="1463.1410000000001"/>
    <n v="1463.1410000000001"/>
    <s v="61.71308899"/>
    <n v="0.61713088989999998"/>
    <n v="902949198.81373096"/>
    <n v="902949.19881373097"/>
    <n v="38.286911009999997"/>
    <x v="188"/>
    <x v="111"/>
    <s v="4.725451938"/>
    <x v="141"/>
    <s v="0.1987161441"/>
    <x v="85"/>
    <s v="89.66123351"/>
    <s v="1.832679086"/>
    <s v="8.506087409"/>
    <s v="0"/>
    <s v="97.11488267"/>
    <s v="0.1831784927"/>
    <s v="2.37993884"/>
    <s v="0.322"/>
    <n v="27"/>
    <n v="13"/>
  </r>
  <r>
    <m/>
    <x v="6"/>
    <m/>
    <m/>
    <m/>
    <m/>
    <m/>
    <m/>
    <m/>
    <m/>
    <m/>
    <m/>
    <m/>
    <x v="189"/>
    <x v="112"/>
    <m/>
    <x v="142"/>
    <m/>
    <x v="8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82605-9F45-46E3-B2BB-7DD90F75032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3" firstHeaderRow="0" firstDataRow="1" firstDataCol="1"/>
  <pivotFields count="29">
    <pivotField showAll="0"/>
    <pivotField axis="axisRow"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91">
        <item x="71"/>
        <item x="4"/>
        <item x="0"/>
        <item x="6"/>
        <item x="35"/>
        <item x="85"/>
        <item x="74"/>
        <item x="13"/>
        <item x="108"/>
        <item x="96"/>
        <item x="84"/>
        <item x="16"/>
        <item x="14"/>
        <item x="75"/>
        <item x="111"/>
        <item x="98"/>
        <item x="173"/>
        <item x="123"/>
        <item x="137"/>
        <item x="135"/>
        <item x="177"/>
        <item x="142"/>
        <item x="160"/>
        <item x="122"/>
        <item x="149"/>
        <item x="53"/>
        <item x="119"/>
        <item x="158"/>
        <item x="145"/>
        <item x="167"/>
        <item x="164"/>
        <item x="117"/>
        <item x="121"/>
        <item x="147"/>
        <item x="94"/>
        <item x="120"/>
        <item x="130"/>
        <item x="118"/>
        <item x="141"/>
        <item x="113"/>
        <item x="41"/>
        <item x="95"/>
        <item x="37"/>
        <item x="133"/>
        <item x="46"/>
        <item x="140"/>
        <item x="124"/>
        <item x="73"/>
        <item x="56"/>
        <item x="83"/>
        <item x="155"/>
        <item x="77"/>
        <item x="45"/>
        <item x="182"/>
        <item x="20"/>
        <item x="24"/>
        <item x="59"/>
        <item x="88"/>
        <item x="100"/>
        <item x="134"/>
        <item x="165"/>
        <item x="60"/>
        <item x="125"/>
        <item x="93"/>
        <item x="57"/>
        <item x="49"/>
        <item x="66"/>
        <item x="146"/>
        <item x="144"/>
        <item x="184"/>
        <item x="152"/>
        <item x="187"/>
        <item x="70"/>
        <item x="64"/>
        <item x="29"/>
        <item x="87"/>
        <item x="23"/>
        <item x="80"/>
        <item x="58"/>
        <item x="136"/>
        <item x="185"/>
        <item x="89"/>
        <item x="150"/>
        <item x="115"/>
        <item x="143"/>
        <item x="28"/>
        <item x="139"/>
        <item x="166"/>
        <item x="127"/>
        <item x="157"/>
        <item x="129"/>
        <item x="176"/>
        <item x="188"/>
        <item x="44"/>
        <item x="72"/>
        <item x="159"/>
        <item x="62"/>
        <item x="97"/>
        <item x="2"/>
        <item x="128"/>
        <item x="131"/>
        <item x="43"/>
        <item x="103"/>
        <item x="105"/>
        <item x="67"/>
        <item x="25"/>
        <item x="99"/>
        <item x="110"/>
        <item x="174"/>
        <item x="22"/>
        <item x="180"/>
        <item x="112"/>
        <item x="1"/>
        <item x="172"/>
        <item x="148"/>
        <item x="42"/>
        <item x="69"/>
        <item x="76"/>
        <item x="171"/>
        <item x="162"/>
        <item x="116"/>
        <item x="181"/>
        <item x="55"/>
        <item x="151"/>
        <item x="79"/>
        <item x="86"/>
        <item x="38"/>
        <item x="61"/>
        <item x="3"/>
        <item x="156"/>
        <item x="32"/>
        <item x="27"/>
        <item x="18"/>
        <item x="19"/>
        <item x="52"/>
        <item x="40"/>
        <item x="51"/>
        <item x="107"/>
        <item x="91"/>
        <item x="17"/>
        <item x="178"/>
        <item x="5"/>
        <item x="7"/>
        <item x="153"/>
        <item x="26"/>
        <item x="183"/>
        <item x="175"/>
        <item x="68"/>
        <item x="54"/>
        <item x="36"/>
        <item x="63"/>
        <item x="50"/>
        <item x="92"/>
        <item x="9"/>
        <item x="179"/>
        <item x="21"/>
        <item x="47"/>
        <item x="12"/>
        <item x="82"/>
        <item x="33"/>
        <item x="78"/>
        <item x="104"/>
        <item x="31"/>
        <item x="10"/>
        <item x="48"/>
        <item x="39"/>
        <item x="109"/>
        <item x="186"/>
        <item x="90"/>
        <item x="34"/>
        <item x="15"/>
        <item x="106"/>
        <item x="168"/>
        <item x="161"/>
        <item x="163"/>
        <item x="102"/>
        <item x="154"/>
        <item x="138"/>
        <item x="65"/>
        <item x="8"/>
        <item x="11"/>
        <item x="81"/>
        <item x="114"/>
        <item x="30"/>
        <item x="101"/>
        <item x="169"/>
        <item x="170"/>
        <item x="132"/>
        <item x="126"/>
        <item x="189"/>
        <item t="default"/>
      </items>
    </pivotField>
    <pivotField dataField="1" showAll="0">
      <items count="114">
        <item x="0"/>
        <item x="1"/>
        <item x="10"/>
        <item x="109"/>
        <item x="62"/>
        <item x="57"/>
        <item x="39"/>
        <item x="42"/>
        <item x="103"/>
        <item x="7"/>
        <item x="87"/>
        <item x="47"/>
        <item x="55"/>
        <item x="58"/>
        <item x="33"/>
        <item x="13"/>
        <item x="78"/>
        <item x="106"/>
        <item x="21"/>
        <item x="111"/>
        <item x="89"/>
        <item x="110"/>
        <item x="2"/>
        <item x="92"/>
        <item x="40"/>
        <item x="56"/>
        <item x="8"/>
        <item x="12"/>
        <item x="20"/>
        <item x="107"/>
        <item x="16"/>
        <item x="9"/>
        <item x="91"/>
        <item x="60"/>
        <item x="45"/>
        <item x="34"/>
        <item x="98"/>
        <item x="23"/>
        <item x="4"/>
        <item x="35"/>
        <item x="29"/>
        <item x="19"/>
        <item x="44"/>
        <item x="74"/>
        <item x="101"/>
        <item x="52"/>
        <item x="31"/>
        <item x="71"/>
        <item x="15"/>
        <item x="54"/>
        <item x="82"/>
        <item x="99"/>
        <item x="104"/>
        <item x="11"/>
        <item x="53"/>
        <item x="48"/>
        <item x="32"/>
        <item x="76"/>
        <item x="83"/>
        <item x="3"/>
        <item x="51"/>
        <item x="26"/>
        <item x="108"/>
        <item x="95"/>
        <item x="90"/>
        <item x="30"/>
        <item x="93"/>
        <item x="14"/>
        <item x="72"/>
        <item x="50"/>
        <item x="73"/>
        <item x="5"/>
        <item x="85"/>
        <item x="28"/>
        <item x="46"/>
        <item x="41"/>
        <item x="25"/>
        <item x="27"/>
        <item x="38"/>
        <item x="80"/>
        <item x="49"/>
        <item x="88"/>
        <item x="64"/>
        <item x="18"/>
        <item x="97"/>
        <item x="61"/>
        <item x="86"/>
        <item x="24"/>
        <item x="43"/>
        <item x="100"/>
        <item x="81"/>
        <item x="102"/>
        <item x="36"/>
        <item x="70"/>
        <item x="22"/>
        <item x="67"/>
        <item x="69"/>
        <item x="17"/>
        <item x="63"/>
        <item x="6"/>
        <item x="66"/>
        <item x="79"/>
        <item x="75"/>
        <item x="65"/>
        <item x="37"/>
        <item x="94"/>
        <item x="105"/>
        <item x="96"/>
        <item x="68"/>
        <item x="84"/>
        <item x="77"/>
        <item x="59"/>
        <item x="112"/>
        <item t="default"/>
      </items>
    </pivotField>
    <pivotField showAll="0"/>
    <pivotField dataField="1" showAll="0">
      <items count="144">
        <item x="6"/>
        <item x="8"/>
        <item x="54"/>
        <item x="121"/>
        <item x="117"/>
        <item x="73"/>
        <item x="12"/>
        <item x="68"/>
        <item x="29"/>
        <item x="38"/>
        <item x="10"/>
        <item x="25"/>
        <item x="76"/>
        <item x="33"/>
        <item x="27"/>
        <item x="113"/>
        <item x="11"/>
        <item x="63"/>
        <item x="0"/>
        <item x="17"/>
        <item x="65"/>
        <item x="9"/>
        <item x="26"/>
        <item x="30"/>
        <item x="15"/>
        <item x="28"/>
        <item x="51"/>
        <item x="20"/>
        <item x="135"/>
        <item x="42"/>
        <item x="127"/>
        <item x="119"/>
        <item x="40"/>
        <item x="137"/>
        <item x="43"/>
        <item x="31"/>
        <item x="22"/>
        <item x="128"/>
        <item x="115"/>
        <item x="84"/>
        <item x="78"/>
        <item x="7"/>
        <item x="5"/>
        <item x="133"/>
        <item x="13"/>
        <item x="122"/>
        <item x="69"/>
        <item x="62"/>
        <item x="34"/>
        <item x="23"/>
        <item x="81"/>
        <item x="79"/>
        <item x="14"/>
        <item x="18"/>
        <item x="125"/>
        <item x="19"/>
        <item x="83"/>
        <item x="46"/>
        <item x="52"/>
        <item x="66"/>
        <item x="3"/>
        <item x="49"/>
        <item x="57"/>
        <item x="134"/>
        <item x="96"/>
        <item x="60"/>
        <item x="55"/>
        <item x="109"/>
        <item x="114"/>
        <item x="77"/>
        <item x="1"/>
        <item x="131"/>
        <item x="50"/>
        <item x="130"/>
        <item x="94"/>
        <item x="35"/>
        <item x="74"/>
        <item x="61"/>
        <item x="21"/>
        <item x="118"/>
        <item x="48"/>
        <item x="75"/>
        <item x="140"/>
        <item x="112"/>
        <item x="138"/>
        <item x="2"/>
        <item x="107"/>
        <item x="141"/>
        <item x="124"/>
        <item x="102"/>
        <item x="100"/>
        <item x="139"/>
        <item x="92"/>
        <item x="97"/>
        <item x="106"/>
        <item x="24"/>
        <item x="88"/>
        <item x="53"/>
        <item x="45"/>
        <item x="36"/>
        <item x="108"/>
        <item x="56"/>
        <item x="39"/>
        <item x="4"/>
        <item x="64"/>
        <item x="123"/>
        <item x="37"/>
        <item x="47"/>
        <item x="70"/>
        <item x="136"/>
        <item x="120"/>
        <item x="44"/>
        <item x="98"/>
        <item x="93"/>
        <item x="87"/>
        <item x="90"/>
        <item x="67"/>
        <item x="80"/>
        <item x="71"/>
        <item x="103"/>
        <item x="126"/>
        <item x="116"/>
        <item x="85"/>
        <item x="58"/>
        <item x="104"/>
        <item x="89"/>
        <item x="110"/>
        <item x="16"/>
        <item x="132"/>
        <item x="111"/>
        <item x="99"/>
        <item x="32"/>
        <item x="95"/>
        <item x="86"/>
        <item x="72"/>
        <item x="82"/>
        <item x="41"/>
        <item x="101"/>
        <item x="91"/>
        <item x="105"/>
        <item x="129"/>
        <item x="59"/>
        <item x="142"/>
        <item t="default"/>
      </items>
    </pivotField>
    <pivotField showAll="0"/>
    <pivotField dataField="1" showAll="0">
      <items count="88">
        <item x="0"/>
        <item x="7"/>
        <item x="22"/>
        <item x="26"/>
        <item x="71"/>
        <item x="9"/>
        <item x="36"/>
        <item x="78"/>
        <item x="50"/>
        <item x="48"/>
        <item x="18"/>
        <item x="85"/>
        <item x="2"/>
        <item x="56"/>
        <item x="39"/>
        <item x="15"/>
        <item x="53"/>
        <item x="6"/>
        <item x="31"/>
        <item x="81"/>
        <item x="69"/>
        <item x="3"/>
        <item x="84"/>
        <item x="60"/>
        <item x="17"/>
        <item x="52"/>
        <item x="73"/>
        <item x="67"/>
        <item x="23"/>
        <item x="28"/>
        <item x="37"/>
        <item x="83"/>
        <item x="20"/>
        <item x="54"/>
        <item x="65"/>
        <item x="76"/>
        <item x="66"/>
        <item x="49"/>
        <item x="10"/>
        <item x="12"/>
        <item x="51"/>
        <item x="11"/>
        <item x="45"/>
        <item x="61"/>
        <item x="30"/>
        <item x="41"/>
        <item x="24"/>
        <item x="40"/>
        <item x="42"/>
        <item x="14"/>
        <item x="55"/>
        <item x="29"/>
        <item x="72"/>
        <item x="62"/>
        <item x="19"/>
        <item x="80"/>
        <item x="16"/>
        <item x="82"/>
        <item x="8"/>
        <item x="21"/>
        <item x="57"/>
        <item x="27"/>
        <item x="58"/>
        <item x="44"/>
        <item x="46"/>
        <item x="4"/>
        <item x="79"/>
        <item x="38"/>
        <item x="43"/>
        <item x="68"/>
        <item x="47"/>
        <item x="70"/>
        <item x="75"/>
        <item x="13"/>
        <item x="63"/>
        <item x="33"/>
        <item x="59"/>
        <item x="35"/>
        <item x="25"/>
        <item x="77"/>
        <item x="64"/>
        <item x="74"/>
        <item x="34"/>
        <item x="32"/>
        <item x="5"/>
        <item x="1"/>
        <item x="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wat_bas_n" fld="13" subtotal="count" baseField="0" baseItem="0"/>
    <dataField name="Sum of wat_lim_n2" fld="14" baseField="0" baseItem="0"/>
    <dataField name="Sum of wat_unimp_n2" fld="16" baseField="0" baseItem="0"/>
    <dataField name="Sum of wat_sur_n2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996E5-0464-4C20-B33B-87DACCB58F4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" firstHeaderRow="0" firstDataRow="1" firstDataCol="0"/>
  <pivotFields count="7">
    <pivotField dataField="1" numFmtId="3" showAll="0"/>
    <pivotField dataField="1" numFmtId="4" showAll="0"/>
    <pivotField dataField="1" numFmtId="4" showAll="0"/>
    <pivotField dataField="1" showAll="0"/>
    <pivotField dataField="1" showAll="0"/>
    <pivotField dataField="1" numFmtId="4" showAll="0"/>
    <pivotField dataField="1"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population" fld="0" baseField="0" baseItem="0" numFmtId="3"/>
    <dataField name="Sum of urban poulation" fld="1" baseField="0" baseItem="0" numFmtId="4"/>
    <dataField name="Sum of rural population" fld="2" baseField="0" baseItem="0" numFmtId="4"/>
    <dataField name="Sum of urban percentage" fld="3" baseField="0" baseItem="0"/>
    <dataField name="Sum of rural percentage" fld="4" baseField="0" baseItem="0"/>
    <dataField name="Sum of pop u difference" fld="5" baseField="0" baseItem="0" numFmtId="4"/>
    <dataField name="Sum of percentage differen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0D05A9-58C8-44CE-9A04-069D9262EEE6}" autoFormatId="16" applyNumberFormats="0" applyBorderFormats="0" applyFontFormats="0" applyPatternFormats="0" applyAlignmentFormats="0" applyWidthHeightFormats="0">
  <queryTableRefresh nextId="34" unboundColumnsRight="2">
    <queryTableFields count="29">
      <queryTableField id="1" name="name;income_group;pop_n;pop_u;wat_bas_n;wat_lim_n;wat_unimp_n;wat_sur_n;wat_bas_r;wat_lim_r;wat_unimp_r;wat_sur_r;wat_bas_u;wat_lim_u;wat_unimp_u;wat_sur_u" tableColumnId="1"/>
      <queryTableField id="2" name="Column1" tableColumnId="2"/>
      <queryTableField id="3" name="_1" tableColumnId="3"/>
      <queryTableField id="20" dataBound="0" tableColumnId="20"/>
      <queryTableField id="27" dataBound="0" tableColumnId="23"/>
      <queryTableField id="30" dataBound="0" tableColumnId="27"/>
      <queryTableField id="28" dataBound="0" tableColumnId="24"/>
      <queryTableField id="29" dataBound="0" tableColumnId="26"/>
      <queryTableField id="4" name="_2" tableColumnId="4"/>
      <queryTableField id="19" dataBound="0" tableColumnId="19"/>
      <queryTableField id="22" dataBound="0" tableColumnId="22"/>
      <queryTableField id="21" dataBound="0" tableColumnId="21"/>
      <queryTableField id="25" dataBound="0" tableColumnId="25"/>
      <queryTableField id="5" name="_3" tableColumnId="5"/>
      <queryTableField id="31" dataBound="0" tableColumnId="28"/>
      <queryTableField id="7" name="_5" tableColumnId="7"/>
      <queryTableField id="32" dataBound="0" tableColumnId="29"/>
      <queryTableField id="8" name="_6" tableColumnId="8"/>
      <queryTableField id="33" dataBound="0" tableColumnId="30"/>
      <queryTableField id="9" name="_7" tableColumnId="9"/>
      <queryTableField id="10" name="_8" tableColumnId="10"/>
      <queryTableField id="11" name="_9" tableColumnId="11"/>
      <queryTableField id="12" name="_10" tableColumnId="12"/>
      <queryTableField id="13" name="_11" tableColumnId="13"/>
      <queryTableField id="14" name="_12" tableColumnId="14"/>
      <queryTableField id="15" name="_13" tableColumnId="15"/>
      <queryTableField id="16" name="_14" tableColumnId="16"/>
      <queryTableField id="17" dataBound="0" tableColumnId="17"/>
      <queryTableField id="18" dataBound="0" tableColumnId="18"/>
    </queryTableFields>
    <queryTableDeletedFields count="1">
      <deletedField name="_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B53AB-329D-411E-A1A9-C1C473BB821B}" name="Estimates_on_the_use_of_water__2020__a_3712" displayName="Estimates_on_the_use_of_water__2020__a_3712" ref="A1:AC214" tableType="queryTable" totalsRowShown="0">
  <autoFilter ref="A1:AC214" xr:uid="{110B53AB-329D-411E-A1A9-C1C473BB821B}"/>
  <tableColumns count="29">
    <tableColumn id="1" xr3:uid="{E1F82FF6-015C-4A56-A2D7-1CEDFDE8D897}" uniqueName="1" name="name" queryTableFieldId="1" dataDxfId="27"/>
    <tableColumn id="2" xr3:uid="{5E4A201F-4E59-46B1-B149-B246D997B83F}" uniqueName="2" name="income_group" queryTableFieldId="2" dataDxfId="26"/>
    <tableColumn id="3" xr3:uid="{D4018DF3-5D6D-4AD6-8F09-5FF41350F979}" uniqueName="3" name="pop_n" queryTableFieldId="3"/>
    <tableColumn id="20" xr3:uid="{59867D61-F16D-426F-9A46-293735262C81}" uniqueName="20" name="pop_n_k" queryTableFieldId="20" dataDxfId="25">
      <calculatedColumnFormula>Estimates_on_the_use_of_water__2020__a_3712[[#This Row],[pop_n]]*1000</calculatedColumnFormula>
    </tableColumn>
    <tableColumn id="23" xr3:uid="{2065136A-6C1E-4718-B512-81F733C59A26}" uniqueName="23" name="pop_n (m)" queryTableFieldId="27" dataDxfId="10">
      <calculatedColumnFormula>Estimates_on_the_use_of_water__2020__a_3712[[#This Row],[pop_n]]/1000</calculatedColumnFormula>
    </tableColumn>
    <tableColumn id="27" xr3:uid="{42DB5516-0D22-4638-9A87-797743B1DD3C}" uniqueName="27" name="pop_n_m" queryTableFieldId="30" dataDxfId="7">
      <calculatedColumnFormula>Estimates_on_the_use_of_water__2020__a_3712[[#This Row],[pop_n (m)]]*1000000</calculatedColumnFormula>
    </tableColumn>
    <tableColumn id="24" xr3:uid="{2FF7A6A4-FF44-4D26-A304-B0756A8C3EA5}" uniqueName="24" name="Round" queryTableFieldId="28" dataDxfId="9">
      <calculatedColumnFormula>ROUND(Estimates_on_the_use_of_water__2020__a_3712[[#This Row],[pop_n (m)]],3)</calculatedColumnFormula>
    </tableColumn>
    <tableColumn id="26" xr3:uid="{CAE77A8C-81AA-4C8F-81AE-75E026134B86}" uniqueName="26" name="Roundup" queryTableFieldId="29" dataDxfId="8">
      <calculatedColumnFormula>ROUNDUP(Estimates_on_the_use_of_water__2020__a_3712[[#This Row],[pop_n (m)]],3)</calculatedColumnFormula>
    </tableColumn>
    <tableColumn id="4" xr3:uid="{2BD7B798-0FE3-4F42-B981-1F2B75B8E0E6}" uniqueName="4" name="pop_u" queryTableFieldId="4" dataDxfId="24"/>
    <tableColumn id="19" xr3:uid="{77362953-FAB2-4630-B974-E4FA3D877FDA}" uniqueName="19" name="pop_u_percent" queryTableFieldId="19" dataDxfId="23"/>
    <tableColumn id="22" xr3:uid="{AB46051D-C76F-4D64-A25E-01E150927E83}" uniqueName="22" name="pop_u_val" queryTableFieldId="22" dataDxfId="22"/>
    <tableColumn id="21" xr3:uid="{534427A3-FAAD-4DE1-8978-D0DBD586547C}" uniqueName="21" name="pop_u_val_%" queryTableFieldId="21" dataDxfId="21"/>
    <tableColumn id="25" xr3:uid="{8D41C0BE-085C-4D72-9856-09399EA322EC}" uniqueName="25" name="pop_r" queryTableFieldId="25" dataDxfId="6"/>
    <tableColumn id="5" xr3:uid="{34729D1C-0834-4589-A06C-A238F2C6BADB}" uniqueName="5" name="wat_bas_n" queryTableFieldId="5" dataDxfId="5"/>
    <tableColumn id="28" xr3:uid="{E3CA66B1-2F3D-4CE3-8ED5-31BF3969309F}" uniqueName="28" name="wat_lim_n2" queryTableFieldId="31" dataDxfId="4"/>
    <tableColumn id="7" xr3:uid="{820FD6E2-A33E-4EF4-98FB-B8BC00CDEF85}" uniqueName="7" name="wat_unimp_n" queryTableFieldId="7" dataDxfId="3"/>
    <tableColumn id="29" xr3:uid="{D735CAD2-0C53-4CEC-84F7-0A7B1D47D88A}" uniqueName="29" name="wat_unimp_n2" queryTableFieldId="32" dataDxfId="2">
      <calculatedColumnFormula>ROUND(Estimates_on_the_use_of_water__2020__a_3712[[#This Row],[wat_unimp_n]],2)</calculatedColumnFormula>
    </tableColumn>
    <tableColumn id="8" xr3:uid="{D9EE3173-B549-48AD-A539-1B52D170E53F}" uniqueName="8" name="wat_sur_n" queryTableFieldId="8" dataDxfId="0"/>
    <tableColumn id="30" xr3:uid="{D1E280A7-078E-4482-B1CC-190576216994}" uniqueName="30" name="wat_sur_n2" queryTableFieldId="33" dataDxfId="1">
      <calculatedColumnFormula>ROUND(Estimates_on_the_use_of_water__2020__a_3712[[#This Row],[wat_sur_n]],2)</calculatedColumnFormula>
    </tableColumn>
    <tableColumn id="9" xr3:uid="{57A27263-D9F3-4CFD-90A5-4E3B4E2F0101}" uniqueName="9" name="wat_bas_r" queryTableFieldId="9" dataDxfId="20"/>
    <tableColumn id="10" xr3:uid="{74D3AE7C-9EFA-4C8E-80FD-2B0839519C98}" uniqueName="10" name="wat_lim_r" queryTableFieldId="10" dataDxfId="19"/>
    <tableColumn id="11" xr3:uid="{3A7DF174-5852-4808-84D6-CE4A578DDADF}" uniqueName="11" name="wat_unimp_r" queryTableFieldId="11" dataDxfId="18"/>
    <tableColumn id="12" xr3:uid="{63D78D01-1651-4B8F-841A-6A3D15465778}" uniqueName="12" name="wat_sur_r" queryTableFieldId="12" dataDxfId="17"/>
    <tableColumn id="13" xr3:uid="{CC7CCCC3-219F-4CD0-958D-48B6F1F59709}" uniqueName="13" name="wat_bas_u" queryTableFieldId="13" dataDxfId="16"/>
    <tableColumn id="14" xr3:uid="{AD351ABB-BB18-4B33-83CD-20CF2B80E817}" uniqueName="14" name="wat_lim_u" queryTableFieldId="14" dataDxfId="15"/>
    <tableColumn id="15" xr3:uid="{5AD32247-B1D1-44F7-A876-794FDF949492}" uniqueName="15" name="wat_unimp_u" queryTableFieldId="15" dataDxfId="14"/>
    <tableColumn id="16" xr3:uid="{A562FFEA-8F51-497D-A4AE-2E8F98A7F5D1}" uniqueName="16" name="wat_sur_u" queryTableFieldId="16" dataDxfId="13"/>
    <tableColumn id="17" xr3:uid="{DF501FDB-C3E0-4D0F-8FCD-5B68E4A8F9CC}" uniqueName="17" name="value_cnta" queryTableFieldId="17" dataDxfId="12">
      <calculatedColumnFormula>COUNTA(Estimates_on_the_use_of_water__2020__a_3712[[#This Row],[name]:[wat_sur_u]])</calculatedColumnFormula>
    </tableColumn>
    <tableColumn id="18" xr3:uid="{C73F9EB3-394C-4124-8860-469045B36FA7}" uniqueName="18" name="value_cnt" queryTableFieldId="18" dataDxfId="11">
      <calculatedColumnFormula>COUNT(Estimates_on_the_use_of_water__2020__a_3712[[#This Row],[name]:[wat_sur_u]])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A516-00EE-4C7D-BA14-6FDF40AFE9C2}">
  <dimension ref="A1:F13"/>
  <sheetViews>
    <sheetView tabSelected="1" workbookViewId="0">
      <selection activeCell="D17" sqref="D17"/>
    </sheetView>
  </sheetViews>
  <sheetFormatPr defaultRowHeight="15" x14ac:dyDescent="0.25"/>
  <cols>
    <col min="1" max="1" width="31.7109375" bestFit="1" customWidth="1"/>
    <col min="2" max="2" width="18.7109375" bestFit="1" customWidth="1"/>
    <col min="3" max="3" width="17.85546875" bestFit="1" customWidth="1"/>
    <col min="4" max="4" width="20.7109375" bestFit="1" customWidth="1"/>
    <col min="5" max="5" width="17.85546875" bestFit="1" customWidth="1"/>
    <col min="6" max="6" width="20.7109375" bestFit="1" customWidth="1"/>
    <col min="7" max="7" width="17.85546875" bestFit="1" customWidth="1"/>
    <col min="8" max="8" width="18.7109375" bestFit="1" customWidth="1"/>
    <col min="9" max="9" width="20.7109375" bestFit="1" customWidth="1"/>
    <col min="10" max="10" width="17.85546875" bestFit="1" customWidth="1"/>
    <col min="11" max="11" width="18.7109375" bestFit="1" customWidth="1"/>
    <col min="12" max="12" width="20.7109375" bestFit="1" customWidth="1"/>
    <col min="13" max="13" width="17.85546875" bestFit="1" customWidth="1"/>
    <col min="14" max="14" width="18.7109375" bestFit="1" customWidth="1"/>
    <col min="15" max="15" width="20.7109375" bestFit="1" customWidth="1"/>
    <col min="16" max="16" width="17.85546875" bestFit="1" customWidth="1"/>
    <col min="17" max="17" width="18.7109375" bestFit="1" customWidth="1"/>
    <col min="18" max="18" width="20.7109375" bestFit="1" customWidth="1"/>
    <col min="19" max="19" width="17.85546875" bestFit="1" customWidth="1"/>
    <col min="20" max="20" width="18.7109375" bestFit="1" customWidth="1"/>
    <col min="21" max="21" width="20.7109375" bestFit="1" customWidth="1"/>
    <col min="22" max="22" width="17.85546875" bestFit="1" customWidth="1"/>
    <col min="23" max="23" width="18.7109375" bestFit="1" customWidth="1"/>
    <col min="24" max="24" width="20.7109375" bestFit="1" customWidth="1"/>
    <col min="25" max="25" width="17.85546875" bestFit="1" customWidth="1"/>
    <col min="26" max="26" width="18.7109375" bestFit="1" customWidth="1"/>
    <col min="27" max="27" width="20.7109375" bestFit="1" customWidth="1"/>
    <col min="28" max="28" width="17.85546875" bestFit="1" customWidth="1"/>
    <col min="29" max="29" width="18.7109375" bestFit="1" customWidth="1"/>
    <col min="30" max="30" width="20.7109375" bestFit="1" customWidth="1"/>
    <col min="31" max="31" width="17.85546875" bestFit="1" customWidth="1"/>
    <col min="32" max="32" width="18.7109375" bestFit="1" customWidth="1"/>
    <col min="33" max="33" width="20.7109375" bestFit="1" customWidth="1"/>
    <col min="34" max="34" width="17.85546875" bestFit="1" customWidth="1"/>
    <col min="35" max="35" width="18.7109375" bestFit="1" customWidth="1"/>
    <col min="36" max="36" width="20.7109375" bestFit="1" customWidth="1"/>
    <col min="37" max="37" width="17.85546875" bestFit="1" customWidth="1"/>
    <col min="38" max="38" width="18.7109375" bestFit="1" customWidth="1"/>
    <col min="39" max="39" width="20.7109375" bestFit="1" customWidth="1"/>
    <col min="40" max="40" width="17.85546875" bestFit="1" customWidth="1"/>
    <col min="41" max="41" width="18.7109375" bestFit="1" customWidth="1"/>
    <col min="42" max="42" width="20.7109375" bestFit="1" customWidth="1"/>
    <col min="43" max="43" width="17.85546875" bestFit="1" customWidth="1"/>
    <col min="44" max="44" width="18.7109375" bestFit="1" customWidth="1"/>
    <col min="45" max="45" width="20.7109375" bestFit="1" customWidth="1"/>
    <col min="46" max="46" width="17.85546875" bestFit="1" customWidth="1"/>
    <col min="47" max="47" width="18.7109375" bestFit="1" customWidth="1"/>
    <col min="48" max="48" width="20.7109375" bestFit="1" customWidth="1"/>
    <col min="49" max="49" width="17.85546875" bestFit="1" customWidth="1"/>
    <col min="50" max="50" width="18.7109375" bestFit="1" customWidth="1"/>
    <col min="51" max="51" width="20.7109375" bestFit="1" customWidth="1"/>
    <col min="52" max="52" width="17.85546875" bestFit="1" customWidth="1"/>
    <col min="53" max="53" width="18.7109375" bestFit="1" customWidth="1"/>
    <col min="54" max="54" width="20.7109375" bestFit="1" customWidth="1"/>
    <col min="55" max="55" width="17.85546875" bestFit="1" customWidth="1"/>
    <col min="56" max="56" width="18.7109375" bestFit="1" customWidth="1"/>
    <col min="57" max="57" width="20.7109375" bestFit="1" customWidth="1"/>
    <col min="58" max="58" width="17.85546875" bestFit="1" customWidth="1"/>
    <col min="59" max="59" width="18.7109375" bestFit="1" customWidth="1"/>
    <col min="60" max="60" width="20.7109375" bestFit="1" customWidth="1"/>
    <col min="61" max="61" width="17.85546875" bestFit="1" customWidth="1"/>
    <col min="62" max="62" width="18.7109375" bestFit="1" customWidth="1"/>
    <col min="63" max="63" width="20.7109375" bestFit="1" customWidth="1"/>
    <col min="64" max="64" width="17.85546875" bestFit="1" customWidth="1"/>
    <col min="65" max="65" width="18.7109375" bestFit="1" customWidth="1"/>
    <col min="66" max="66" width="20.7109375" bestFit="1" customWidth="1"/>
    <col min="67" max="67" width="17.85546875" bestFit="1" customWidth="1"/>
    <col min="68" max="68" width="18.7109375" bestFit="1" customWidth="1"/>
    <col min="69" max="69" width="20.7109375" bestFit="1" customWidth="1"/>
    <col min="70" max="70" width="17.85546875" bestFit="1" customWidth="1"/>
    <col min="71" max="71" width="18.7109375" bestFit="1" customWidth="1"/>
    <col min="72" max="72" width="20.7109375" bestFit="1" customWidth="1"/>
    <col min="73" max="73" width="17.85546875" bestFit="1" customWidth="1"/>
    <col min="74" max="74" width="18.7109375" bestFit="1" customWidth="1"/>
    <col min="75" max="75" width="20.7109375" bestFit="1" customWidth="1"/>
    <col min="76" max="76" width="17.85546875" bestFit="1" customWidth="1"/>
    <col min="77" max="77" width="18.7109375" bestFit="1" customWidth="1"/>
    <col min="78" max="78" width="20.7109375" bestFit="1" customWidth="1"/>
    <col min="79" max="79" width="17.85546875" bestFit="1" customWidth="1"/>
    <col min="80" max="80" width="18.7109375" bestFit="1" customWidth="1"/>
    <col min="81" max="81" width="20.7109375" bestFit="1" customWidth="1"/>
    <col min="82" max="82" width="17.85546875" bestFit="1" customWidth="1"/>
    <col min="83" max="83" width="18.7109375" bestFit="1" customWidth="1"/>
    <col min="84" max="84" width="20.7109375" bestFit="1" customWidth="1"/>
    <col min="85" max="85" width="17.85546875" bestFit="1" customWidth="1"/>
    <col min="86" max="86" width="18.7109375" bestFit="1" customWidth="1"/>
    <col min="87" max="87" width="20.7109375" bestFit="1" customWidth="1"/>
    <col min="88" max="88" width="17.85546875" bestFit="1" customWidth="1"/>
    <col min="89" max="89" width="18.7109375" bestFit="1" customWidth="1"/>
    <col min="90" max="90" width="20.7109375" bestFit="1" customWidth="1"/>
    <col min="91" max="91" width="17.85546875" bestFit="1" customWidth="1"/>
    <col min="92" max="92" width="18.7109375" bestFit="1" customWidth="1"/>
    <col min="93" max="93" width="20.7109375" bestFit="1" customWidth="1"/>
    <col min="94" max="94" width="17.85546875" bestFit="1" customWidth="1"/>
    <col min="95" max="95" width="18.7109375" bestFit="1" customWidth="1"/>
    <col min="96" max="96" width="20.7109375" bestFit="1" customWidth="1"/>
    <col min="97" max="97" width="17.85546875" bestFit="1" customWidth="1"/>
    <col min="98" max="98" width="18.7109375" bestFit="1" customWidth="1"/>
    <col min="99" max="99" width="20.7109375" bestFit="1" customWidth="1"/>
    <col min="100" max="100" width="17.85546875" bestFit="1" customWidth="1"/>
    <col min="101" max="101" width="18.7109375" bestFit="1" customWidth="1"/>
    <col min="102" max="102" width="20.7109375" bestFit="1" customWidth="1"/>
    <col min="103" max="103" width="17.85546875" bestFit="1" customWidth="1"/>
    <col min="104" max="104" width="18.7109375" bestFit="1" customWidth="1"/>
    <col min="105" max="105" width="20.7109375" bestFit="1" customWidth="1"/>
    <col min="106" max="106" width="17.85546875" bestFit="1" customWidth="1"/>
    <col min="107" max="107" width="18.7109375" bestFit="1" customWidth="1"/>
    <col min="108" max="108" width="20.7109375" bestFit="1" customWidth="1"/>
    <col min="109" max="109" width="17.85546875" bestFit="1" customWidth="1"/>
    <col min="110" max="110" width="18.7109375" bestFit="1" customWidth="1"/>
    <col min="111" max="111" width="20.7109375" bestFit="1" customWidth="1"/>
    <col min="112" max="112" width="17.85546875" bestFit="1" customWidth="1"/>
    <col min="113" max="113" width="18.7109375" bestFit="1" customWidth="1"/>
    <col min="114" max="114" width="20.7109375" bestFit="1" customWidth="1"/>
    <col min="115" max="115" width="17.85546875" bestFit="1" customWidth="1"/>
    <col min="116" max="116" width="18.7109375" bestFit="1" customWidth="1"/>
    <col min="117" max="117" width="20.7109375" bestFit="1" customWidth="1"/>
    <col min="118" max="118" width="17.85546875" bestFit="1" customWidth="1"/>
    <col min="119" max="119" width="18.7109375" bestFit="1" customWidth="1"/>
    <col min="120" max="120" width="20.7109375" bestFit="1" customWidth="1"/>
    <col min="121" max="121" width="17.85546875" bestFit="1" customWidth="1"/>
    <col min="122" max="122" width="18.7109375" bestFit="1" customWidth="1"/>
    <col min="123" max="123" width="20.7109375" bestFit="1" customWidth="1"/>
    <col min="124" max="124" width="17.85546875" bestFit="1" customWidth="1"/>
    <col min="125" max="125" width="18.7109375" bestFit="1" customWidth="1"/>
    <col min="126" max="126" width="20.7109375" bestFit="1" customWidth="1"/>
    <col min="127" max="127" width="17.85546875" bestFit="1" customWidth="1"/>
    <col min="128" max="128" width="18.7109375" bestFit="1" customWidth="1"/>
    <col min="129" max="129" width="20.7109375" bestFit="1" customWidth="1"/>
    <col min="130" max="130" width="17.85546875" bestFit="1" customWidth="1"/>
    <col min="131" max="131" width="18.7109375" bestFit="1" customWidth="1"/>
    <col min="132" max="132" width="20.7109375" bestFit="1" customWidth="1"/>
    <col min="133" max="133" width="17.85546875" bestFit="1" customWidth="1"/>
    <col min="134" max="134" width="18.7109375" bestFit="1" customWidth="1"/>
    <col min="135" max="135" width="20.7109375" bestFit="1" customWidth="1"/>
    <col min="136" max="136" width="17.85546875" bestFit="1" customWidth="1"/>
    <col min="137" max="137" width="18.7109375" bestFit="1" customWidth="1"/>
    <col min="138" max="138" width="20.7109375" bestFit="1" customWidth="1"/>
    <col min="139" max="139" width="17.85546875" bestFit="1" customWidth="1"/>
    <col min="140" max="140" width="18.7109375" bestFit="1" customWidth="1"/>
    <col min="141" max="141" width="20.7109375" bestFit="1" customWidth="1"/>
    <col min="142" max="142" width="17.85546875" bestFit="1" customWidth="1"/>
    <col min="143" max="143" width="18.7109375" bestFit="1" customWidth="1"/>
    <col min="144" max="144" width="20.7109375" bestFit="1" customWidth="1"/>
    <col min="145" max="145" width="17.85546875" bestFit="1" customWidth="1"/>
    <col min="146" max="146" width="18.7109375" bestFit="1" customWidth="1"/>
    <col min="147" max="147" width="20.7109375" bestFit="1" customWidth="1"/>
    <col min="148" max="148" width="17.85546875" bestFit="1" customWidth="1"/>
    <col min="149" max="149" width="18.7109375" bestFit="1" customWidth="1"/>
    <col min="150" max="150" width="20.7109375" bestFit="1" customWidth="1"/>
    <col min="151" max="151" width="17.85546875" bestFit="1" customWidth="1"/>
    <col min="152" max="152" width="18.7109375" bestFit="1" customWidth="1"/>
    <col min="153" max="153" width="20.7109375" bestFit="1" customWidth="1"/>
    <col min="154" max="154" width="17.85546875" bestFit="1" customWidth="1"/>
    <col min="155" max="155" width="18.7109375" bestFit="1" customWidth="1"/>
    <col min="156" max="156" width="20.7109375" bestFit="1" customWidth="1"/>
    <col min="157" max="157" width="17.85546875" bestFit="1" customWidth="1"/>
    <col min="158" max="158" width="18.7109375" bestFit="1" customWidth="1"/>
    <col min="159" max="159" width="20.7109375" bestFit="1" customWidth="1"/>
    <col min="160" max="160" width="17.85546875" bestFit="1" customWidth="1"/>
    <col min="161" max="161" width="18.7109375" bestFit="1" customWidth="1"/>
    <col min="162" max="162" width="20.7109375" bestFit="1" customWidth="1"/>
    <col min="163" max="163" width="17.85546875" bestFit="1" customWidth="1"/>
    <col min="164" max="164" width="18.7109375" bestFit="1" customWidth="1"/>
    <col min="165" max="165" width="20.7109375" bestFit="1" customWidth="1"/>
    <col min="166" max="166" width="17.85546875" bestFit="1" customWidth="1"/>
    <col min="167" max="167" width="18.7109375" bestFit="1" customWidth="1"/>
    <col min="168" max="168" width="20.7109375" bestFit="1" customWidth="1"/>
    <col min="169" max="169" width="17.85546875" bestFit="1" customWidth="1"/>
    <col min="170" max="170" width="18.7109375" bestFit="1" customWidth="1"/>
    <col min="171" max="171" width="20.7109375" bestFit="1" customWidth="1"/>
    <col min="172" max="172" width="17.85546875" bestFit="1" customWidth="1"/>
    <col min="173" max="173" width="18.7109375" bestFit="1" customWidth="1"/>
    <col min="174" max="174" width="20.7109375" bestFit="1" customWidth="1"/>
    <col min="175" max="175" width="17.85546875" bestFit="1" customWidth="1"/>
    <col min="176" max="176" width="18.7109375" bestFit="1" customWidth="1"/>
    <col min="177" max="177" width="20.7109375" bestFit="1" customWidth="1"/>
    <col min="178" max="178" width="17.85546875" bestFit="1" customWidth="1"/>
    <col min="179" max="179" width="18.7109375" bestFit="1" customWidth="1"/>
    <col min="180" max="180" width="20.7109375" bestFit="1" customWidth="1"/>
    <col min="181" max="181" width="17.85546875" bestFit="1" customWidth="1"/>
    <col min="182" max="182" width="18.7109375" bestFit="1" customWidth="1"/>
    <col min="183" max="183" width="20.7109375" bestFit="1" customWidth="1"/>
    <col min="184" max="184" width="17.85546875" bestFit="1" customWidth="1"/>
    <col min="185" max="185" width="18.7109375" bestFit="1" customWidth="1"/>
    <col min="186" max="186" width="20.7109375" bestFit="1" customWidth="1"/>
    <col min="187" max="187" width="17.85546875" bestFit="1" customWidth="1"/>
    <col min="188" max="188" width="18.7109375" bestFit="1" customWidth="1"/>
    <col min="189" max="189" width="20.7109375" bestFit="1" customWidth="1"/>
    <col min="190" max="190" width="17.85546875" bestFit="1" customWidth="1"/>
    <col min="191" max="191" width="18.7109375" bestFit="1" customWidth="1"/>
    <col min="192" max="192" width="20.7109375" bestFit="1" customWidth="1"/>
    <col min="193" max="193" width="17.85546875" bestFit="1" customWidth="1"/>
    <col min="194" max="194" width="18.7109375" bestFit="1" customWidth="1"/>
    <col min="195" max="195" width="20.7109375" bestFit="1" customWidth="1"/>
    <col min="196" max="196" width="17.85546875" bestFit="1" customWidth="1"/>
    <col min="197" max="197" width="18.7109375" bestFit="1" customWidth="1"/>
    <col min="198" max="198" width="20.7109375" bestFit="1" customWidth="1"/>
    <col min="199" max="199" width="17.85546875" bestFit="1" customWidth="1"/>
    <col min="200" max="200" width="18.7109375" bestFit="1" customWidth="1"/>
    <col min="201" max="201" width="20.7109375" bestFit="1" customWidth="1"/>
    <col min="202" max="202" width="17.85546875" bestFit="1" customWidth="1"/>
    <col min="203" max="203" width="18.7109375" bestFit="1" customWidth="1"/>
    <col min="204" max="204" width="20.7109375" bestFit="1" customWidth="1"/>
    <col min="205" max="205" width="17.85546875" bestFit="1" customWidth="1"/>
    <col min="206" max="206" width="18.7109375" bestFit="1" customWidth="1"/>
    <col min="207" max="207" width="20.7109375" bestFit="1" customWidth="1"/>
    <col min="208" max="208" width="17.85546875" bestFit="1" customWidth="1"/>
    <col min="209" max="209" width="18.7109375" bestFit="1" customWidth="1"/>
    <col min="210" max="210" width="20.7109375" bestFit="1" customWidth="1"/>
    <col min="211" max="211" width="17.85546875" bestFit="1" customWidth="1"/>
    <col min="212" max="212" width="18.7109375" bestFit="1" customWidth="1"/>
    <col min="213" max="213" width="20.7109375" bestFit="1" customWidth="1"/>
    <col min="214" max="214" width="17.85546875" bestFit="1" customWidth="1"/>
    <col min="215" max="215" width="18.7109375" bestFit="1" customWidth="1"/>
    <col min="216" max="216" width="20.7109375" bestFit="1" customWidth="1"/>
    <col min="217" max="217" width="17.85546875" bestFit="1" customWidth="1"/>
    <col min="218" max="218" width="18.7109375" bestFit="1" customWidth="1"/>
    <col min="219" max="219" width="20.7109375" bestFit="1" customWidth="1"/>
    <col min="220" max="220" width="17.85546875" bestFit="1" customWidth="1"/>
    <col min="221" max="221" width="18.7109375" bestFit="1" customWidth="1"/>
    <col min="222" max="222" width="20.7109375" bestFit="1" customWidth="1"/>
    <col min="223" max="223" width="17.85546875" bestFit="1" customWidth="1"/>
    <col min="224" max="224" width="18.7109375" bestFit="1" customWidth="1"/>
    <col min="225" max="225" width="20.7109375" bestFit="1" customWidth="1"/>
    <col min="226" max="226" width="17.85546875" bestFit="1" customWidth="1"/>
    <col min="227" max="227" width="18.7109375" bestFit="1" customWidth="1"/>
    <col min="228" max="228" width="20.7109375" bestFit="1" customWidth="1"/>
    <col min="229" max="229" width="17.85546875" bestFit="1" customWidth="1"/>
    <col min="230" max="230" width="18.7109375" bestFit="1" customWidth="1"/>
    <col min="231" max="231" width="20.7109375" bestFit="1" customWidth="1"/>
    <col min="232" max="232" width="17.85546875" bestFit="1" customWidth="1"/>
    <col min="233" max="233" width="18.7109375" bestFit="1" customWidth="1"/>
    <col min="234" max="234" width="20.7109375" bestFit="1" customWidth="1"/>
    <col min="235" max="235" width="17.85546875" bestFit="1" customWidth="1"/>
    <col min="236" max="236" width="18.7109375" bestFit="1" customWidth="1"/>
    <col min="237" max="237" width="20.7109375" bestFit="1" customWidth="1"/>
    <col min="238" max="238" width="17.85546875" bestFit="1" customWidth="1"/>
    <col min="239" max="239" width="18.7109375" bestFit="1" customWidth="1"/>
    <col min="240" max="240" width="20.7109375" bestFit="1" customWidth="1"/>
    <col min="241" max="241" width="17.85546875" bestFit="1" customWidth="1"/>
    <col min="242" max="242" width="18.7109375" bestFit="1" customWidth="1"/>
    <col min="243" max="243" width="20.7109375" bestFit="1" customWidth="1"/>
    <col min="244" max="244" width="17.85546875" bestFit="1" customWidth="1"/>
    <col min="245" max="245" width="18.7109375" bestFit="1" customWidth="1"/>
    <col min="246" max="246" width="20.7109375" bestFit="1" customWidth="1"/>
    <col min="247" max="247" width="17.85546875" bestFit="1" customWidth="1"/>
    <col min="248" max="248" width="18.7109375" bestFit="1" customWidth="1"/>
    <col min="249" max="249" width="20.7109375" bestFit="1" customWidth="1"/>
    <col min="250" max="250" width="17.85546875" bestFit="1" customWidth="1"/>
    <col min="251" max="251" width="18.7109375" bestFit="1" customWidth="1"/>
    <col min="252" max="252" width="20.7109375" bestFit="1" customWidth="1"/>
    <col min="253" max="253" width="17.85546875" bestFit="1" customWidth="1"/>
    <col min="254" max="254" width="18.7109375" bestFit="1" customWidth="1"/>
    <col min="255" max="255" width="20.7109375" bestFit="1" customWidth="1"/>
    <col min="256" max="256" width="17.85546875" bestFit="1" customWidth="1"/>
    <col min="257" max="257" width="18.7109375" bestFit="1" customWidth="1"/>
    <col min="258" max="258" width="20.7109375" bestFit="1" customWidth="1"/>
    <col min="259" max="259" width="17.85546875" bestFit="1" customWidth="1"/>
    <col min="260" max="260" width="18.7109375" bestFit="1" customWidth="1"/>
    <col min="261" max="261" width="20.7109375" bestFit="1" customWidth="1"/>
    <col min="262" max="262" width="17.85546875" bestFit="1" customWidth="1"/>
    <col min="263" max="263" width="18.7109375" bestFit="1" customWidth="1"/>
    <col min="264" max="264" width="20.7109375" bestFit="1" customWidth="1"/>
    <col min="265" max="265" width="17.85546875" bestFit="1" customWidth="1"/>
    <col min="266" max="266" width="18.7109375" bestFit="1" customWidth="1"/>
    <col min="267" max="267" width="20.7109375" bestFit="1" customWidth="1"/>
    <col min="268" max="268" width="17.85546875" bestFit="1" customWidth="1"/>
    <col min="269" max="269" width="18.7109375" bestFit="1" customWidth="1"/>
    <col min="270" max="270" width="20.7109375" bestFit="1" customWidth="1"/>
    <col min="271" max="271" width="17.85546875" bestFit="1" customWidth="1"/>
    <col min="272" max="272" width="18.7109375" bestFit="1" customWidth="1"/>
    <col min="273" max="273" width="20.7109375" bestFit="1" customWidth="1"/>
    <col min="274" max="274" width="17.85546875" bestFit="1" customWidth="1"/>
    <col min="275" max="275" width="18.7109375" bestFit="1" customWidth="1"/>
    <col min="276" max="276" width="20.7109375" bestFit="1" customWidth="1"/>
    <col min="277" max="277" width="17.85546875" bestFit="1" customWidth="1"/>
    <col min="278" max="278" width="18.7109375" bestFit="1" customWidth="1"/>
    <col min="279" max="279" width="20.7109375" bestFit="1" customWidth="1"/>
    <col min="280" max="280" width="17.85546875" bestFit="1" customWidth="1"/>
    <col min="281" max="281" width="18.7109375" bestFit="1" customWidth="1"/>
    <col min="282" max="282" width="20.7109375" bestFit="1" customWidth="1"/>
    <col min="283" max="283" width="17.85546875" bestFit="1" customWidth="1"/>
    <col min="284" max="284" width="18.7109375" bestFit="1" customWidth="1"/>
    <col min="285" max="285" width="20.7109375" bestFit="1" customWidth="1"/>
    <col min="286" max="286" width="17.85546875" bestFit="1" customWidth="1"/>
    <col min="287" max="287" width="18.7109375" bestFit="1" customWidth="1"/>
    <col min="288" max="288" width="20.7109375" bestFit="1" customWidth="1"/>
    <col min="289" max="289" width="17.85546875" bestFit="1" customWidth="1"/>
    <col min="290" max="290" width="18.7109375" bestFit="1" customWidth="1"/>
    <col min="291" max="291" width="20.7109375" bestFit="1" customWidth="1"/>
    <col min="292" max="292" width="17.85546875" bestFit="1" customWidth="1"/>
    <col min="293" max="293" width="18.7109375" bestFit="1" customWidth="1"/>
    <col min="294" max="294" width="20.7109375" bestFit="1" customWidth="1"/>
    <col min="295" max="295" width="17.85546875" bestFit="1" customWidth="1"/>
    <col min="296" max="296" width="18.7109375" bestFit="1" customWidth="1"/>
    <col min="297" max="297" width="20.7109375" bestFit="1" customWidth="1"/>
    <col min="298" max="298" width="17.85546875" bestFit="1" customWidth="1"/>
    <col min="299" max="299" width="18.7109375" bestFit="1" customWidth="1"/>
    <col min="300" max="300" width="20.7109375" bestFit="1" customWidth="1"/>
    <col min="301" max="301" width="17.85546875" bestFit="1" customWidth="1"/>
    <col min="302" max="302" width="18.7109375" bestFit="1" customWidth="1"/>
    <col min="303" max="303" width="20.7109375" bestFit="1" customWidth="1"/>
    <col min="304" max="304" width="17.85546875" bestFit="1" customWidth="1"/>
    <col min="305" max="305" width="18.7109375" bestFit="1" customWidth="1"/>
    <col min="306" max="306" width="20.7109375" bestFit="1" customWidth="1"/>
    <col min="307" max="307" width="17.85546875" bestFit="1" customWidth="1"/>
    <col min="308" max="308" width="18.7109375" bestFit="1" customWidth="1"/>
    <col min="309" max="309" width="20.7109375" bestFit="1" customWidth="1"/>
    <col min="310" max="310" width="17.85546875" bestFit="1" customWidth="1"/>
    <col min="311" max="311" width="18.7109375" bestFit="1" customWidth="1"/>
    <col min="312" max="312" width="20.7109375" bestFit="1" customWidth="1"/>
    <col min="313" max="313" width="17.85546875" bestFit="1" customWidth="1"/>
    <col min="314" max="314" width="18.7109375" bestFit="1" customWidth="1"/>
    <col min="315" max="315" width="20.7109375" bestFit="1" customWidth="1"/>
    <col min="316" max="316" width="17.85546875" bestFit="1" customWidth="1"/>
    <col min="317" max="317" width="18.7109375" bestFit="1" customWidth="1"/>
    <col min="318" max="318" width="20.7109375" bestFit="1" customWidth="1"/>
    <col min="319" max="319" width="17.85546875" bestFit="1" customWidth="1"/>
    <col min="320" max="320" width="18.7109375" bestFit="1" customWidth="1"/>
    <col min="321" max="321" width="20.7109375" bestFit="1" customWidth="1"/>
    <col min="322" max="322" width="17.85546875" bestFit="1" customWidth="1"/>
    <col min="323" max="323" width="18.7109375" bestFit="1" customWidth="1"/>
    <col min="324" max="324" width="20.7109375" bestFit="1" customWidth="1"/>
    <col min="325" max="325" width="17.85546875" bestFit="1" customWidth="1"/>
    <col min="326" max="326" width="18.7109375" bestFit="1" customWidth="1"/>
    <col min="327" max="327" width="20.7109375" bestFit="1" customWidth="1"/>
    <col min="328" max="328" width="17.85546875" bestFit="1" customWidth="1"/>
    <col min="329" max="329" width="18.7109375" bestFit="1" customWidth="1"/>
    <col min="330" max="330" width="20.7109375" bestFit="1" customWidth="1"/>
    <col min="331" max="331" width="17.85546875" bestFit="1" customWidth="1"/>
    <col min="332" max="332" width="18.7109375" bestFit="1" customWidth="1"/>
    <col min="333" max="333" width="20.7109375" bestFit="1" customWidth="1"/>
    <col min="334" max="334" width="17.85546875" bestFit="1" customWidth="1"/>
    <col min="335" max="335" width="18.7109375" bestFit="1" customWidth="1"/>
    <col min="336" max="336" width="20.7109375" bestFit="1" customWidth="1"/>
    <col min="337" max="337" width="17.85546875" bestFit="1" customWidth="1"/>
    <col min="338" max="338" width="18.7109375" bestFit="1" customWidth="1"/>
    <col min="339" max="339" width="20.7109375" bestFit="1" customWidth="1"/>
    <col min="340" max="340" width="17.85546875" bestFit="1" customWidth="1"/>
    <col min="341" max="341" width="23.7109375" bestFit="1" customWidth="1"/>
    <col min="342" max="342" width="25.85546875" bestFit="1" customWidth="1"/>
    <col min="343" max="344" width="22.85546875" bestFit="1" customWidth="1"/>
    <col min="345" max="345" width="22" bestFit="1" customWidth="1"/>
    <col min="346" max="346" width="18.7109375" bestFit="1" customWidth="1"/>
    <col min="347" max="347" width="17.85546875" bestFit="1" customWidth="1"/>
    <col min="348" max="348" width="18.7109375" bestFit="1" customWidth="1"/>
    <col min="349" max="349" width="17.85546875" bestFit="1" customWidth="1"/>
    <col min="350" max="350" width="22.85546875" bestFit="1" customWidth="1"/>
    <col min="351" max="351" width="22" bestFit="1" customWidth="1"/>
    <col min="352" max="352" width="18.7109375" bestFit="1" customWidth="1"/>
    <col min="353" max="353" width="17.85546875" bestFit="1" customWidth="1"/>
    <col min="354" max="354" width="22.85546875" bestFit="1" customWidth="1"/>
    <col min="355" max="355" width="22" bestFit="1" customWidth="1"/>
    <col min="356" max="356" width="18.7109375" bestFit="1" customWidth="1"/>
    <col min="357" max="357" width="17.85546875" bestFit="1" customWidth="1"/>
    <col min="358" max="358" width="22.85546875" bestFit="1" customWidth="1"/>
    <col min="359" max="359" width="22" bestFit="1" customWidth="1"/>
    <col min="360" max="360" width="18.7109375" bestFit="1" customWidth="1"/>
    <col min="361" max="361" width="17.85546875" bestFit="1" customWidth="1"/>
    <col min="362" max="362" width="22.85546875" bestFit="1" customWidth="1"/>
    <col min="363" max="363" width="22" bestFit="1" customWidth="1"/>
    <col min="364" max="364" width="18.7109375" bestFit="1" customWidth="1"/>
    <col min="365" max="365" width="17.85546875" bestFit="1" customWidth="1"/>
    <col min="366" max="366" width="22.85546875" bestFit="1" customWidth="1"/>
    <col min="367" max="367" width="22" bestFit="1" customWidth="1"/>
    <col min="368" max="368" width="18.7109375" bestFit="1" customWidth="1"/>
    <col min="369" max="369" width="17.85546875" bestFit="1" customWidth="1"/>
    <col min="370" max="370" width="21.85546875" bestFit="1" customWidth="1"/>
    <col min="371" max="371" width="20.85546875" bestFit="1" customWidth="1"/>
    <col min="372" max="372" width="18.7109375" bestFit="1" customWidth="1"/>
    <col min="373" max="373" width="17.85546875" bestFit="1" customWidth="1"/>
    <col min="374" max="374" width="22.85546875" bestFit="1" customWidth="1"/>
    <col min="375" max="375" width="22" bestFit="1" customWidth="1"/>
    <col min="376" max="376" width="18.7109375" bestFit="1" customWidth="1"/>
    <col min="377" max="377" width="17.85546875" bestFit="1" customWidth="1"/>
    <col min="378" max="378" width="22.85546875" bestFit="1" customWidth="1"/>
    <col min="379" max="379" width="22" bestFit="1" customWidth="1"/>
    <col min="380" max="380" width="18.7109375" bestFit="1" customWidth="1"/>
    <col min="381" max="381" width="17.85546875" bestFit="1" customWidth="1"/>
    <col min="382" max="382" width="22.85546875" bestFit="1" customWidth="1"/>
    <col min="383" max="383" width="22" bestFit="1" customWidth="1"/>
    <col min="384" max="384" width="18.7109375" bestFit="1" customWidth="1"/>
    <col min="385" max="385" width="17.85546875" bestFit="1" customWidth="1"/>
    <col min="386" max="386" width="22.85546875" bestFit="1" customWidth="1"/>
    <col min="387" max="387" width="22" bestFit="1" customWidth="1"/>
    <col min="388" max="388" width="18.7109375" bestFit="1" customWidth="1"/>
    <col min="389" max="389" width="17.85546875" bestFit="1" customWidth="1"/>
    <col min="390" max="390" width="22.85546875" bestFit="1" customWidth="1"/>
    <col min="391" max="391" width="22" bestFit="1" customWidth="1"/>
    <col min="392" max="392" width="18.7109375" bestFit="1" customWidth="1"/>
    <col min="393" max="393" width="17.85546875" bestFit="1" customWidth="1"/>
    <col min="394" max="394" width="22.85546875" bestFit="1" customWidth="1"/>
    <col min="395" max="395" width="22" bestFit="1" customWidth="1"/>
    <col min="396" max="396" width="18.7109375" bestFit="1" customWidth="1"/>
    <col min="397" max="397" width="17.85546875" bestFit="1" customWidth="1"/>
    <col min="398" max="398" width="21.85546875" bestFit="1" customWidth="1"/>
    <col min="399" max="399" width="20.85546875" bestFit="1" customWidth="1"/>
    <col min="400" max="400" width="18.7109375" bestFit="1" customWidth="1"/>
    <col min="401" max="401" width="17.85546875" bestFit="1" customWidth="1"/>
    <col min="402" max="402" width="22.85546875" bestFit="1" customWidth="1"/>
    <col min="403" max="403" width="22" bestFit="1" customWidth="1"/>
    <col min="404" max="404" width="18.7109375" bestFit="1" customWidth="1"/>
    <col min="405" max="405" width="17.85546875" bestFit="1" customWidth="1"/>
    <col min="406" max="406" width="22.85546875" bestFit="1" customWidth="1"/>
    <col min="407" max="407" width="22" bestFit="1" customWidth="1"/>
    <col min="408" max="408" width="18.7109375" bestFit="1" customWidth="1"/>
    <col min="409" max="409" width="17.85546875" bestFit="1" customWidth="1"/>
    <col min="410" max="410" width="21.85546875" bestFit="1" customWidth="1"/>
    <col min="411" max="411" width="20.85546875" bestFit="1" customWidth="1"/>
    <col min="412" max="412" width="18.7109375" bestFit="1" customWidth="1"/>
    <col min="413" max="413" width="17.85546875" bestFit="1" customWidth="1"/>
    <col min="414" max="414" width="21.85546875" bestFit="1" customWidth="1"/>
    <col min="415" max="415" width="20.85546875" bestFit="1" customWidth="1"/>
    <col min="416" max="416" width="18.7109375" bestFit="1" customWidth="1"/>
    <col min="417" max="417" width="17.85546875" bestFit="1" customWidth="1"/>
    <col min="418" max="418" width="22.85546875" bestFit="1" customWidth="1"/>
    <col min="419" max="419" width="22" bestFit="1" customWidth="1"/>
    <col min="420" max="420" width="18.7109375" bestFit="1" customWidth="1"/>
    <col min="421" max="421" width="17.85546875" bestFit="1" customWidth="1"/>
    <col min="422" max="422" width="22.85546875" bestFit="1" customWidth="1"/>
    <col min="423" max="423" width="22" bestFit="1" customWidth="1"/>
    <col min="424" max="424" width="18.7109375" bestFit="1" customWidth="1"/>
    <col min="425" max="425" width="17.85546875" bestFit="1" customWidth="1"/>
    <col min="426" max="426" width="22.85546875" bestFit="1" customWidth="1"/>
    <col min="427" max="427" width="22" bestFit="1" customWidth="1"/>
    <col min="428" max="428" width="18.7109375" bestFit="1" customWidth="1"/>
    <col min="429" max="429" width="17.85546875" bestFit="1" customWidth="1"/>
    <col min="430" max="430" width="22.85546875" bestFit="1" customWidth="1"/>
    <col min="431" max="431" width="22" bestFit="1" customWidth="1"/>
    <col min="432" max="432" width="18.7109375" bestFit="1" customWidth="1"/>
    <col min="433" max="433" width="17.85546875" bestFit="1" customWidth="1"/>
    <col min="434" max="434" width="22.85546875" bestFit="1" customWidth="1"/>
    <col min="435" max="435" width="22" bestFit="1" customWidth="1"/>
    <col min="436" max="436" width="18.7109375" bestFit="1" customWidth="1"/>
    <col min="437" max="437" width="17.85546875" bestFit="1" customWidth="1"/>
    <col min="438" max="438" width="22.85546875" bestFit="1" customWidth="1"/>
    <col min="439" max="439" width="22" bestFit="1" customWidth="1"/>
    <col min="440" max="440" width="18.7109375" bestFit="1" customWidth="1"/>
    <col min="441" max="441" width="17.85546875" bestFit="1" customWidth="1"/>
    <col min="442" max="442" width="22.85546875" bestFit="1" customWidth="1"/>
    <col min="443" max="443" width="22" bestFit="1" customWidth="1"/>
    <col min="444" max="444" width="18.7109375" bestFit="1" customWidth="1"/>
    <col min="445" max="445" width="17.85546875" bestFit="1" customWidth="1"/>
    <col min="446" max="446" width="22.85546875" bestFit="1" customWidth="1"/>
    <col min="447" max="447" width="22" bestFit="1" customWidth="1"/>
    <col min="448" max="448" width="18.7109375" bestFit="1" customWidth="1"/>
    <col min="449" max="449" width="17.85546875" bestFit="1" customWidth="1"/>
    <col min="450" max="450" width="23.85546875" bestFit="1" customWidth="1"/>
    <col min="451" max="451" width="23" bestFit="1" customWidth="1"/>
    <col min="452" max="452" width="18.7109375" bestFit="1" customWidth="1"/>
    <col min="453" max="453" width="17.85546875" bestFit="1" customWidth="1"/>
    <col min="454" max="454" width="23.85546875" bestFit="1" customWidth="1"/>
    <col min="455" max="455" width="23" bestFit="1" customWidth="1"/>
    <col min="456" max="456" width="18.7109375" bestFit="1" customWidth="1"/>
    <col min="457" max="457" width="17.85546875" bestFit="1" customWidth="1"/>
    <col min="458" max="458" width="23.85546875" bestFit="1" customWidth="1"/>
    <col min="459" max="459" width="23" bestFit="1" customWidth="1"/>
    <col min="460" max="460" width="18.7109375" bestFit="1" customWidth="1"/>
    <col min="461" max="461" width="17.85546875" bestFit="1" customWidth="1"/>
    <col min="462" max="462" width="23.85546875" bestFit="1" customWidth="1"/>
    <col min="463" max="463" width="23" bestFit="1" customWidth="1"/>
    <col min="464" max="464" width="18.7109375" bestFit="1" customWidth="1"/>
    <col min="465" max="465" width="17.85546875" bestFit="1" customWidth="1"/>
    <col min="466" max="466" width="23.85546875" bestFit="1" customWidth="1"/>
    <col min="467" max="467" width="23" bestFit="1" customWidth="1"/>
    <col min="468" max="468" width="18.7109375" bestFit="1" customWidth="1"/>
    <col min="469" max="469" width="17.85546875" bestFit="1" customWidth="1"/>
    <col min="470" max="470" width="23.85546875" bestFit="1" customWidth="1"/>
    <col min="471" max="471" width="23" bestFit="1" customWidth="1"/>
    <col min="472" max="472" width="18.7109375" bestFit="1" customWidth="1"/>
    <col min="473" max="473" width="17.85546875" bestFit="1" customWidth="1"/>
    <col min="474" max="474" width="22.85546875" bestFit="1" customWidth="1"/>
    <col min="475" max="475" width="22" bestFit="1" customWidth="1"/>
    <col min="476" max="476" width="18.7109375" bestFit="1" customWidth="1"/>
    <col min="477" max="477" width="17.85546875" bestFit="1" customWidth="1"/>
    <col min="478" max="478" width="23.85546875" bestFit="1" customWidth="1"/>
    <col min="479" max="479" width="23" bestFit="1" customWidth="1"/>
    <col min="480" max="480" width="18.7109375" bestFit="1" customWidth="1"/>
    <col min="481" max="481" width="17.85546875" bestFit="1" customWidth="1"/>
    <col min="482" max="482" width="22.85546875" bestFit="1" customWidth="1"/>
    <col min="483" max="483" width="22" bestFit="1" customWidth="1"/>
    <col min="484" max="484" width="18.7109375" bestFit="1" customWidth="1"/>
    <col min="485" max="485" width="17.85546875" bestFit="1" customWidth="1"/>
    <col min="486" max="486" width="23.85546875" bestFit="1" customWidth="1"/>
    <col min="487" max="487" width="23" bestFit="1" customWidth="1"/>
    <col min="488" max="488" width="18.7109375" bestFit="1" customWidth="1"/>
    <col min="489" max="489" width="17.85546875" bestFit="1" customWidth="1"/>
    <col min="490" max="490" width="23.85546875" bestFit="1" customWidth="1"/>
    <col min="491" max="491" width="23" bestFit="1" customWidth="1"/>
    <col min="492" max="492" width="18.7109375" bestFit="1" customWidth="1"/>
    <col min="493" max="493" width="17.85546875" bestFit="1" customWidth="1"/>
    <col min="494" max="494" width="23.85546875" bestFit="1" customWidth="1"/>
    <col min="495" max="495" width="23" bestFit="1" customWidth="1"/>
    <col min="496" max="496" width="18.7109375" bestFit="1" customWidth="1"/>
    <col min="497" max="497" width="17.85546875" bestFit="1" customWidth="1"/>
    <col min="498" max="498" width="23.85546875" bestFit="1" customWidth="1"/>
    <col min="499" max="499" width="23" bestFit="1" customWidth="1"/>
    <col min="500" max="500" width="18.7109375" bestFit="1" customWidth="1"/>
    <col min="501" max="501" width="17.85546875" bestFit="1" customWidth="1"/>
    <col min="502" max="502" width="23.85546875" bestFit="1" customWidth="1"/>
    <col min="503" max="503" width="23" bestFit="1" customWidth="1"/>
    <col min="504" max="504" width="18.7109375" bestFit="1" customWidth="1"/>
    <col min="505" max="505" width="17.85546875" bestFit="1" customWidth="1"/>
    <col min="506" max="506" width="23.85546875" bestFit="1" customWidth="1"/>
    <col min="507" max="507" width="23" bestFit="1" customWidth="1"/>
    <col min="508" max="508" width="18.7109375" bestFit="1" customWidth="1"/>
    <col min="509" max="509" width="17.85546875" bestFit="1" customWidth="1"/>
    <col min="510" max="510" width="23.85546875" bestFit="1" customWidth="1"/>
    <col min="511" max="511" width="23" bestFit="1" customWidth="1"/>
    <col min="512" max="512" width="18.7109375" bestFit="1" customWidth="1"/>
    <col min="513" max="513" width="17.85546875" bestFit="1" customWidth="1"/>
    <col min="514" max="514" width="23.85546875" bestFit="1" customWidth="1"/>
    <col min="515" max="515" width="23" bestFit="1" customWidth="1"/>
    <col min="516" max="516" width="18.7109375" bestFit="1" customWidth="1"/>
    <col min="517" max="517" width="17.85546875" bestFit="1" customWidth="1"/>
    <col min="518" max="518" width="23.85546875" bestFit="1" customWidth="1"/>
    <col min="519" max="519" width="23" bestFit="1" customWidth="1"/>
    <col min="520" max="520" width="18.7109375" bestFit="1" customWidth="1"/>
    <col min="521" max="521" width="17.85546875" bestFit="1" customWidth="1"/>
    <col min="522" max="522" width="23.85546875" bestFit="1" customWidth="1"/>
    <col min="523" max="523" width="23" bestFit="1" customWidth="1"/>
    <col min="524" max="524" width="18.7109375" bestFit="1" customWidth="1"/>
    <col min="525" max="525" width="17.85546875" bestFit="1" customWidth="1"/>
    <col min="526" max="526" width="23.85546875" bestFit="1" customWidth="1"/>
    <col min="527" max="527" width="23" bestFit="1" customWidth="1"/>
    <col min="528" max="528" width="18.7109375" bestFit="1" customWidth="1"/>
    <col min="529" max="529" width="17.85546875" bestFit="1" customWidth="1"/>
    <col min="530" max="530" width="23.85546875" bestFit="1" customWidth="1"/>
    <col min="531" max="531" width="23" bestFit="1" customWidth="1"/>
    <col min="532" max="532" width="18.7109375" bestFit="1" customWidth="1"/>
    <col min="533" max="533" width="17.85546875" bestFit="1" customWidth="1"/>
    <col min="534" max="534" width="22.85546875" bestFit="1" customWidth="1"/>
    <col min="535" max="535" width="22" bestFit="1" customWidth="1"/>
    <col min="536" max="536" width="18.7109375" bestFit="1" customWidth="1"/>
    <col min="537" max="537" width="17.85546875" bestFit="1" customWidth="1"/>
    <col min="538" max="538" width="23.85546875" bestFit="1" customWidth="1"/>
    <col min="539" max="539" width="23" bestFit="1" customWidth="1"/>
    <col min="540" max="540" width="18.7109375" bestFit="1" customWidth="1"/>
    <col min="541" max="541" width="17.85546875" bestFit="1" customWidth="1"/>
    <col min="542" max="542" width="23.85546875" bestFit="1" customWidth="1"/>
    <col min="543" max="543" width="23" bestFit="1" customWidth="1"/>
    <col min="544" max="544" width="18.7109375" bestFit="1" customWidth="1"/>
    <col min="545" max="545" width="17.85546875" bestFit="1" customWidth="1"/>
    <col min="546" max="546" width="23.85546875" bestFit="1" customWidth="1"/>
    <col min="547" max="547" width="23" bestFit="1" customWidth="1"/>
    <col min="548" max="548" width="18.7109375" bestFit="1" customWidth="1"/>
    <col min="549" max="549" width="17.85546875" bestFit="1" customWidth="1"/>
    <col min="550" max="550" width="25.7109375" bestFit="1" customWidth="1"/>
    <col min="551" max="551" width="24.7109375" bestFit="1" customWidth="1"/>
    <col min="552" max="552" width="23.7109375" bestFit="1" customWidth="1"/>
    <col min="553" max="553" width="22.85546875" bestFit="1" customWidth="1"/>
    <col min="554" max="554" width="16.5703125" bestFit="1" customWidth="1"/>
    <col min="555" max="556" width="10.42578125" bestFit="1" customWidth="1"/>
    <col min="557" max="557" width="13.42578125" bestFit="1" customWidth="1"/>
    <col min="558" max="558" width="16.5703125" bestFit="1" customWidth="1"/>
    <col min="559" max="559" width="9.42578125" bestFit="1" customWidth="1"/>
    <col min="560" max="560" width="10.42578125" bestFit="1" customWidth="1"/>
    <col min="561" max="561" width="13.42578125" bestFit="1" customWidth="1"/>
    <col min="562" max="562" width="16.5703125" bestFit="1" customWidth="1"/>
    <col min="563" max="564" width="10.42578125" bestFit="1" customWidth="1"/>
    <col min="565" max="565" width="13.42578125" bestFit="1" customWidth="1"/>
    <col min="566" max="566" width="16.5703125" bestFit="1" customWidth="1"/>
    <col min="567" max="567" width="7.85546875" bestFit="1" customWidth="1"/>
    <col min="568" max="568" width="10.42578125" bestFit="1" customWidth="1"/>
    <col min="569" max="569" width="13.42578125" bestFit="1" customWidth="1"/>
    <col min="570" max="570" width="16.5703125" bestFit="1" customWidth="1"/>
    <col min="571" max="572" width="10.42578125" bestFit="1" customWidth="1"/>
    <col min="573" max="573" width="13.42578125" bestFit="1" customWidth="1"/>
    <col min="574" max="574" width="16.5703125" bestFit="1" customWidth="1"/>
    <col min="575" max="576" width="10.42578125" bestFit="1" customWidth="1"/>
    <col min="577" max="577" width="13.42578125" bestFit="1" customWidth="1"/>
    <col min="578" max="578" width="16.5703125" bestFit="1" customWidth="1"/>
    <col min="579" max="580" width="9.42578125" bestFit="1" customWidth="1"/>
    <col min="581" max="581" width="13.42578125" bestFit="1" customWidth="1"/>
    <col min="582" max="582" width="16.5703125" bestFit="1" customWidth="1"/>
    <col min="583" max="584" width="10.42578125" bestFit="1" customWidth="1"/>
    <col min="585" max="585" width="13.42578125" bestFit="1" customWidth="1"/>
    <col min="586" max="586" width="16.5703125" bestFit="1" customWidth="1"/>
    <col min="587" max="587" width="10.42578125" bestFit="1" customWidth="1"/>
    <col min="588" max="588" width="9.42578125" bestFit="1" customWidth="1"/>
    <col min="589" max="589" width="13.42578125" bestFit="1" customWidth="1"/>
    <col min="590" max="590" width="16.5703125" bestFit="1" customWidth="1"/>
    <col min="591" max="592" width="10.42578125" bestFit="1" customWidth="1"/>
    <col min="593" max="593" width="13.42578125" bestFit="1" customWidth="1"/>
    <col min="594" max="594" width="16.5703125" bestFit="1" customWidth="1"/>
    <col min="595" max="595" width="9.42578125" bestFit="1" customWidth="1"/>
    <col min="596" max="596" width="10.42578125" bestFit="1" customWidth="1"/>
    <col min="597" max="597" width="13.42578125" bestFit="1" customWidth="1"/>
    <col min="598" max="598" width="16.5703125" bestFit="1" customWidth="1"/>
    <col min="599" max="600" width="10.42578125" bestFit="1" customWidth="1"/>
    <col min="601" max="601" width="13.42578125" bestFit="1" customWidth="1"/>
    <col min="602" max="602" width="16.5703125" bestFit="1" customWidth="1"/>
    <col min="603" max="603" width="9.42578125" bestFit="1" customWidth="1"/>
    <col min="604" max="604" width="10.42578125" bestFit="1" customWidth="1"/>
    <col min="605" max="605" width="13.42578125" bestFit="1" customWidth="1"/>
    <col min="606" max="606" width="16.5703125" bestFit="1" customWidth="1"/>
    <col min="607" max="607" width="8.42578125" bestFit="1" customWidth="1"/>
    <col min="608" max="608" width="10.42578125" bestFit="1" customWidth="1"/>
    <col min="609" max="609" width="13.42578125" bestFit="1" customWidth="1"/>
    <col min="610" max="610" width="16.5703125" bestFit="1" customWidth="1"/>
    <col min="611" max="612" width="10.42578125" bestFit="1" customWidth="1"/>
    <col min="613" max="613" width="13.42578125" bestFit="1" customWidth="1"/>
    <col min="614" max="614" width="16.5703125" bestFit="1" customWidth="1"/>
    <col min="615" max="615" width="9.42578125" bestFit="1" customWidth="1"/>
    <col min="616" max="616" width="10.42578125" bestFit="1" customWidth="1"/>
    <col min="617" max="617" width="13.42578125" bestFit="1" customWidth="1"/>
    <col min="618" max="618" width="16.5703125" bestFit="1" customWidth="1"/>
    <col min="619" max="620" width="10.42578125" bestFit="1" customWidth="1"/>
    <col min="621" max="621" width="13.42578125" bestFit="1" customWidth="1"/>
    <col min="622" max="622" width="16.5703125" bestFit="1" customWidth="1"/>
    <col min="623" max="624" width="10.42578125" bestFit="1" customWidth="1"/>
    <col min="625" max="625" width="12.42578125" bestFit="1" customWidth="1"/>
    <col min="626" max="626" width="15.5703125" bestFit="1" customWidth="1"/>
    <col min="627" max="627" width="9.42578125" bestFit="1" customWidth="1"/>
    <col min="628" max="628" width="10.42578125" bestFit="1" customWidth="1"/>
    <col min="629" max="629" width="13.42578125" bestFit="1" customWidth="1"/>
    <col min="630" max="630" width="16.5703125" bestFit="1" customWidth="1"/>
    <col min="631" max="632" width="10.42578125" bestFit="1" customWidth="1"/>
    <col min="633" max="633" width="13.42578125" bestFit="1" customWidth="1"/>
    <col min="634" max="634" width="16.5703125" bestFit="1" customWidth="1"/>
    <col min="635" max="636" width="10.42578125" bestFit="1" customWidth="1"/>
    <col min="637" max="637" width="13.42578125" bestFit="1" customWidth="1"/>
    <col min="638" max="638" width="16.5703125" bestFit="1" customWidth="1"/>
    <col min="639" max="639" width="10.42578125" bestFit="1" customWidth="1"/>
    <col min="640" max="640" width="9.42578125" bestFit="1" customWidth="1"/>
    <col min="641" max="641" width="13.42578125" bestFit="1" customWidth="1"/>
    <col min="642" max="642" width="16.5703125" bestFit="1" customWidth="1"/>
    <col min="643" max="643" width="9.42578125" bestFit="1" customWidth="1"/>
    <col min="644" max="644" width="10.42578125" bestFit="1" customWidth="1"/>
    <col min="645" max="645" width="13.42578125" bestFit="1" customWidth="1"/>
    <col min="646" max="646" width="16.5703125" bestFit="1" customWidth="1"/>
    <col min="647" max="648" width="10.42578125" bestFit="1" customWidth="1"/>
    <col min="649" max="649" width="13.42578125" bestFit="1" customWidth="1"/>
    <col min="650" max="650" width="16.5703125" bestFit="1" customWidth="1"/>
    <col min="651" max="652" width="10.42578125" bestFit="1" customWidth="1"/>
    <col min="654" max="656" width="12.140625" bestFit="1" customWidth="1"/>
    <col min="657" max="657" width="11.28515625" bestFit="1" customWidth="1"/>
  </cols>
  <sheetData>
    <row r="1" spans="1:6" s="5" customFormat="1" x14ac:dyDescent="0.25">
      <c r="A1" s="12" t="s">
        <v>1820</v>
      </c>
      <c r="B1" s="12"/>
      <c r="C1" s="12"/>
      <c r="D1" s="12"/>
      <c r="E1" s="12"/>
      <c r="F1" s="12"/>
    </row>
    <row r="2" spans="1:6" s="5" customFormat="1" x14ac:dyDescent="0.25">
      <c r="A2" s="12" t="s">
        <v>1821</v>
      </c>
      <c r="B2" s="12"/>
      <c r="C2" s="12"/>
      <c r="D2" s="12"/>
      <c r="E2" s="12"/>
      <c r="F2" s="12"/>
    </row>
    <row r="3" spans="1:6" s="5" customFormat="1" x14ac:dyDescent="0.25">
      <c r="A3" s="12" t="s">
        <v>1822</v>
      </c>
      <c r="B3" s="12"/>
      <c r="C3" s="12"/>
      <c r="D3" s="12"/>
    </row>
    <row r="5" spans="1:6" x14ac:dyDescent="0.25">
      <c r="A5" s="21" t="s">
        <v>1813</v>
      </c>
      <c r="B5" t="s">
        <v>1816</v>
      </c>
      <c r="C5" t="s">
        <v>1819</v>
      </c>
      <c r="D5" t="s">
        <v>1818</v>
      </c>
      <c r="E5" t="s">
        <v>1817</v>
      </c>
    </row>
    <row r="6" spans="1:6" x14ac:dyDescent="0.25">
      <c r="A6" s="22" t="s">
        <v>29</v>
      </c>
      <c r="B6" s="23">
        <v>70</v>
      </c>
      <c r="C6" s="23">
        <v>12.190000000000001</v>
      </c>
      <c r="D6" s="23">
        <v>16.61</v>
      </c>
      <c r="E6" s="23">
        <v>1.52</v>
      </c>
    </row>
    <row r="7" spans="1:6" x14ac:dyDescent="0.25">
      <c r="A7" s="22" t="s">
        <v>375</v>
      </c>
      <c r="B7" s="23">
        <v>26</v>
      </c>
      <c r="C7" s="23">
        <v>430.23</v>
      </c>
      <c r="D7" s="23">
        <v>379.94999999999993</v>
      </c>
      <c r="E7" s="23">
        <v>182.06</v>
      </c>
    </row>
    <row r="8" spans="1:6" x14ac:dyDescent="0.25">
      <c r="A8" s="22" t="s">
        <v>106</v>
      </c>
      <c r="B8" s="23">
        <v>52</v>
      </c>
      <c r="C8" s="23">
        <v>291.17</v>
      </c>
      <c r="D8" s="23">
        <v>407.62999999999994</v>
      </c>
      <c r="E8" s="23">
        <v>298.55000000000007</v>
      </c>
    </row>
    <row r="9" spans="1:6" x14ac:dyDescent="0.25">
      <c r="A9" s="22" t="s">
        <v>1</v>
      </c>
      <c r="B9" s="23">
        <v>16</v>
      </c>
      <c r="C9" s="23">
        <v>2.37</v>
      </c>
      <c r="D9" s="23">
        <v>38.200000000000003</v>
      </c>
      <c r="E9" s="23">
        <v>4.53</v>
      </c>
    </row>
    <row r="10" spans="1:6" x14ac:dyDescent="0.25">
      <c r="A10" s="22" t="s">
        <v>34</v>
      </c>
      <c r="B10" s="23">
        <v>48</v>
      </c>
      <c r="C10" s="23">
        <v>63.54</v>
      </c>
      <c r="D10" s="23">
        <v>71.150000000000006</v>
      </c>
      <c r="E10" s="23">
        <v>25.199999999999996</v>
      </c>
    </row>
    <row r="11" spans="1:6" x14ac:dyDescent="0.25">
      <c r="A11" s="22" t="s">
        <v>72</v>
      </c>
      <c r="B11" s="23">
        <v>1</v>
      </c>
      <c r="C11" s="23">
        <v>0.04</v>
      </c>
      <c r="D11" s="23">
        <v>0</v>
      </c>
      <c r="E11" s="23">
        <v>94.43</v>
      </c>
    </row>
    <row r="12" spans="1:6" x14ac:dyDescent="0.25">
      <c r="A12" s="22" t="s">
        <v>1814</v>
      </c>
      <c r="B12" s="23"/>
      <c r="C12" s="23"/>
      <c r="D12" s="23"/>
      <c r="E12" s="23"/>
    </row>
    <row r="13" spans="1:6" x14ac:dyDescent="0.25">
      <c r="A13" s="22" t="s">
        <v>1815</v>
      </c>
      <c r="B13" s="23">
        <v>213</v>
      </c>
      <c r="C13" s="23">
        <v>799.54000000000042</v>
      </c>
      <c r="D13" s="23">
        <v>913.54</v>
      </c>
      <c r="E13" s="23">
        <v>606.28999999999974</v>
      </c>
    </row>
  </sheetData>
  <mergeCells count="3">
    <mergeCell ref="A1:F1"/>
    <mergeCell ref="A2:F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6CCC-9B3F-453B-9D85-847A92669B4B}">
  <dimension ref="A1:AC214"/>
  <sheetViews>
    <sheetView workbookViewId="0">
      <selection sqref="A1:XFD1048576"/>
    </sheetView>
  </sheetViews>
  <sheetFormatPr defaultRowHeight="15" x14ac:dyDescent="0.25"/>
  <cols>
    <col min="1" max="1" width="35.7109375" bestFit="1" customWidth="1"/>
    <col min="2" max="2" width="31.7109375" bestFit="1" customWidth="1"/>
    <col min="3" max="3" width="12" bestFit="1" customWidth="1"/>
    <col min="4" max="4" width="15.7109375" bestFit="1" customWidth="1"/>
    <col min="5" max="5" width="23.140625" style="2" bestFit="1" customWidth="1"/>
    <col min="6" max="7" width="23.140625" style="2" customWidth="1"/>
    <col min="8" max="8" width="23.140625" style="1" customWidth="1"/>
    <col min="9" max="9" width="23.140625" style="2" customWidth="1"/>
    <col min="10" max="10" width="23.140625" style="1" customWidth="1"/>
    <col min="11" max="11" width="11.5703125" style="2" bestFit="1" customWidth="1"/>
    <col min="12" max="12" width="14.7109375" bestFit="1" customWidth="1"/>
    <col min="13" max="13" width="22.140625" bestFit="1" customWidth="1"/>
    <col min="14" max="14" width="14.7109375" style="13" bestFit="1" customWidth="1"/>
    <col min="15" max="15" width="14.7109375" customWidth="1"/>
    <col min="16" max="16" width="14.7109375" bestFit="1" customWidth="1"/>
    <col min="17" max="17" width="16.140625" bestFit="1" customWidth="1"/>
    <col min="18" max="18" width="14.28515625" style="20" bestFit="1" customWidth="1"/>
    <col min="19" max="19" width="14.28515625" customWidth="1"/>
    <col min="20" max="20" width="23.140625" bestFit="1" customWidth="1"/>
    <col min="21" max="21" width="11.5703125" bestFit="1" customWidth="1"/>
    <col min="22" max="22" width="13.7109375" bestFit="1" customWidth="1"/>
    <col min="23" max="23" width="15.7109375" bestFit="1" customWidth="1"/>
    <col min="24" max="24" width="14.7109375" bestFit="1" customWidth="1"/>
    <col min="25" max="25" width="12.140625" customWidth="1"/>
    <col min="26" max="26" width="12.42578125" customWidth="1"/>
  </cols>
  <sheetData>
    <row r="1" spans="1:29" x14ac:dyDescent="0.25">
      <c r="A1" t="s">
        <v>1738</v>
      </c>
      <c r="B1" t="s">
        <v>1739</v>
      </c>
      <c r="C1" t="s">
        <v>1740</v>
      </c>
      <c r="D1" t="s">
        <v>1760</v>
      </c>
      <c r="E1" t="s">
        <v>1784</v>
      </c>
      <c r="F1" t="s">
        <v>1787</v>
      </c>
      <c r="G1" t="s">
        <v>1785</v>
      </c>
      <c r="H1" t="s">
        <v>1786</v>
      </c>
      <c r="I1" s="2" t="s">
        <v>1741</v>
      </c>
      <c r="J1" s="1" t="s">
        <v>1759</v>
      </c>
      <c r="K1" s="2" t="s">
        <v>1757</v>
      </c>
      <c r="L1" s="1" t="s">
        <v>1758</v>
      </c>
      <c r="M1" s="2" t="s">
        <v>1783</v>
      </c>
      <c r="N1" s="13" t="s">
        <v>1742</v>
      </c>
      <c r="O1" t="s">
        <v>1793</v>
      </c>
      <c r="P1" t="s">
        <v>1743</v>
      </c>
      <c r="Q1" t="s">
        <v>1794</v>
      </c>
      <c r="R1" s="20" t="s">
        <v>1744</v>
      </c>
      <c r="S1" t="s">
        <v>1795</v>
      </c>
      <c r="T1" t="s">
        <v>1745</v>
      </c>
      <c r="U1" t="s">
        <v>1746</v>
      </c>
      <c r="V1" t="s">
        <v>1747</v>
      </c>
      <c r="W1" t="s">
        <v>1748</v>
      </c>
      <c r="X1" t="s">
        <v>1749</v>
      </c>
      <c r="Y1" t="s">
        <v>1750</v>
      </c>
      <c r="Z1" t="s">
        <v>1751</v>
      </c>
      <c r="AA1" t="s">
        <v>1752</v>
      </c>
      <c r="AB1" t="s">
        <v>1754</v>
      </c>
      <c r="AC1" t="s">
        <v>1753</v>
      </c>
    </row>
    <row r="2" spans="1:29" x14ac:dyDescent="0.25">
      <c r="A2" t="s">
        <v>0</v>
      </c>
      <c r="B2" t="s">
        <v>1</v>
      </c>
      <c r="C2">
        <v>1.3500000240000001</v>
      </c>
      <c r="D2" s="3">
        <f>Estimates_on_the_use_of_water__2020__a_3712[[#This Row],[pop_n]]*1000</f>
        <v>1350.0000240000002</v>
      </c>
      <c r="E2" s="15">
        <f>Estimates_on_the_use_of_water__2020__a_3712[[#This Row],[pop_n]]/1000</f>
        <v>1.350000024E-3</v>
      </c>
      <c r="F2" s="15">
        <f>Estimates_on_the_use_of_water__2020__a_3712[[#This Row],[pop_n (m)]]*1000000</f>
        <v>1350.0000239999999</v>
      </c>
      <c r="G2" s="14">
        <f>ROUND(Estimates_on_the_use_of_water__2020__a_3712[[#This Row],[pop_n (m)]],3)</f>
        <v>1E-3</v>
      </c>
      <c r="H2" s="14">
        <f>ROUNDUP(Estimates_on_the_use_of_water__2020__a_3712[[#This Row],[pop_n (m)]],3)</f>
        <v>2E-3</v>
      </c>
      <c r="I2" s="9" t="s">
        <v>2</v>
      </c>
      <c r="J2" s="1">
        <v>0</v>
      </c>
      <c r="K2" s="2">
        <v>0</v>
      </c>
      <c r="L2" s="1">
        <v>0</v>
      </c>
      <c r="M2" s="2">
        <v>100</v>
      </c>
      <c r="N2" s="18">
        <v>99.707676649999996</v>
      </c>
      <c r="O2" s="19">
        <v>0</v>
      </c>
      <c r="P2" s="20" t="s">
        <v>4</v>
      </c>
      <c r="Q2" s="20">
        <f>ROUND(Estimates_on_the_use_of_water__2020__a_3712[[#This Row],[wat_unimp_n]],2)</f>
        <v>0.28999999999999998</v>
      </c>
      <c r="R2" s="20" t="s">
        <v>2</v>
      </c>
      <c r="S2">
        <f>ROUND(Estimates_on_the_use_of_water__2020__a_3712[[#This Row],[wat_sur_n]],2)</f>
        <v>0</v>
      </c>
      <c r="T2" t="s">
        <v>3</v>
      </c>
      <c r="U2" t="s">
        <v>2</v>
      </c>
      <c r="V2" t="s">
        <v>4</v>
      </c>
      <c r="W2" t="s">
        <v>2</v>
      </c>
      <c r="X2" t="s">
        <v>1</v>
      </c>
      <c r="Y2" t="s">
        <v>1</v>
      </c>
      <c r="Z2" t="s">
        <v>1</v>
      </c>
      <c r="AA2" t="s">
        <v>1</v>
      </c>
      <c r="AB2">
        <f>COUNTA(Estimates_on_the_use_of_water__2020__a_3712[[#This Row],[name]:[wat_sur_u]])</f>
        <v>27</v>
      </c>
      <c r="AC2">
        <f>COUNT(Estimates_on_the_use_of_water__2020__a_3712[[#This Row],[name]:[wat_sur_u]])</f>
        <v>14</v>
      </c>
    </row>
    <row r="3" spans="1:29" x14ac:dyDescent="0.25">
      <c r="A3" t="s">
        <v>5</v>
      </c>
      <c r="B3" t="s">
        <v>1</v>
      </c>
      <c r="C3">
        <v>1.618000031</v>
      </c>
      <c r="D3" s="3">
        <f>Estimates_on_the_use_of_water__2020__a_3712[[#This Row],[pop_n]]*1000</f>
        <v>1618.000031</v>
      </c>
      <c r="E3" s="15">
        <f>Estimates_on_the_use_of_water__2020__a_3712[[#This Row],[pop_n]]/1000</f>
        <v>1.618000031E-3</v>
      </c>
      <c r="F3" s="15">
        <f>Estimates_on_the_use_of_water__2020__a_3712[[#This Row],[pop_n (m)]]*1000000</f>
        <v>1618.000031</v>
      </c>
      <c r="G3" s="14">
        <f>ROUND(Estimates_on_the_use_of_water__2020__a_3712[[#This Row],[pop_n (m)]],3)</f>
        <v>2E-3</v>
      </c>
      <c r="H3" s="14">
        <f>ROUNDUP(Estimates_on_the_use_of_water__2020__a_3712[[#This Row],[pop_n (m)]],3)</f>
        <v>2E-3</v>
      </c>
      <c r="I3" s="9" t="s">
        <v>6</v>
      </c>
      <c r="J3" s="1">
        <v>0.46202003480000003</v>
      </c>
      <c r="K3" s="2">
        <v>747.54843062902114</v>
      </c>
      <c r="L3" s="1">
        <v>0.7475484306290211</v>
      </c>
      <c r="M3" s="2">
        <v>53.797996519999998</v>
      </c>
      <c r="N3" s="18" t="s">
        <v>7</v>
      </c>
      <c r="O3" s="19">
        <v>0</v>
      </c>
      <c r="P3" s="20" t="s">
        <v>8</v>
      </c>
      <c r="Q3" s="20">
        <f>ROUND(Estimates_on_the_use_of_water__2020__a_3712[[#This Row],[wat_unimp_n]],2)</f>
        <v>2.99</v>
      </c>
      <c r="R3" s="20" t="s">
        <v>2</v>
      </c>
      <c r="S3">
        <f>ROUND(Estimates_on_the_use_of_water__2020__a_3712[[#This Row],[wat_sur_n]],2)</f>
        <v>0</v>
      </c>
      <c r="T3">
        <v>0</v>
      </c>
      <c r="U3">
        <v>0</v>
      </c>
      <c r="V3">
        <v>0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>
        <f>COUNTA(Estimates_on_the_use_of_water__2020__a_3712[[#This Row],[name]:[wat_sur_u]])</f>
        <v>27</v>
      </c>
      <c r="AC3">
        <f>COUNT(Estimates_on_the_use_of_water__2020__a_3712[[#This Row],[name]:[wat_sur_u]])</f>
        <v>16</v>
      </c>
    </row>
    <row r="4" spans="1:29" x14ac:dyDescent="0.25">
      <c r="A4" t="s">
        <v>9</v>
      </c>
      <c r="B4" t="s">
        <v>1</v>
      </c>
      <c r="C4">
        <v>3.4830000399999999</v>
      </c>
      <c r="D4" s="3">
        <f>Estimates_on_the_use_of_water__2020__a_3712[[#This Row],[pop_n]]*1000</f>
        <v>3483.0000399999999</v>
      </c>
      <c r="E4" s="15">
        <f>Estimates_on_the_use_of_water__2020__a_3712[[#This Row],[pop_n]]/1000</f>
        <v>3.4830000399999998E-3</v>
      </c>
      <c r="F4" s="15">
        <f>Estimates_on_the_use_of_water__2020__a_3712[[#This Row],[pop_n (m)]]*1000000</f>
        <v>3483.0000399999999</v>
      </c>
      <c r="G4" s="14">
        <f>ROUND(Estimates_on_the_use_of_water__2020__a_3712[[#This Row],[pop_n (m)]],3)</f>
        <v>3.0000000000000001E-3</v>
      </c>
      <c r="H4" s="14">
        <f>ROUNDUP(Estimates_on_the_use_of_water__2020__a_3712[[#This Row],[pop_n (m)]],3)</f>
        <v>4.0000000000000001E-3</v>
      </c>
      <c r="I4" s="9" t="s">
        <v>10</v>
      </c>
      <c r="J4" s="1">
        <v>0.78507995609999992</v>
      </c>
      <c r="K4" s="2">
        <v>2734.4335184994979</v>
      </c>
      <c r="L4" s="1">
        <v>2.7344335184994977</v>
      </c>
      <c r="M4" s="2">
        <v>21.492004390000005</v>
      </c>
      <c r="N4" s="18" t="s">
        <v>11</v>
      </c>
      <c r="O4" s="19">
        <v>0</v>
      </c>
      <c r="P4" s="20" t="s">
        <v>12</v>
      </c>
      <c r="Q4" s="20">
        <f>ROUND(Estimates_on_the_use_of_water__2020__a_3712[[#This Row],[wat_unimp_n]],2)</f>
        <v>4.6900000000000004</v>
      </c>
      <c r="R4" s="20" t="s">
        <v>2</v>
      </c>
      <c r="S4">
        <f>ROUND(Estimates_on_the_use_of_water__2020__a_3712[[#This Row],[wat_sur_n]],2)</f>
        <v>0</v>
      </c>
      <c r="T4" t="s">
        <v>13</v>
      </c>
      <c r="U4" t="s">
        <v>2</v>
      </c>
      <c r="V4" t="s">
        <v>14</v>
      </c>
      <c r="W4" t="s">
        <v>2</v>
      </c>
      <c r="X4" t="s">
        <v>15</v>
      </c>
      <c r="Y4" t="s">
        <v>2</v>
      </c>
      <c r="Z4" t="s">
        <v>2</v>
      </c>
      <c r="AA4" t="s">
        <v>2</v>
      </c>
      <c r="AB4">
        <f>COUNTA(Estimates_on_the_use_of_water__2020__a_3712[[#This Row],[name]:[wat_sur_u]])</f>
        <v>27</v>
      </c>
      <c r="AC4">
        <f>COUNT(Estimates_on_the_use_of_water__2020__a_3712[[#This Row],[name]:[wat_sur_u]])</f>
        <v>13</v>
      </c>
    </row>
    <row r="5" spans="1:29" x14ac:dyDescent="0.25">
      <c r="A5" t="s">
        <v>16</v>
      </c>
      <c r="B5" t="s">
        <v>1</v>
      </c>
      <c r="C5">
        <v>4.9990000720000003</v>
      </c>
      <c r="D5" s="3">
        <f>Estimates_on_the_use_of_water__2020__a_3712[[#This Row],[pop_n]]*1000</f>
        <v>4999.0000720000007</v>
      </c>
      <c r="E5" s="15">
        <f>Estimates_on_the_use_of_water__2020__a_3712[[#This Row],[pop_n]]/1000</f>
        <v>4.9990000720000006E-3</v>
      </c>
      <c r="F5" s="15">
        <f>Estimates_on_the_use_of_water__2020__a_3712[[#This Row],[pop_n (m)]]*1000000</f>
        <v>4999.0000720000007</v>
      </c>
      <c r="G5" s="14">
        <f>ROUND(Estimates_on_the_use_of_water__2020__a_3712[[#This Row],[pop_n (m)]],3)</f>
        <v>5.0000000000000001E-3</v>
      </c>
      <c r="H5" s="14">
        <f>ROUNDUP(Estimates_on_the_use_of_water__2020__a_3712[[#This Row],[pop_n (m)]],3)</f>
        <v>5.0000000000000001E-3</v>
      </c>
      <c r="I5" s="9" t="s">
        <v>17</v>
      </c>
      <c r="J5" s="1">
        <v>9.1149997710000014E-2</v>
      </c>
      <c r="K5" s="2">
        <v>455.65884511508995</v>
      </c>
      <c r="L5" s="1">
        <v>0.45565884511508992</v>
      </c>
      <c r="M5" s="2">
        <v>90.885000228999999</v>
      </c>
      <c r="N5" s="18" t="s">
        <v>18</v>
      </c>
      <c r="O5" s="19">
        <v>0</v>
      </c>
      <c r="P5" s="20" t="s">
        <v>19</v>
      </c>
      <c r="Q5" s="20">
        <f>ROUND(Estimates_on_the_use_of_water__2020__a_3712[[#This Row],[wat_unimp_n]],2)</f>
        <v>1.92</v>
      </c>
      <c r="R5" s="20" t="s">
        <v>2</v>
      </c>
      <c r="S5">
        <f>ROUND(Estimates_on_the_use_of_water__2020__a_3712[[#This Row],[wat_sur_n]],2)</f>
        <v>0</v>
      </c>
      <c r="T5">
        <v>0</v>
      </c>
      <c r="U5">
        <v>0</v>
      </c>
      <c r="V5">
        <v>0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>
        <f>COUNTA(Estimates_on_the_use_of_water__2020__a_3712[[#This Row],[name]:[wat_sur_u]])</f>
        <v>27</v>
      </c>
      <c r="AC5">
        <f>COUNT(Estimates_on_the_use_of_water__2020__a_3712[[#This Row],[name]:[wat_sur_u]])</f>
        <v>16</v>
      </c>
    </row>
    <row r="6" spans="1:29" x14ac:dyDescent="0.25">
      <c r="A6" t="s">
        <v>20</v>
      </c>
      <c r="B6" t="s">
        <v>1</v>
      </c>
      <c r="C6">
        <v>5.795000076</v>
      </c>
      <c r="D6" s="3">
        <f>Estimates_on_the_use_of_water__2020__a_3712[[#This Row],[pop_n]]*1000</f>
        <v>5795.0000760000003</v>
      </c>
      <c r="E6" s="15">
        <f>Estimates_on_the_use_of_water__2020__a_3712[[#This Row],[pop_n]]/1000</f>
        <v>5.7950000760000004E-3</v>
      </c>
      <c r="F6" s="15">
        <f>Estimates_on_the_use_of_water__2020__a_3712[[#This Row],[pop_n (m)]]*1000000</f>
        <v>5795.0000760000003</v>
      </c>
      <c r="G6" s="14">
        <f>ROUND(Estimates_on_the_use_of_water__2020__a_3712[[#This Row],[pop_n (m)]],3)</f>
        <v>6.0000000000000001E-3</v>
      </c>
      <c r="H6" s="14">
        <f>ROUNDUP(Estimates_on_the_use_of_water__2020__a_3712[[#This Row],[pop_n (m)]],3)</f>
        <v>6.0000000000000001E-3</v>
      </c>
      <c r="I6" s="9" t="s">
        <v>21</v>
      </c>
      <c r="J6" s="1">
        <v>0.89961997989999998</v>
      </c>
      <c r="K6" s="2">
        <v>5213.2978518916188</v>
      </c>
      <c r="L6" s="1">
        <v>5.2132978518916184</v>
      </c>
      <c r="M6" s="2">
        <v>10.03800201</v>
      </c>
      <c r="N6" s="18">
        <v>91.4</v>
      </c>
      <c r="O6" s="19">
        <v>0</v>
      </c>
      <c r="P6" s="20" t="s">
        <v>22</v>
      </c>
      <c r="Q6" s="20">
        <f>ROUND(Estimates_on_the_use_of_water__2020__a_3712[[#This Row],[wat_unimp_n]],2)</f>
        <v>8.6</v>
      </c>
      <c r="R6" s="20" t="s">
        <v>2</v>
      </c>
      <c r="S6">
        <f>ROUND(Estimates_on_the_use_of_water__2020__a_3712[[#This Row],[wat_sur_n]],2)</f>
        <v>0</v>
      </c>
      <c r="T6">
        <v>0</v>
      </c>
      <c r="U6">
        <v>0</v>
      </c>
      <c r="V6">
        <v>0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>
        <f>COUNTA(Estimates_on_the_use_of_water__2020__a_3712[[#This Row],[name]:[wat_sur_u]])</f>
        <v>27</v>
      </c>
      <c r="AC6">
        <f>COUNT(Estimates_on_the_use_of_water__2020__a_3712[[#This Row],[name]:[wat_sur_u]])</f>
        <v>17</v>
      </c>
    </row>
    <row r="7" spans="1:29" x14ac:dyDescent="0.25">
      <c r="A7" t="s">
        <v>23</v>
      </c>
      <c r="B7" t="s">
        <v>1</v>
      </c>
      <c r="C7">
        <v>6.0710000989999999</v>
      </c>
      <c r="D7" s="3">
        <f>Estimates_on_the_use_of_water__2020__a_3712[[#This Row],[pop_n]]*1000</f>
        <v>6071.0000989999999</v>
      </c>
      <c r="E7" s="15">
        <f>Estimates_on_the_use_of_water__2020__a_3712[[#This Row],[pop_n]]/1000</f>
        <v>6.071000099E-3</v>
      </c>
      <c r="F7" s="15">
        <f>Estimates_on_the_use_of_water__2020__a_3712[[#This Row],[pop_n (m)]]*1000000</f>
        <v>6071.0000989999999</v>
      </c>
      <c r="G7" s="14">
        <f>ROUND(Estimates_on_the_use_of_water__2020__a_3712[[#This Row],[pop_n (m)]],3)</f>
        <v>6.0000000000000001E-3</v>
      </c>
      <c r="H7" s="14">
        <f>ROUNDUP(Estimates_on_the_use_of_water__2020__a_3712[[#This Row],[pop_n (m)]],3)</f>
        <v>7.0000000000000001E-3</v>
      </c>
      <c r="I7" s="9" t="s">
        <v>24</v>
      </c>
      <c r="J7" s="1">
        <v>0.40082000729999995</v>
      </c>
      <c r="K7" s="2">
        <v>2433.3783039994805</v>
      </c>
      <c r="L7" s="1">
        <v>2.4333783039994805</v>
      </c>
      <c r="M7" s="2">
        <v>59.917999270000003</v>
      </c>
      <c r="N7" s="18" t="s">
        <v>25</v>
      </c>
      <c r="O7" s="19">
        <v>0</v>
      </c>
      <c r="P7" s="20" t="s">
        <v>26</v>
      </c>
      <c r="Q7" s="20">
        <f>ROUND(Estimates_on_the_use_of_water__2020__a_3712[[#This Row],[wat_unimp_n]],2)</f>
        <v>0.9</v>
      </c>
      <c r="R7" s="20" t="s">
        <v>2</v>
      </c>
      <c r="S7">
        <f>ROUND(Estimates_on_the_use_of_water__2020__a_3712[[#This Row],[wat_sur_n]],2)</f>
        <v>0</v>
      </c>
      <c r="T7">
        <v>0</v>
      </c>
      <c r="U7">
        <v>0</v>
      </c>
      <c r="V7">
        <v>0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>
        <f>COUNTA(Estimates_on_the_use_of_water__2020__a_3712[[#This Row],[name]:[wat_sur_u]])</f>
        <v>27</v>
      </c>
      <c r="AC7">
        <f>COUNT(Estimates_on_the_use_of_water__2020__a_3712[[#This Row],[name]:[wat_sur_u]])</f>
        <v>16</v>
      </c>
    </row>
    <row r="8" spans="1:29" x14ac:dyDescent="0.25">
      <c r="A8" t="s">
        <v>27</v>
      </c>
      <c r="B8" t="s">
        <v>1</v>
      </c>
      <c r="C8">
        <v>9.8849999999999998</v>
      </c>
      <c r="D8" s="3">
        <f>Estimates_on_the_use_of_water__2020__a_3712[[#This Row],[pop_n]]*1000</f>
        <v>9885</v>
      </c>
      <c r="E8" s="15">
        <f>Estimates_on_the_use_of_water__2020__a_3712[[#This Row],[pop_n]]/1000</f>
        <v>9.8849999999999997E-3</v>
      </c>
      <c r="F8" s="15">
        <f>Estimates_on_the_use_of_water__2020__a_3712[[#This Row],[pop_n (m)]]*1000000</f>
        <v>9885</v>
      </c>
      <c r="G8" s="14">
        <f>ROUND(Estimates_on_the_use_of_water__2020__a_3712[[#This Row],[pop_n (m)]],3)</f>
        <v>0.01</v>
      </c>
      <c r="H8" s="14">
        <f>ROUNDUP(Estimates_on_the_use_of_water__2020__a_3712[[#This Row],[pop_n (m)]],3)</f>
        <v>9.9999999999999985E-3</v>
      </c>
      <c r="I8" s="9" t="s">
        <v>15</v>
      </c>
      <c r="J8" s="1">
        <v>1</v>
      </c>
      <c r="K8" s="2">
        <v>9885</v>
      </c>
      <c r="L8" s="1">
        <v>9.8849999999999998</v>
      </c>
      <c r="M8" s="2">
        <v>0</v>
      </c>
      <c r="N8" s="18" t="s">
        <v>15</v>
      </c>
      <c r="O8" s="19">
        <v>0</v>
      </c>
      <c r="P8" s="20" t="s">
        <v>2</v>
      </c>
      <c r="Q8" s="20">
        <f>ROUND(Estimates_on_the_use_of_water__2020__a_3712[[#This Row],[wat_unimp_n]],2)</f>
        <v>0</v>
      </c>
      <c r="R8" s="20" t="s">
        <v>2</v>
      </c>
      <c r="S8">
        <f>ROUND(Estimates_on_the_use_of_water__2020__a_3712[[#This Row],[wat_sur_n]],2)</f>
        <v>0</v>
      </c>
      <c r="T8">
        <v>0</v>
      </c>
      <c r="U8">
        <v>0</v>
      </c>
      <c r="V8">
        <v>0</v>
      </c>
      <c r="W8" t="s">
        <v>1</v>
      </c>
      <c r="X8" t="s">
        <v>15</v>
      </c>
      <c r="Y8" t="s">
        <v>2</v>
      </c>
      <c r="Z8" t="s">
        <v>2</v>
      </c>
      <c r="AA8" t="s">
        <v>2</v>
      </c>
      <c r="AB8">
        <f>COUNTA(Estimates_on_the_use_of_water__2020__a_3712[[#This Row],[name]:[wat_sur_u]])</f>
        <v>27</v>
      </c>
      <c r="AC8">
        <f>COUNT(Estimates_on_the_use_of_water__2020__a_3712[[#This Row],[name]:[wat_sur_u]])</f>
        <v>16</v>
      </c>
    </row>
    <row r="9" spans="1:29" x14ac:dyDescent="0.25">
      <c r="A9" t="s">
        <v>28</v>
      </c>
      <c r="B9" t="s">
        <v>29</v>
      </c>
      <c r="C9">
        <v>10.833999629999999</v>
      </c>
      <c r="D9" s="3">
        <f>Estimates_on_the_use_of_water__2020__a_3712[[#This Row],[pop_n]]*1000</f>
        <v>10833.999629999998</v>
      </c>
      <c r="E9" s="15">
        <f>Estimates_on_the_use_of_water__2020__a_3712[[#This Row],[pop_n]]/1000</f>
        <v>1.0833999629999999E-2</v>
      </c>
      <c r="F9" s="15">
        <f>Estimates_on_the_use_of_water__2020__a_3712[[#This Row],[pop_n (m)]]*1000000</f>
        <v>10833.999629999998</v>
      </c>
      <c r="G9" s="14">
        <f>ROUND(Estimates_on_the_use_of_water__2020__a_3712[[#This Row],[pop_n (m)]],3)</f>
        <v>1.0999999999999999E-2</v>
      </c>
      <c r="H9" s="14">
        <f>ROUNDUP(Estimates_on_the_use_of_water__2020__a_3712[[#This Row],[pop_n (m)]],3)</f>
        <v>1.0999999999999999E-2</v>
      </c>
      <c r="I9" s="9" t="s">
        <v>15</v>
      </c>
      <c r="J9" s="1">
        <v>1</v>
      </c>
      <c r="K9" s="2">
        <v>10833.999629999998</v>
      </c>
      <c r="L9" s="1">
        <v>10.833999629999999</v>
      </c>
      <c r="M9" s="2">
        <v>0</v>
      </c>
      <c r="N9" s="18" t="s">
        <v>15</v>
      </c>
      <c r="O9" s="19">
        <v>0</v>
      </c>
      <c r="P9" s="20" t="s">
        <v>2</v>
      </c>
      <c r="Q9" s="20">
        <f>ROUND(Estimates_on_the_use_of_water__2020__a_3712[[#This Row],[wat_unimp_n]],2)</f>
        <v>0</v>
      </c>
      <c r="R9" s="20" t="s">
        <v>2</v>
      </c>
      <c r="S9">
        <f>ROUND(Estimates_on_the_use_of_water__2020__a_3712[[#This Row],[wat_sur_n]],2)</f>
        <v>0</v>
      </c>
      <c r="T9">
        <v>0</v>
      </c>
      <c r="U9">
        <v>0</v>
      </c>
      <c r="V9">
        <v>0</v>
      </c>
      <c r="W9" t="s">
        <v>1</v>
      </c>
      <c r="X9" t="s">
        <v>15</v>
      </c>
      <c r="Y9" t="s">
        <v>2</v>
      </c>
      <c r="Z9" t="s">
        <v>2</v>
      </c>
      <c r="AA9" t="s">
        <v>2</v>
      </c>
      <c r="AB9">
        <f>COUNTA(Estimates_on_the_use_of_water__2020__a_3712[[#This Row],[name]:[wat_sur_u]])</f>
        <v>27</v>
      </c>
      <c r="AC9">
        <f>COUNT(Estimates_on_the_use_of_water__2020__a_3712[[#This Row],[name]:[wat_sur_u]])</f>
        <v>16</v>
      </c>
    </row>
    <row r="10" spans="1:29" x14ac:dyDescent="0.25">
      <c r="A10" t="s">
        <v>30</v>
      </c>
      <c r="B10" t="s">
        <v>1</v>
      </c>
      <c r="C10">
        <v>11.24600029</v>
      </c>
      <c r="D10" s="3">
        <f>Estimates_on_the_use_of_water__2020__a_3712[[#This Row],[pop_n]]*1000</f>
        <v>11246.00029</v>
      </c>
      <c r="E10" s="15">
        <f>Estimates_on_the_use_of_water__2020__a_3712[[#This Row],[pop_n]]/1000</f>
        <v>1.1246000289999999E-2</v>
      </c>
      <c r="F10" s="15">
        <f>Estimates_on_the_use_of_water__2020__a_3712[[#This Row],[pop_n (m)]]*1000000</f>
        <v>11246.000289999998</v>
      </c>
      <c r="G10" s="14">
        <f>ROUND(Estimates_on_the_use_of_water__2020__a_3712[[#This Row],[pop_n (m)]],3)</f>
        <v>1.0999999999999999E-2</v>
      </c>
      <c r="H10" s="14">
        <f>ROUNDUP(Estimates_on_the_use_of_water__2020__a_3712[[#This Row],[pop_n (m)]],3)</f>
        <v>1.2E-2</v>
      </c>
      <c r="I10" s="9" t="s">
        <v>2</v>
      </c>
      <c r="J10" s="1">
        <v>0</v>
      </c>
      <c r="K10" s="2">
        <v>0</v>
      </c>
      <c r="L10" s="1">
        <v>0</v>
      </c>
      <c r="M10" s="2">
        <v>100</v>
      </c>
      <c r="N10" s="18" t="s">
        <v>31</v>
      </c>
      <c r="O10" s="19">
        <v>0</v>
      </c>
      <c r="P10" s="20" t="s">
        <v>32</v>
      </c>
      <c r="Q10" s="20">
        <f>ROUND(Estimates_on_the_use_of_water__2020__a_3712[[#This Row],[wat_unimp_n]],2)</f>
        <v>0.86</v>
      </c>
      <c r="R10" s="20" t="s">
        <v>2</v>
      </c>
      <c r="S10">
        <f>ROUND(Estimates_on_the_use_of_water__2020__a_3712[[#This Row],[wat_sur_n]],2)</f>
        <v>0</v>
      </c>
      <c r="T10" t="s">
        <v>31</v>
      </c>
      <c r="U10" t="s">
        <v>2</v>
      </c>
      <c r="V10" t="s">
        <v>32</v>
      </c>
      <c r="W10" t="s">
        <v>2</v>
      </c>
      <c r="X10" t="s">
        <v>1</v>
      </c>
      <c r="Y10" t="s">
        <v>1</v>
      </c>
      <c r="Z10" t="s">
        <v>1</v>
      </c>
      <c r="AA10" t="s">
        <v>1</v>
      </c>
      <c r="AB10">
        <f>COUNTA(Estimates_on_the_use_of_water__2020__a_3712[[#This Row],[name]:[wat_sur_u]])</f>
        <v>27</v>
      </c>
      <c r="AC10">
        <f>COUNT(Estimates_on_the_use_of_water__2020__a_3712[[#This Row],[name]:[wat_sur_u]])</f>
        <v>13</v>
      </c>
    </row>
    <row r="11" spans="1:29" x14ac:dyDescent="0.25">
      <c r="A11" t="s">
        <v>33</v>
      </c>
      <c r="B11" t="s">
        <v>34</v>
      </c>
      <c r="C11">
        <v>11.791999819999999</v>
      </c>
      <c r="D11" s="3">
        <f>Estimates_on_the_use_of_water__2020__a_3712[[#This Row],[pop_n]]*1000</f>
        <v>11791.999819999999</v>
      </c>
      <c r="E11" s="15">
        <f>Estimates_on_the_use_of_water__2020__a_3712[[#This Row],[pop_n]]/1000</f>
        <v>1.1791999819999999E-2</v>
      </c>
      <c r="F11" s="15">
        <f>Estimates_on_the_use_of_water__2020__a_3712[[#This Row],[pop_n (m)]]*1000000</f>
        <v>11791.999819999999</v>
      </c>
      <c r="G11" s="14">
        <f>ROUND(Estimates_on_the_use_of_water__2020__a_3712[[#This Row],[pop_n (m)]],3)</f>
        <v>1.2E-2</v>
      </c>
      <c r="H11" s="14">
        <f>ROUNDUP(Estimates_on_the_use_of_water__2020__a_3712[[#This Row],[pop_n (m)]],3)</f>
        <v>1.2E-2</v>
      </c>
      <c r="I11" s="9" t="s">
        <v>35</v>
      </c>
      <c r="J11" s="1">
        <v>0.6401399994000001</v>
      </c>
      <c r="K11" s="2">
        <v>7548.5307576996011</v>
      </c>
      <c r="L11" s="1">
        <v>7.5485307576996004</v>
      </c>
      <c r="M11" s="2">
        <v>35.986000059999995</v>
      </c>
      <c r="N11" s="18" t="s">
        <v>15</v>
      </c>
      <c r="O11" s="19">
        <v>0</v>
      </c>
      <c r="P11" s="20" t="s">
        <v>2</v>
      </c>
      <c r="Q11" s="20">
        <f>ROUND(Estimates_on_the_use_of_water__2020__a_3712[[#This Row],[wat_unimp_n]],2)</f>
        <v>0</v>
      </c>
      <c r="R11" s="20" t="s">
        <v>2</v>
      </c>
      <c r="S11">
        <f>ROUND(Estimates_on_the_use_of_water__2020__a_3712[[#This Row],[wat_sur_n]],2)</f>
        <v>0</v>
      </c>
      <c r="T11" t="s">
        <v>15</v>
      </c>
      <c r="U11" t="s">
        <v>2</v>
      </c>
      <c r="V11" t="s">
        <v>2</v>
      </c>
      <c r="W11" t="s">
        <v>2</v>
      </c>
      <c r="X11" t="s">
        <v>15</v>
      </c>
      <c r="Y11" t="s">
        <v>2</v>
      </c>
      <c r="Z11" t="s">
        <v>2</v>
      </c>
      <c r="AA11" t="s">
        <v>2</v>
      </c>
      <c r="AB11">
        <f>COUNTA(Estimates_on_the_use_of_water__2020__a_3712[[#This Row],[name]:[wat_sur_u]])</f>
        <v>27</v>
      </c>
      <c r="AC11">
        <f>COUNT(Estimates_on_the_use_of_water__2020__a_3712[[#This Row],[name]:[wat_sur_u]])</f>
        <v>13</v>
      </c>
    </row>
    <row r="12" spans="1:29" x14ac:dyDescent="0.25">
      <c r="A12" t="s">
        <v>36</v>
      </c>
      <c r="B12" t="s">
        <v>1</v>
      </c>
      <c r="C12">
        <v>17.56399918</v>
      </c>
      <c r="D12" s="3">
        <f>Estimates_on_the_use_of_water__2020__a_3712[[#This Row],[pop_n]]*1000</f>
        <v>17563.999179999999</v>
      </c>
      <c r="E12" s="15">
        <f>Estimates_on_the_use_of_water__2020__a_3712[[#This Row],[pop_n]]/1000</f>
        <v>1.7563999180000001E-2</v>
      </c>
      <c r="F12" s="15">
        <f>Estimates_on_the_use_of_water__2020__a_3712[[#This Row],[pop_n (m)]]*1000000</f>
        <v>17563.999180000003</v>
      </c>
      <c r="G12" s="14">
        <f>ROUND(Estimates_on_the_use_of_water__2020__a_3712[[#This Row],[pop_n (m)]],3)</f>
        <v>1.7999999999999999E-2</v>
      </c>
      <c r="H12" s="14">
        <f>ROUNDUP(Estimates_on_the_use_of_water__2020__a_3712[[#This Row],[pop_n (m)]],3)</f>
        <v>1.8000000000000002E-2</v>
      </c>
      <c r="I12" s="9">
        <v>75.495002749999998</v>
      </c>
      <c r="J12" s="1">
        <v>0.75495002749999995</v>
      </c>
      <c r="K12" s="2">
        <v>13259.941663950976</v>
      </c>
      <c r="L12" s="1">
        <v>13.259941663950977</v>
      </c>
      <c r="M12" s="2">
        <v>24.504997250000002</v>
      </c>
      <c r="N12" s="18" t="s">
        <v>37</v>
      </c>
      <c r="O12" s="19">
        <v>0</v>
      </c>
      <c r="P12" s="20" t="s">
        <v>38</v>
      </c>
      <c r="Q12" s="20">
        <f>ROUND(Estimates_on_the_use_of_water__2020__a_3712[[#This Row],[wat_unimp_n]],2)</f>
        <v>0.03</v>
      </c>
      <c r="R12" s="20" t="s">
        <v>2</v>
      </c>
      <c r="S12">
        <f>ROUND(Estimates_on_the_use_of_water__2020__a_3712[[#This Row],[wat_sur_n]],2)</f>
        <v>0</v>
      </c>
      <c r="T12">
        <v>0</v>
      </c>
      <c r="U12">
        <v>0</v>
      </c>
      <c r="V12">
        <v>0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>
        <f>COUNTA(Estimates_on_the_use_of_water__2020__a_3712[[#This Row],[name]:[wat_sur_u]])</f>
        <v>27</v>
      </c>
      <c r="AC12">
        <f>COUNT(Estimates_on_the_use_of_water__2020__a_3712[[#This Row],[name]:[wat_sur_u]])</f>
        <v>17</v>
      </c>
    </row>
    <row r="13" spans="1:29" x14ac:dyDescent="0.25">
      <c r="A13" t="s">
        <v>39</v>
      </c>
      <c r="B13" t="s">
        <v>34</v>
      </c>
      <c r="C13">
        <v>18.091999049999998</v>
      </c>
      <c r="D13" s="3">
        <f>Estimates_on_the_use_of_water__2020__a_3712[[#This Row],[pop_n]]*1000</f>
        <v>18091.999049999999</v>
      </c>
      <c r="E13" s="15">
        <f>Estimates_on_the_use_of_water__2020__a_3712[[#This Row],[pop_n]]/1000</f>
        <v>1.8091999049999998E-2</v>
      </c>
      <c r="F13" s="15">
        <f>Estimates_on_the_use_of_water__2020__a_3712[[#This Row],[pop_n (m)]]*1000000</f>
        <v>18091.999049999999</v>
      </c>
      <c r="G13" s="14">
        <f>ROUND(Estimates_on_the_use_of_water__2020__a_3712[[#This Row],[pop_n (m)]],3)</f>
        <v>1.7999999999999999E-2</v>
      </c>
      <c r="H13" s="14">
        <f>ROUNDUP(Estimates_on_the_use_of_water__2020__a_3712[[#This Row],[pop_n (m)]],3)</f>
        <v>1.9E-2</v>
      </c>
      <c r="I13" s="9" t="s">
        <v>40</v>
      </c>
      <c r="J13" s="1">
        <v>0.80987998959999996</v>
      </c>
      <c r="K13" s="2">
        <v>14652.348002457207</v>
      </c>
      <c r="L13" s="1">
        <v>14.652348002457208</v>
      </c>
      <c r="M13" s="2">
        <v>19.012001040000001</v>
      </c>
      <c r="N13" s="18" t="s">
        <v>41</v>
      </c>
      <c r="O13" s="19">
        <v>0</v>
      </c>
      <c r="P13" s="20" t="s">
        <v>42</v>
      </c>
      <c r="Q13" s="20">
        <f>ROUND(Estimates_on_the_use_of_water__2020__a_3712[[#This Row],[wat_unimp_n]],2)</f>
        <v>0.34</v>
      </c>
      <c r="R13" s="20" t="s">
        <v>2</v>
      </c>
      <c r="S13">
        <f>ROUND(Estimates_on_the_use_of_water__2020__a_3712[[#This Row],[wat_sur_n]],2)</f>
        <v>0</v>
      </c>
      <c r="T13" t="s">
        <v>43</v>
      </c>
      <c r="U13" t="s">
        <v>2</v>
      </c>
      <c r="V13" t="s">
        <v>44</v>
      </c>
      <c r="W13" t="s">
        <v>2</v>
      </c>
      <c r="X13" t="s">
        <v>45</v>
      </c>
      <c r="Y13" t="s">
        <v>2</v>
      </c>
      <c r="Z13" t="s">
        <v>46</v>
      </c>
      <c r="AA13" t="s">
        <v>2</v>
      </c>
      <c r="AB13">
        <f>COUNTA(Estimates_on_the_use_of_water__2020__a_3712[[#This Row],[name]:[wat_sur_u]])</f>
        <v>27</v>
      </c>
      <c r="AC13">
        <f>COUNT(Estimates_on_the_use_of_water__2020__a_3712[[#This Row],[name]:[wat_sur_u]])</f>
        <v>13</v>
      </c>
    </row>
    <row r="14" spans="1:29" x14ac:dyDescent="0.25">
      <c r="A14" t="s">
        <v>47</v>
      </c>
      <c r="B14" t="s">
        <v>29</v>
      </c>
      <c r="C14">
        <v>30.23699951</v>
      </c>
      <c r="D14" s="3">
        <f>Estimates_on_the_use_of_water__2020__a_3712[[#This Row],[pop_n]]*1000</f>
        <v>30236.999510000001</v>
      </c>
      <c r="E14" s="15">
        <f>Estimates_on_the_use_of_water__2020__a_3712[[#This Row],[pop_n]]/1000</f>
        <v>3.0236999510000001E-2</v>
      </c>
      <c r="F14" s="15">
        <f>Estimates_on_the_use_of_water__2020__a_3712[[#This Row],[pop_n (m)]]*1000000</f>
        <v>30236.999510000001</v>
      </c>
      <c r="G14" s="14">
        <f>ROUND(Estimates_on_the_use_of_water__2020__a_3712[[#This Row],[pop_n (m)]],3)</f>
        <v>0.03</v>
      </c>
      <c r="H14" s="14">
        <f>ROUNDUP(Estimates_on_the_use_of_water__2020__a_3712[[#This Row],[pop_n (m)]],3)</f>
        <v>3.1E-2</v>
      </c>
      <c r="I14" s="9" t="s">
        <v>48</v>
      </c>
      <c r="J14" s="1">
        <v>0.48514999390000002</v>
      </c>
      <c r="K14" s="2">
        <v>14669.480127830804</v>
      </c>
      <c r="L14" s="1">
        <v>14.669480127830804</v>
      </c>
      <c r="M14" s="2">
        <v>51.48500061</v>
      </c>
      <c r="N14" s="18" t="s">
        <v>49</v>
      </c>
      <c r="O14" s="19">
        <v>0</v>
      </c>
      <c r="P14" s="20" t="s">
        <v>50</v>
      </c>
      <c r="Q14" s="20">
        <f>ROUND(Estimates_on_the_use_of_water__2020__a_3712[[#This Row],[wat_unimp_n]],2)</f>
        <v>0.14000000000000001</v>
      </c>
      <c r="R14" s="20" t="s">
        <v>2</v>
      </c>
      <c r="S14">
        <f>ROUND(Estimates_on_the_use_of_water__2020__a_3712[[#This Row],[wat_sur_n]],2)</f>
        <v>0</v>
      </c>
      <c r="T14">
        <v>0</v>
      </c>
      <c r="U14">
        <v>0</v>
      </c>
      <c r="V14">
        <v>0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>
        <f>COUNTA(Estimates_on_the_use_of_water__2020__a_3712[[#This Row],[name]:[wat_sur_u]])</f>
        <v>27</v>
      </c>
      <c r="AC14">
        <f>COUNT(Estimates_on_the_use_of_water__2020__a_3712[[#This Row],[name]:[wat_sur_u]])</f>
        <v>16</v>
      </c>
    </row>
    <row r="15" spans="1:29" x14ac:dyDescent="0.25">
      <c r="A15" t="s">
        <v>51</v>
      </c>
      <c r="B15" t="s">
        <v>29</v>
      </c>
      <c r="C15">
        <v>33.691001890000003</v>
      </c>
      <c r="D15" s="3">
        <f>Estimates_on_the_use_of_water__2020__a_3712[[#This Row],[pop_n]]*1000</f>
        <v>33691.00189</v>
      </c>
      <c r="E15" s="15">
        <f>Estimates_on_the_use_of_water__2020__a_3712[[#This Row],[pop_n]]/1000</f>
        <v>3.3691001890000002E-2</v>
      </c>
      <c r="F15" s="15">
        <f>Estimates_on_the_use_of_water__2020__a_3712[[#This Row],[pop_n (m)]]*1000000</f>
        <v>33691.00189</v>
      </c>
      <c r="G15" s="14">
        <f>ROUND(Estimates_on_the_use_of_water__2020__a_3712[[#This Row],[pop_n (m)]],3)</f>
        <v>3.4000000000000002E-2</v>
      </c>
      <c r="H15" s="14">
        <f>ROUNDUP(Estimates_on_the_use_of_water__2020__a_3712[[#This Row],[pop_n (m)]],3)</f>
        <v>3.4000000000000002E-2</v>
      </c>
      <c r="I15" s="9" t="s">
        <v>15</v>
      </c>
      <c r="J15" s="1">
        <v>1</v>
      </c>
      <c r="K15" s="2">
        <v>33691.00189</v>
      </c>
      <c r="L15" s="1">
        <v>33.691001890000003</v>
      </c>
      <c r="M15" s="2">
        <v>0</v>
      </c>
      <c r="N15" s="18" t="s">
        <v>15</v>
      </c>
      <c r="O15" s="19">
        <v>0</v>
      </c>
      <c r="P15" s="20" t="s">
        <v>2</v>
      </c>
      <c r="Q15" s="20">
        <f>ROUND(Estimates_on_the_use_of_water__2020__a_3712[[#This Row],[wat_unimp_n]],2)</f>
        <v>0</v>
      </c>
      <c r="R15" s="20" t="s">
        <v>2</v>
      </c>
      <c r="S15">
        <f>ROUND(Estimates_on_the_use_of_water__2020__a_3712[[#This Row],[wat_sur_n]],2)</f>
        <v>0</v>
      </c>
      <c r="T15">
        <v>0</v>
      </c>
      <c r="U15">
        <v>0</v>
      </c>
      <c r="V15">
        <v>0</v>
      </c>
      <c r="W15" t="s">
        <v>1</v>
      </c>
      <c r="X15" t="s">
        <v>15</v>
      </c>
      <c r="Y15" t="s">
        <v>2</v>
      </c>
      <c r="Z15" t="s">
        <v>2</v>
      </c>
      <c r="AA15" t="s">
        <v>2</v>
      </c>
      <c r="AB15">
        <f>COUNTA(Estimates_on_the_use_of_water__2020__a_3712[[#This Row],[name]:[wat_sur_u]])</f>
        <v>27</v>
      </c>
      <c r="AC15">
        <f>COUNT(Estimates_on_the_use_of_water__2020__a_3712[[#This Row],[name]:[wat_sur_u]])</f>
        <v>16</v>
      </c>
    </row>
    <row r="16" spans="1:29" x14ac:dyDescent="0.25">
      <c r="A16" t="s">
        <v>52</v>
      </c>
      <c r="B16" t="s">
        <v>29</v>
      </c>
      <c r="C16">
        <v>33.937999730000001</v>
      </c>
      <c r="D16" s="3">
        <f>Estimates_on_the_use_of_water__2020__a_3712[[#This Row],[pop_n]]*1000</f>
        <v>33937.999730000003</v>
      </c>
      <c r="E16" s="15">
        <f>Estimates_on_the_use_of_water__2020__a_3712[[#This Row],[pop_n]]/1000</f>
        <v>3.3937999730000001E-2</v>
      </c>
      <c r="F16" s="15">
        <f>Estimates_on_the_use_of_water__2020__a_3712[[#This Row],[pop_n (m)]]*1000000</f>
        <v>33937.999730000003</v>
      </c>
      <c r="G16" s="14">
        <f>ROUND(Estimates_on_the_use_of_water__2020__a_3712[[#This Row],[pop_n (m)]],3)</f>
        <v>3.4000000000000002E-2</v>
      </c>
      <c r="H16" s="14">
        <f>ROUNDUP(Estimates_on_the_use_of_water__2020__a_3712[[#This Row],[pop_n (m)]],3)</f>
        <v>3.4000000000000002E-2</v>
      </c>
      <c r="I16" s="9" t="s">
        <v>53</v>
      </c>
      <c r="J16" s="1">
        <v>0.97499000550000003</v>
      </c>
      <c r="K16" s="2">
        <v>33089.210543411704</v>
      </c>
      <c r="L16" s="1">
        <v>33.089210543411703</v>
      </c>
      <c r="M16" s="2">
        <v>2.5009994499999948</v>
      </c>
      <c r="N16" s="18" t="s">
        <v>15</v>
      </c>
      <c r="O16" s="19">
        <v>0</v>
      </c>
      <c r="P16" s="20" t="s">
        <v>2</v>
      </c>
      <c r="Q16" s="20">
        <f>ROUND(Estimates_on_the_use_of_water__2020__a_3712[[#This Row],[wat_unimp_n]],2)</f>
        <v>0</v>
      </c>
      <c r="R16" s="20" t="s">
        <v>2</v>
      </c>
      <c r="S16">
        <f>ROUND(Estimates_on_the_use_of_water__2020__a_3712[[#This Row],[wat_sur_n]],2)</f>
        <v>0</v>
      </c>
      <c r="T16">
        <v>0</v>
      </c>
      <c r="U16">
        <v>0</v>
      </c>
      <c r="V16">
        <v>0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>
        <f>COUNTA(Estimates_on_the_use_of_water__2020__a_3712[[#This Row],[name]:[wat_sur_u]])</f>
        <v>27</v>
      </c>
      <c r="AC16">
        <f>COUNT(Estimates_on_the_use_of_water__2020__a_3712[[#This Row],[name]:[wat_sur_u]])</f>
        <v>16</v>
      </c>
    </row>
    <row r="17" spans="1:29" x14ac:dyDescent="0.25">
      <c r="A17" t="s">
        <v>54</v>
      </c>
      <c r="B17" t="s">
        <v>29</v>
      </c>
      <c r="C17">
        <v>38.137001040000001</v>
      </c>
      <c r="D17" s="3">
        <f>Estimates_on_the_use_of_water__2020__a_3712[[#This Row],[pop_n]]*1000</f>
        <v>38137.001040000003</v>
      </c>
      <c r="E17" s="15">
        <f>Estimates_on_the_use_of_water__2020__a_3712[[#This Row],[pop_n]]/1000</f>
        <v>3.813700104E-2</v>
      </c>
      <c r="F17" s="15">
        <f>Estimates_on_the_use_of_water__2020__a_3712[[#This Row],[pop_n (m)]]*1000000</f>
        <v>38137.001040000003</v>
      </c>
      <c r="G17" s="14">
        <f>ROUND(Estimates_on_the_use_of_water__2020__a_3712[[#This Row],[pop_n (m)]],3)</f>
        <v>3.7999999999999999E-2</v>
      </c>
      <c r="H17" s="14">
        <f>ROUNDUP(Estimates_on_the_use_of_water__2020__a_3712[[#This Row],[pop_n (m)]],3)</f>
        <v>3.9E-2</v>
      </c>
      <c r="I17" s="9" t="s">
        <v>55</v>
      </c>
      <c r="J17" s="1">
        <v>0.14416000370000001</v>
      </c>
      <c r="K17" s="2">
        <v>5497.8302110333043</v>
      </c>
      <c r="L17" s="1">
        <v>5.4978302110333042</v>
      </c>
      <c r="M17" s="2">
        <v>85.583999629999994</v>
      </c>
      <c r="N17" s="18" t="s">
        <v>15</v>
      </c>
      <c r="O17" s="19">
        <v>0</v>
      </c>
      <c r="P17" s="20" t="s">
        <v>2</v>
      </c>
      <c r="Q17" s="20">
        <f>ROUND(Estimates_on_the_use_of_water__2020__a_3712[[#This Row],[wat_unimp_n]],2)</f>
        <v>0</v>
      </c>
      <c r="R17" s="20" t="s">
        <v>2</v>
      </c>
      <c r="S17">
        <f>ROUND(Estimates_on_the_use_of_water__2020__a_3712[[#This Row],[wat_sur_n]],2)</f>
        <v>0</v>
      </c>
      <c r="T17">
        <v>0</v>
      </c>
      <c r="U17">
        <v>0</v>
      </c>
      <c r="V17">
        <v>0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>
        <f>COUNTA(Estimates_on_the_use_of_water__2020__a_3712[[#This Row],[name]:[wat_sur_u]])</f>
        <v>27</v>
      </c>
      <c r="AC17">
        <f>COUNT(Estimates_on_the_use_of_water__2020__a_3712[[#This Row],[name]:[wat_sur_u]])</f>
        <v>16</v>
      </c>
    </row>
    <row r="18" spans="1:29" x14ac:dyDescent="0.25">
      <c r="A18" t="s">
        <v>56</v>
      </c>
      <c r="B18" t="s">
        <v>29</v>
      </c>
      <c r="C18">
        <v>38.658999999999999</v>
      </c>
      <c r="D18" s="3">
        <f>Estimates_on_the_use_of_water__2020__a_3712[[#This Row],[pop_n]]*1000</f>
        <v>38659</v>
      </c>
      <c r="E18" s="15">
        <f>Estimates_on_the_use_of_water__2020__a_3712[[#This Row],[pop_n]]/1000</f>
        <v>3.8658999999999999E-2</v>
      </c>
      <c r="F18" s="15">
        <f>Estimates_on_the_use_of_water__2020__a_3712[[#This Row],[pop_n (m)]]*1000000</f>
        <v>38659</v>
      </c>
      <c r="G18" s="14">
        <f>ROUND(Estimates_on_the_use_of_water__2020__a_3712[[#This Row],[pop_n (m)]],3)</f>
        <v>3.9E-2</v>
      </c>
      <c r="H18" s="14">
        <f>ROUNDUP(Estimates_on_the_use_of_water__2020__a_3712[[#This Row],[pop_n (m)]],3)</f>
        <v>3.9E-2</v>
      </c>
      <c r="I18" s="9" t="s">
        <v>15</v>
      </c>
      <c r="J18" s="1">
        <v>1</v>
      </c>
      <c r="K18" s="2">
        <v>38659</v>
      </c>
      <c r="L18" s="1">
        <v>38.658999999999999</v>
      </c>
      <c r="M18" s="2">
        <v>0</v>
      </c>
      <c r="N18" s="18" t="s">
        <v>57</v>
      </c>
      <c r="O18" s="19">
        <v>0</v>
      </c>
      <c r="P18" s="20" t="s">
        <v>58</v>
      </c>
      <c r="Q18" s="20">
        <f>ROUND(Estimates_on_the_use_of_water__2020__a_3712[[#This Row],[wat_unimp_n]],2)</f>
        <v>0</v>
      </c>
      <c r="R18" s="20" t="s">
        <v>2</v>
      </c>
      <c r="S18">
        <f>ROUND(Estimates_on_the_use_of_water__2020__a_3712[[#This Row],[wat_sur_n]],2)</f>
        <v>0</v>
      </c>
      <c r="T18">
        <v>0</v>
      </c>
      <c r="U18">
        <v>0</v>
      </c>
      <c r="V18">
        <v>0</v>
      </c>
      <c r="W18" t="s">
        <v>1</v>
      </c>
      <c r="X18" t="s">
        <v>57</v>
      </c>
      <c r="Y18" t="s">
        <v>2</v>
      </c>
      <c r="Z18" t="s">
        <v>58</v>
      </c>
      <c r="AA18" t="s">
        <v>2</v>
      </c>
      <c r="AB18">
        <f>COUNTA(Estimates_on_the_use_of_water__2020__a_3712[[#This Row],[name]:[wat_sur_u]])</f>
        <v>27</v>
      </c>
      <c r="AC18">
        <f>COUNT(Estimates_on_the_use_of_water__2020__a_3712[[#This Row],[name]:[wat_sur_u]])</f>
        <v>16</v>
      </c>
    </row>
    <row r="19" spans="1:29" x14ac:dyDescent="0.25">
      <c r="A19" t="s">
        <v>59</v>
      </c>
      <c r="B19" t="s">
        <v>29</v>
      </c>
      <c r="C19">
        <v>39.243999479999999</v>
      </c>
      <c r="D19" s="3">
        <f>Estimates_on_the_use_of_water__2020__a_3712[[#This Row],[pop_n]]*1000</f>
        <v>39243.999479999999</v>
      </c>
      <c r="E19" s="15">
        <f>Estimates_on_the_use_of_water__2020__a_3712[[#This Row],[pop_n]]/1000</f>
        <v>3.924399948E-2</v>
      </c>
      <c r="F19" s="15">
        <f>Estimates_on_the_use_of_water__2020__a_3712[[#This Row],[pop_n (m)]]*1000000</f>
        <v>39243.999479999999</v>
      </c>
      <c r="G19" s="14">
        <f>ROUND(Estimates_on_the_use_of_water__2020__a_3712[[#This Row],[pop_n (m)]],3)</f>
        <v>3.9E-2</v>
      </c>
      <c r="H19" s="14">
        <f>ROUNDUP(Estimates_on_the_use_of_water__2020__a_3712[[#This Row],[pop_n (m)]],3)</f>
        <v>0.04</v>
      </c>
      <c r="I19" s="9" t="s">
        <v>15</v>
      </c>
      <c r="J19" s="1">
        <v>1</v>
      </c>
      <c r="K19" s="2">
        <v>39243.999479999999</v>
      </c>
      <c r="L19" s="1">
        <v>39.243999479999999</v>
      </c>
      <c r="M19" s="2">
        <v>0</v>
      </c>
      <c r="N19" s="18" t="s">
        <v>15</v>
      </c>
      <c r="O19" s="19">
        <v>0</v>
      </c>
      <c r="P19" s="20" t="s">
        <v>2</v>
      </c>
      <c r="Q19" s="20">
        <f>ROUND(Estimates_on_the_use_of_water__2020__a_3712[[#This Row],[wat_unimp_n]],2)</f>
        <v>0</v>
      </c>
      <c r="R19" s="20" t="s">
        <v>2</v>
      </c>
      <c r="S19">
        <f>ROUND(Estimates_on_the_use_of_water__2020__a_3712[[#This Row],[wat_sur_n]],2)</f>
        <v>0</v>
      </c>
      <c r="T19">
        <v>0</v>
      </c>
      <c r="U19">
        <v>0</v>
      </c>
      <c r="V19">
        <v>0</v>
      </c>
      <c r="W19" t="s">
        <v>1</v>
      </c>
      <c r="X19" t="s">
        <v>15</v>
      </c>
      <c r="Y19" t="s">
        <v>2</v>
      </c>
      <c r="Z19" t="s">
        <v>2</v>
      </c>
      <c r="AA19" t="s">
        <v>2</v>
      </c>
      <c r="AB19">
        <f>COUNTA(Estimates_on_the_use_of_water__2020__a_3712[[#This Row],[name]:[wat_sur_u]])</f>
        <v>27</v>
      </c>
      <c r="AC19">
        <f>COUNT(Estimates_on_the_use_of_water__2020__a_3712[[#This Row],[name]:[wat_sur_u]])</f>
        <v>16</v>
      </c>
    </row>
    <row r="20" spans="1:29" x14ac:dyDescent="0.25">
      <c r="A20" t="s">
        <v>60</v>
      </c>
      <c r="B20" t="s">
        <v>29</v>
      </c>
      <c r="C20">
        <v>48.865001679999999</v>
      </c>
      <c r="D20" s="3">
        <f>Estimates_on_the_use_of_water__2020__a_3712[[#This Row],[pop_n]]*1000</f>
        <v>48865.001680000001</v>
      </c>
      <c r="E20" s="15">
        <f>Estimates_on_the_use_of_water__2020__a_3712[[#This Row],[pop_n]]/1000</f>
        <v>4.8865001679999999E-2</v>
      </c>
      <c r="F20" s="15">
        <f>Estimates_on_the_use_of_water__2020__a_3712[[#This Row],[pop_n (m)]]*1000000</f>
        <v>48865.001680000001</v>
      </c>
      <c r="G20" s="14">
        <f>ROUND(Estimates_on_the_use_of_water__2020__a_3712[[#This Row],[pop_n (m)]],3)</f>
        <v>4.9000000000000002E-2</v>
      </c>
      <c r="H20" s="14">
        <f>ROUNDUP(Estimates_on_the_use_of_water__2020__a_3712[[#This Row],[pop_n (m)]],3)</f>
        <v>4.9000000000000002E-2</v>
      </c>
      <c r="I20" s="9" t="s">
        <v>61</v>
      </c>
      <c r="J20" s="1">
        <v>0.42397998809999998</v>
      </c>
      <c r="K20" s="2">
        <v>20717.782830792879</v>
      </c>
      <c r="L20" s="1">
        <v>20.717782830792878</v>
      </c>
      <c r="M20" s="2">
        <v>57.602001190000003</v>
      </c>
      <c r="N20" s="18" t="s">
        <v>15</v>
      </c>
      <c r="O20" s="19">
        <v>0</v>
      </c>
      <c r="P20" s="20" t="s">
        <v>2</v>
      </c>
      <c r="Q20" s="20">
        <f>ROUND(Estimates_on_the_use_of_water__2020__a_3712[[#This Row],[wat_unimp_n]],2)</f>
        <v>0</v>
      </c>
      <c r="R20" s="20" t="s">
        <v>2</v>
      </c>
      <c r="S20">
        <f>ROUND(Estimates_on_the_use_of_water__2020__a_3712[[#This Row],[wat_sur_n]],2)</f>
        <v>0</v>
      </c>
      <c r="T20">
        <v>0</v>
      </c>
      <c r="U20">
        <v>0</v>
      </c>
      <c r="V20">
        <v>0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>
        <f>COUNTA(Estimates_on_the_use_of_water__2020__a_3712[[#This Row],[name]:[wat_sur_u]])</f>
        <v>27</v>
      </c>
      <c r="AC20">
        <f>COUNT(Estimates_on_the_use_of_water__2020__a_3712[[#This Row],[name]:[wat_sur_u]])</f>
        <v>16</v>
      </c>
    </row>
    <row r="21" spans="1:29" x14ac:dyDescent="0.25">
      <c r="A21" t="s">
        <v>62</v>
      </c>
      <c r="B21" t="s">
        <v>34</v>
      </c>
      <c r="C21">
        <v>55.196998600000001</v>
      </c>
      <c r="D21" s="3">
        <f>Estimates_on_the_use_of_water__2020__a_3712[[#This Row],[pop_n]]*1000</f>
        <v>55196.998599999999</v>
      </c>
      <c r="E21" s="15">
        <f>Estimates_on_the_use_of_water__2020__a_3712[[#This Row],[pop_n]]/1000</f>
        <v>5.5196998599999998E-2</v>
      </c>
      <c r="F21" s="15">
        <f>Estimates_on_the_use_of_water__2020__a_3712[[#This Row],[pop_n (m)]]*1000000</f>
        <v>55196.998599999999</v>
      </c>
      <c r="G21" s="14">
        <f>ROUND(Estimates_on_the_use_of_water__2020__a_3712[[#This Row],[pop_n (m)]],3)</f>
        <v>5.5E-2</v>
      </c>
      <c r="H21" s="14">
        <f>ROUNDUP(Estimates_on_the_use_of_water__2020__a_3712[[#This Row],[pop_n (m)]],3)</f>
        <v>5.6000000000000001E-2</v>
      </c>
      <c r="I21" s="9" t="s">
        <v>63</v>
      </c>
      <c r="J21" s="1">
        <v>0.87152999879999993</v>
      </c>
      <c r="K21" s="2">
        <v>48105.840123621594</v>
      </c>
      <c r="L21" s="1">
        <v>48.105840123621597</v>
      </c>
      <c r="M21" s="2">
        <v>12.847000120000004</v>
      </c>
      <c r="N21" s="18" t="s">
        <v>64</v>
      </c>
      <c r="O21" s="19">
        <v>0</v>
      </c>
      <c r="P21" s="20" t="s">
        <v>65</v>
      </c>
      <c r="Q21" s="20">
        <f>ROUND(Estimates_on_the_use_of_water__2020__a_3712[[#This Row],[wat_unimp_n]],2)</f>
        <v>0.23</v>
      </c>
      <c r="R21" s="20" t="s">
        <v>2</v>
      </c>
      <c r="S21">
        <f>ROUND(Estimates_on_the_use_of_water__2020__a_3712[[#This Row],[wat_sur_n]],2)</f>
        <v>0</v>
      </c>
      <c r="T21">
        <v>0</v>
      </c>
      <c r="U21">
        <v>0</v>
      </c>
      <c r="V21">
        <v>0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>
        <f>COUNTA(Estimates_on_the_use_of_water__2020__a_3712[[#This Row],[name]:[wat_sur_u]])</f>
        <v>27</v>
      </c>
      <c r="AC21">
        <f>COUNT(Estimates_on_the_use_of_water__2020__a_3712[[#This Row],[name]:[wat_sur_u]])</f>
        <v>16</v>
      </c>
    </row>
    <row r="22" spans="1:29" x14ac:dyDescent="0.25">
      <c r="A22" t="s">
        <v>66</v>
      </c>
      <c r="B22" t="s">
        <v>29</v>
      </c>
      <c r="C22">
        <v>56.771999360000002</v>
      </c>
      <c r="D22" s="3">
        <f>Estimates_on_the_use_of_water__2020__a_3712[[#This Row],[pop_n]]*1000</f>
        <v>56771.999360000002</v>
      </c>
      <c r="E22" s="15">
        <f>Estimates_on_the_use_of_water__2020__a_3712[[#This Row],[pop_n]]/1000</f>
        <v>5.6771999360000006E-2</v>
      </c>
      <c r="F22" s="15">
        <f>Estimates_on_the_use_of_water__2020__a_3712[[#This Row],[pop_n (m)]]*1000000</f>
        <v>56771.999360000009</v>
      </c>
      <c r="G22" s="14">
        <f>ROUND(Estimates_on_the_use_of_water__2020__a_3712[[#This Row],[pop_n (m)]],3)</f>
        <v>5.7000000000000002E-2</v>
      </c>
      <c r="H22" s="14">
        <f>ROUNDUP(Estimates_on_the_use_of_water__2020__a_3712[[#This Row],[pop_n (m)]],3)</f>
        <v>5.7000000000000002E-2</v>
      </c>
      <c r="I22" s="9" t="s">
        <v>67</v>
      </c>
      <c r="J22" s="1">
        <v>0.87282005309999999</v>
      </c>
      <c r="K22" s="2">
        <v>49551.739495988368</v>
      </c>
      <c r="L22" s="1">
        <v>49.551739495988365</v>
      </c>
      <c r="M22" s="2">
        <v>12.717994689999998</v>
      </c>
      <c r="N22" s="18" t="s">
        <v>68</v>
      </c>
      <c r="O22" s="19">
        <v>0</v>
      </c>
      <c r="P22" s="20" t="s">
        <v>2</v>
      </c>
      <c r="Q22" s="20">
        <f>ROUND(Estimates_on_the_use_of_water__2020__a_3712[[#This Row],[wat_unimp_n]],2)</f>
        <v>0</v>
      </c>
      <c r="R22" s="20" t="s">
        <v>2</v>
      </c>
      <c r="S22">
        <f>ROUND(Estimates_on_the_use_of_water__2020__a_3712[[#This Row],[wat_sur_n]],2)</f>
        <v>0</v>
      </c>
      <c r="T22" t="s">
        <v>15</v>
      </c>
      <c r="U22" t="s">
        <v>2</v>
      </c>
      <c r="V22" t="s">
        <v>2</v>
      </c>
      <c r="W22" t="s">
        <v>2</v>
      </c>
      <c r="X22" t="s">
        <v>15</v>
      </c>
      <c r="Y22" t="s">
        <v>2</v>
      </c>
      <c r="Z22" t="s">
        <v>2</v>
      </c>
      <c r="AA22" t="s">
        <v>2</v>
      </c>
      <c r="AB22">
        <f>COUNTA(Estimates_on_the_use_of_water__2020__a_3712[[#This Row],[name]:[wat_sur_u]])</f>
        <v>27</v>
      </c>
      <c r="AC22">
        <f>COUNT(Estimates_on_the_use_of_water__2020__a_3712[[#This Row],[name]:[wat_sur_u]])</f>
        <v>13</v>
      </c>
    </row>
    <row r="23" spans="1:29" x14ac:dyDescent="0.25">
      <c r="A23" t="s">
        <v>69</v>
      </c>
      <c r="B23" t="s">
        <v>29</v>
      </c>
      <c r="C23">
        <v>57.556999210000001</v>
      </c>
      <c r="D23" s="3">
        <f>Estimates_on_the_use_of_water__2020__a_3712[[#This Row],[pop_n]]*1000</f>
        <v>57556.999210000002</v>
      </c>
      <c r="E23" s="15">
        <f>Estimates_on_the_use_of_water__2020__a_3712[[#This Row],[pop_n]]/1000</f>
        <v>5.7556999210000001E-2</v>
      </c>
      <c r="F23" s="15">
        <f>Estimates_on_the_use_of_water__2020__a_3712[[#This Row],[pop_n (m)]]*1000000</f>
        <v>57556.999210000002</v>
      </c>
      <c r="G23" s="14">
        <f>ROUND(Estimates_on_the_use_of_water__2020__a_3712[[#This Row],[pop_n (m)]],3)</f>
        <v>5.8000000000000003E-2</v>
      </c>
      <c r="H23" s="14">
        <f>ROUNDUP(Estimates_on_the_use_of_water__2020__a_3712[[#This Row],[pop_n (m)]],3)</f>
        <v>5.8000000000000003E-2</v>
      </c>
      <c r="I23" s="9" t="s">
        <v>70</v>
      </c>
      <c r="J23" s="1">
        <v>0.91797996520000003</v>
      </c>
      <c r="K23" s="2">
        <v>52836.172131812229</v>
      </c>
      <c r="L23" s="1">
        <v>52.836172131812226</v>
      </c>
      <c r="M23" s="2">
        <v>8.2020034800000019</v>
      </c>
      <c r="N23" s="18" t="s">
        <v>15</v>
      </c>
      <c r="O23" s="19">
        <v>0</v>
      </c>
      <c r="P23" s="20" t="s">
        <v>2</v>
      </c>
      <c r="Q23" s="20">
        <f>ROUND(Estimates_on_the_use_of_water__2020__a_3712[[#This Row],[wat_unimp_n]],2)</f>
        <v>0</v>
      </c>
      <c r="R23" s="20" t="s">
        <v>2</v>
      </c>
      <c r="S23">
        <f>ROUND(Estimates_on_the_use_of_water__2020__a_3712[[#This Row],[wat_sur_n]],2)</f>
        <v>0</v>
      </c>
      <c r="T23">
        <v>0</v>
      </c>
      <c r="U23">
        <v>0</v>
      </c>
      <c r="V23">
        <v>0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>
        <f>COUNTA(Estimates_on_the_use_of_water__2020__a_3712[[#This Row],[name]:[wat_sur_u]])</f>
        <v>27</v>
      </c>
      <c r="AC23">
        <f>COUNT(Estimates_on_the_use_of_water__2020__a_3712[[#This Row],[name]:[wat_sur_u]])</f>
        <v>16</v>
      </c>
    </row>
    <row r="24" spans="1:29" x14ac:dyDescent="0.25">
      <c r="A24" t="s">
        <v>71</v>
      </c>
      <c r="B24" t="s">
        <v>72</v>
      </c>
      <c r="C24">
        <v>77.793991090000006</v>
      </c>
      <c r="D24" s="3">
        <f>Estimates_on_the_use_of_water__2020__a_3712[[#This Row],[pop_n]]*1000</f>
        <v>77793.99109000001</v>
      </c>
      <c r="E24" s="15">
        <f>Estimates_on_the_use_of_water__2020__a_3712[[#This Row],[pop_n]]/1000</f>
        <v>7.779399109E-2</v>
      </c>
      <c r="F24" s="15">
        <f>Estimates_on_the_use_of_water__2020__a_3712[[#This Row],[pop_n (m)]]*1000000</f>
        <v>77793.991089999996</v>
      </c>
      <c r="G24" s="14">
        <f>ROUND(Estimates_on_the_use_of_water__2020__a_3712[[#This Row],[pop_n (m)]],3)</f>
        <v>7.8E-2</v>
      </c>
      <c r="H24" s="14">
        <f>ROUNDUP(Estimates_on_the_use_of_water__2020__a_3712[[#This Row],[pop_n (m)]],3)</f>
        <v>7.8E-2</v>
      </c>
      <c r="I24" s="9" t="s">
        <v>73</v>
      </c>
      <c r="J24" s="1">
        <v>0.88572046979999997</v>
      </c>
      <c r="K24" s="2">
        <v>68903.730335851826</v>
      </c>
      <c r="L24" s="1">
        <v>68.903730335851819</v>
      </c>
      <c r="M24" s="2">
        <v>11.427953020000004</v>
      </c>
      <c r="N24" s="18" t="s">
        <v>74</v>
      </c>
      <c r="O24" s="19">
        <v>0.04</v>
      </c>
      <c r="P24" s="20" t="s">
        <v>2</v>
      </c>
      <c r="Q24" s="20">
        <f>ROUND(Estimates_on_the_use_of_water__2020__a_3712[[#This Row],[wat_unimp_n]],2)</f>
        <v>0</v>
      </c>
      <c r="R24" s="20" t="s">
        <v>75</v>
      </c>
      <c r="S24">
        <f>ROUND(Estimates_on_the_use_of_water__2020__a_3712[[#This Row],[wat_sur_n]],2)</f>
        <v>94.43</v>
      </c>
      <c r="T24" t="s">
        <v>76</v>
      </c>
      <c r="U24" t="s">
        <v>77</v>
      </c>
      <c r="V24" t="s">
        <v>2</v>
      </c>
      <c r="W24" t="s">
        <v>78</v>
      </c>
      <c r="X24" t="s">
        <v>79</v>
      </c>
      <c r="Y24" t="s">
        <v>2</v>
      </c>
      <c r="Z24" t="s">
        <v>2</v>
      </c>
      <c r="AA24" t="s">
        <v>80</v>
      </c>
      <c r="AB24">
        <f>COUNTA(Estimates_on_the_use_of_water__2020__a_3712[[#This Row],[name]:[wat_sur_u]])</f>
        <v>27</v>
      </c>
      <c r="AC24">
        <f>COUNT(Estimates_on_the_use_of_water__2020__a_3712[[#This Row],[name]:[wat_sur_u]])</f>
        <v>13</v>
      </c>
    </row>
    <row r="25" spans="1:29" x14ac:dyDescent="0.25">
      <c r="A25" t="s">
        <v>81</v>
      </c>
      <c r="B25" t="s">
        <v>29</v>
      </c>
      <c r="C25">
        <v>62.272998809999997</v>
      </c>
      <c r="D25" s="3">
        <f>Estimates_on_the_use_of_water__2020__a_3712[[#This Row],[pop_n]]*1000</f>
        <v>62272.998809999997</v>
      </c>
      <c r="E25" s="15">
        <f>Estimates_on_the_use_of_water__2020__a_3712[[#This Row],[pop_n]]/1000</f>
        <v>6.2272998809999994E-2</v>
      </c>
      <c r="F25" s="15">
        <f>Estimates_on_the_use_of_water__2020__a_3712[[#This Row],[pop_n (m)]]*1000000</f>
        <v>62272.998809999997</v>
      </c>
      <c r="G25" s="14">
        <f>ROUND(Estimates_on_the_use_of_water__2020__a_3712[[#This Row],[pop_n (m)]],3)</f>
        <v>6.2E-2</v>
      </c>
      <c r="H25" s="14">
        <f>ROUNDUP(Estimates_on_the_use_of_water__2020__a_3712[[#This Row],[pop_n (m)]],3)</f>
        <v>6.3E-2</v>
      </c>
      <c r="I25" s="9" t="s">
        <v>15</v>
      </c>
      <c r="J25" s="1">
        <v>1</v>
      </c>
      <c r="K25" s="2">
        <v>62272.998809999997</v>
      </c>
      <c r="L25" s="1">
        <v>62.272998809999997</v>
      </c>
      <c r="M25" s="2">
        <v>0</v>
      </c>
      <c r="N25" s="18" t="s">
        <v>82</v>
      </c>
      <c r="O25" s="19">
        <v>0</v>
      </c>
      <c r="P25" s="20" t="s">
        <v>83</v>
      </c>
      <c r="Q25" s="20">
        <f>ROUND(Estimates_on_the_use_of_water__2020__a_3712[[#This Row],[wat_unimp_n]],2)</f>
        <v>0.1</v>
      </c>
      <c r="R25" s="20" t="s">
        <v>2</v>
      </c>
      <c r="S25">
        <f>ROUND(Estimates_on_the_use_of_water__2020__a_3712[[#This Row],[wat_sur_n]],2)</f>
        <v>0</v>
      </c>
      <c r="T25">
        <v>0</v>
      </c>
      <c r="U25">
        <v>0</v>
      </c>
      <c r="V25">
        <v>0</v>
      </c>
      <c r="W25" t="s">
        <v>1</v>
      </c>
      <c r="X25" t="s">
        <v>82</v>
      </c>
      <c r="Y25" t="s">
        <v>2</v>
      </c>
      <c r="Z25" t="s">
        <v>83</v>
      </c>
      <c r="AA25" t="s">
        <v>2</v>
      </c>
      <c r="AB25">
        <f>COUNTA(Estimates_on_the_use_of_water__2020__a_3712[[#This Row],[name]:[wat_sur_u]])</f>
        <v>27</v>
      </c>
      <c r="AC25">
        <f>COUNT(Estimates_on_the_use_of_water__2020__a_3712[[#This Row],[name]:[wat_sur_u]])</f>
        <v>16</v>
      </c>
    </row>
    <row r="26" spans="1:29" x14ac:dyDescent="0.25">
      <c r="A26" t="s">
        <v>84</v>
      </c>
      <c r="B26" t="s">
        <v>29</v>
      </c>
      <c r="C26">
        <v>77.26499939</v>
      </c>
      <c r="D26" s="3">
        <f>Estimates_on_the_use_of_water__2020__a_3712[[#This Row],[pop_n]]*1000</f>
        <v>77264.999389999997</v>
      </c>
      <c r="E26" s="15">
        <f>Estimates_on_the_use_of_water__2020__a_3712[[#This Row],[pop_n]]/1000</f>
        <v>7.7264999390000005E-2</v>
      </c>
      <c r="F26" s="15">
        <f>Estimates_on_the_use_of_water__2020__a_3712[[#This Row],[pop_n (m)]]*1000000</f>
        <v>77264.999390000012</v>
      </c>
      <c r="G26" s="14">
        <f>ROUND(Estimates_on_the_use_of_water__2020__a_3712[[#This Row],[pop_n (m)]],3)</f>
        <v>7.6999999999999999E-2</v>
      </c>
      <c r="H26" s="14">
        <f>ROUNDUP(Estimates_on_the_use_of_water__2020__a_3712[[#This Row],[pop_n (m)]],3)</f>
        <v>7.8E-2</v>
      </c>
      <c r="I26" s="9" t="s">
        <v>85</v>
      </c>
      <c r="J26" s="1">
        <v>0.87916000370000003</v>
      </c>
      <c r="K26" s="2">
        <v>67928.297149592894</v>
      </c>
      <c r="L26" s="1">
        <v>67.928297149592893</v>
      </c>
      <c r="M26" s="2">
        <v>12.083999629999994</v>
      </c>
      <c r="N26" s="18" t="s">
        <v>86</v>
      </c>
      <c r="O26" s="19">
        <v>0</v>
      </c>
      <c r="P26" s="20" t="s">
        <v>2</v>
      </c>
      <c r="Q26" s="20">
        <f>ROUND(Estimates_on_the_use_of_water__2020__a_3712[[#This Row],[wat_unimp_n]],2)</f>
        <v>0</v>
      </c>
      <c r="R26" s="20" t="s">
        <v>2</v>
      </c>
      <c r="S26">
        <f>ROUND(Estimates_on_the_use_of_water__2020__a_3712[[#This Row],[wat_sur_n]],2)</f>
        <v>0</v>
      </c>
      <c r="T26" t="s">
        <v>15</v>
      </c>
      <c r="U26" t="s">
        <v>2</v>
      </c>
      <c r="V26" t="s">
        <v>2</v>
      </c>
      <c r="W26" t="s">
        <v>2</v>
      </c>
      <c r="X26" t="s">
        <v>15</v>
      </c>
      <c r="Y26" t="s">
        <v>2</v>
      </c>
      <c r="Z26" t="s">
        <v>2</v>
      </c>
      <c r="AA26" t="s">
        <v>2</v>
      </c>
      <c r="AB26">
        <f>COUNTA(Estimates_on_the_use_of_water__2020__a_3712[[#This Row],[name]:[wat_sur_u]])</f>
        <v>27</v>
      </c>
      <c r="AC26">
        <f>COUNT(Estimates_on_the_use_of_water__2020__a_3712[[#This Row],[name]:[wat_sur_u]])</f>
        <v>13</v>
      </c>
    </row>
    <row r="27" spans="1:29" x14ac:dyDescent="0.25">
      <c r="A27" t="s">
        <v>87</v>
      </c>
      <c r="B27" t="s">
        <v>29</v>
      </c>
      <c r="C27">
        <v>85.031997680000003</v>
      </c>
      <c r="D27" s="3">
        <f>Estimates_on_the_use_of_water__2020__a_3712[[#This Row],[pop_n]]*1000</f>
        <v>85031.99768</v>
      </c>
      <c r="E27" s="15">
        <f>Estimates_on_the_use_of_water__2020__a_3712[[#This Row],[pop_n]]/1000</f>
        <v>8.5031997679999999E-2</v>
      </c>
      <c r="F27" s="15">
        <f>Estimates_on_the_use_of_water__2020__a_3712[[#This Row],[pop_n (m)]]*1000000</f>
        <v>85031.99768</v>
      </c>
      <c r="G27" s="14">
        <f>ROUND(Estimates_on_the_use_of_water__2020__a_3712[[#This Row],[pop_n (m)]],3)</f>
        <v>8.5000000000000006E-2</v>
      </c>
      <c r="H27" s="14">
        <f>ROUNDUP(Estimates_on_the_use_of_water__2020__a_3712[[#This Row],[pop_n (m)]],3)</f>
        <v>8.6000000000000007E-2</v>
      </c>
      <c r="I27" s="9" t="s">
        <v>88</v>
      </c>
      <c r="J27" s="1">
        <v>0.52898002619999995</v>
      </c>
      <c r="K27" s="2">
        <v>44980.228360604735</v>
      </c>
      <c r="L27" s="1">
        <v>44.980228360604734</v>
      </c>
      <c r="M27" s="2">
        <v>47.10199738</v>
      </c>
      <c r="N27" s="18" t="s">
        <v>89</v>
      </c>
      <c r="O27" s="19">
        <v>0</v>
      </c>
      <c r="P27" s="20" t="s">
        <v>90</v>
      </c>
      <c r="Q27" s="20">
        <f>ROUND(Estimates_on_the_use_of_water__2020__a_3712[[#This Row],[wat_unimp_n]],2)</f>
        <v>0.93</v>
      </c>
      <c r="R27" s="20" t="s">
        <v>2</v>
      </c>
      <c r="S27">
        <f>ROUND(Estimates_on_the_use_of_water__2020__a_3712[[#This Row],[wat_sur_n]],2)</f>
        <v>0</v>
      </c>
      <c r="T27">
        <v>0</v>
      </c>
      <c r="U27">
        <v>0</v>
      </c>
      <c r="V27">
        <v>0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>
        <f>COUNTA(Estimates_on_the_use_of_water__2020__a_3712[[#This Row],[name]:[wat_sur_u]])</f>
        <v>27</v>
      </c>
      <c r="AC27">
        <f>COUNT(Estimates_on_the_use_of_water__2020__a_3712[[#This Row],[name]:[wat_sur_u]])</f>
        <v>16</v>
      </c>
    </row>
    <row r="28" spans="1:29" x14ac:dyDescent="0.25">
      <c r="A28" t="s">
        <v>91</v>
      </c>
      <c r="B28" t="s">
        <v>29</v>
      </c>
      <c r="C28">
        <v>104.4229965</v>
      </c>
      <c r="D28" s="3">
        <f>Estimates_on_the_use_of_water__2020__a_3712[[#This Row],[pop_n]]*1000</f>
        <v>104422.99649999999</v>
      </c>
      <c r="E28" s="15">
        <f>Estimates_on_the_use_of_water__2020__a_3712[[#This Row],[pop_n]]/1000</f>
        <v>0.10442299649999999</v>
      </c>
      <c r="F28" s="15">
        <f>Estimates_on_the_use_of_water__2020__a_3712[[#This Row],[pop_n (m)]]*1000000</f>
        <v>104422.99649999999</v>
      </c>
      <c r="G28" s="14">
        <f>ROUND(Estimates_on_the_use_of_water__2020__a_3712[[#This Row],[pop_n (m)]],3)</f>
        <v>0.104</v>
      </c>
      <c r="H28" s="14">
        <f>ROUNDUP(Estimates_on_the_use_of_water__2020__a_3712[[#This Row],[pop_n (m)]],3)</f>
        <v>0.105</v>
      </c>
      <c r="I28" s="9" t="s">
        <v>92</v>
      </c>
      <c r="J28" s="1">
        <v>0.95939002990000011</v>
      </c>
      <c r="K28" s="2">
        <v>100182.38173438259</v>
      </c>
      <c r="L28" s="1">
        <v>100.1823817343826</v>
      </c>
      <c r="M28" s="2">
        <v>4.0609970099999941</v>
      </c>
      <c r="N28" s="18" t="s">
        <v>93</v>
      </c>
      <c r="O28" s="19">
        <v>0</v>
      </c>
      <c r="P28" s="20" t="s">
        <v>94</v>
      </c>
      <c r="Q28" s="20">
        <f>ROUND(Estimates_on_the_use_of_water__2020__a_3712[[#This Row],[wat_unimp_n]],2)</f>
        <v>1.28</v>
      </c>
      <c r="R28" s="20" t="s">
        <v>2</v>
      </c>
      <c r="S28">
        <f>ROUND(Estimates_on_the_use_of_water__2020__a_3712[[#This Row],[wat_sur_n]],2)</f>
        <v>0</v>
      </c>
      <c r="T28">
        <v>0</v>
      </c>
      <c r="U28">
        <v>0</v>
      </c>
      <c r="V28">
        <v>0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>
        <f>COUNTA(Estimates_on_the_use_of_water__2020__a_3712[[#This Row],[name]:[wat_sur_u]])</f>
        <v>27</v>
      </c>
      <c r="AC28">
        <f>COUNT(Estimates_on_the_use_of_water__2020__a_3712[[#This Row],[name]:[wat_sur_u]])</f>
        <v>16</v>
      </c>
    </row>
    <row r="29" spans="1:29" x14ac:dyDescent="0.25">
      <c r="A29" t="s">
        <v>95</v>
      </c>
      <c r="B29" t="s">
        <v>34</v>
      </c>
      <c r="C29">
        <v>105.6969986</v>
      </c>
      <c r="D29" s="3">
        <f>Estimates_on_the_use_of_water__2020__a_3712[[#This Row],[pop_n]]*1000</f>
        <v>105696.99860000001</v>
      </c>
      <c r="E29" s="15">
        <f>Estimates_on_the_use_of_water__2020__a_3712[[#This Row],[pop_n]]/1000</f>
        <v>0.10569699859999999</v>
      </c>
      <c r="F29" s="15">
        <f>Estimates_on_the_use_of_water__2020__a_3712[[#This Row],[pop_n (m)]]*1000000</f>
        <v>105696.99859999999</v>
      </c>
      <c r="G29" s="14">
        <f>ROUND(Estimates_on_the_use_of_water__2020__a_3712[[#This Row],[pop_n (m)]],3)</f>
        <v>0.106</v>
      </c>
      <c r="H29" s="14">
        <f>ROUNDUP(Estimates_on_the_use_of_water__2020__a_3712[[#This Row],[pop_n (m)]],3)</f>
        <v>0.106</v>
      </c>
      <c r="I29" s="9" t="s">
        <v>96</v>
      </c>
      <c r="J29" s="1">
        <v>0.23098999019999999</v>
      </c>
      <c r="K29" s="2">
        <v>24414.948670783415</v>
      </c>
      <c r="L29" s="1">
        <v>24.414948670783414</v>
      </c>
      <c r="M29" s="2">
        <v>76.901000979999992</v>
      </c>
      <c r="N29" s="18" t="s">
        <v>97</v>
      </c>
      <c r="O29" s="19">
        <v>0.88</v>
      </c>
      <c r="P29" s="20" t="s">
        <v>98</v>
      </c>
      <c r="Q29" s="20">
        <f>ROUND(Estimates_on_the_use_of_water__2020__a_3712[[#This Row],[wat_unimp_n]],2)</f>
        <v>0.39</v>
      </c>
      <c r="R29" s="20" t="s">
        <v>2</v>
      </c>
      <c r="S29">
        <f>ROUND(Estimates_on_the_use_of_water__2020__a_3712[[#This Row],[wat_sur_n]],2)</f>
        <v>0</v>
      </c>
      <c r="T29" t="s">
        <v>99</v>
      </c>
      <c r="U29" t="s">
        <v>100</v>
      </c>
      <c r="V29" t="s">
        <v>101</v>
      </c>
      <c r="W29" t="s">
        <v>102</v>
      </c>
      <c r="X29" t="s">
        <v>103</v>
      </c>
      <c r="Y29" t="s">
        <v>104</v>
      </c>
      <c r="Z29" t="s">
        <v>2</v>
      </c>
      <c r="AA29" t="s">
        <v>80</v>
      </c>
      <c r="AB29">
        <f>COUNTA(Estimates_on_the_use_of_water__2020__a_3712[[#This Row],[name]:[wat_sur_u]])</f>
        <v>27</v>
      </c>
      <c r="AC29">
        <f>COUNT(Estimates_on_the_use_of_water__2020__a_3712[[#This Row],[name]:[wat_sur_u]])</f>
        <v>13</v>
      </c>
    </row>
    <row r="30" spans="1:29" x14ac:dyDescent="0.25">
      <c r="A30" t="s">
        <v>105</v>
      </c>
      <c r="B30" t="s">
        <v>106</v>
      </c>
      <c r="C30">
        <v>119.44599909999999</v>
      </c>
      <c r="D30" s="3">
        <f>Estimates_on_the_use_of_water__2020__a_3712[[#This Row],[pop_n]]*1000</f>
        <v>119445.9991</v>
      </c>
      <c r="E30" s="15">
        <f>Estimates_on_the_use_of_water__2020__a_3712[[#This Row],[pop_n]]/1000</f>
        <v>0.11944599909999999</v>
      </c>
      <c r="F30" s="15">
        <f>Estimates_on_the_use_of_water__2020__a_3712[[#This Row],[pop_n (m)]]*1000000</f>
        <v>119445.99909999999</v>
      </c>
      <c r="G30" s="14">
        <f>ROUND(Estimates_on_the_use_of_water__2020__a_3712[[#This Row],[pop_n (m)]],3)</f>
        <v>0.11899999999999999</v>
      </c>
      <c r="H30" s="14">
        <f>ROUNDUP(Estimates_on_the_use_of_water__2020__a_3712[[#This Row],[pop_n (m)]],3)</f>
        <v>0.12</v>
      </c>
      <c r="I30" s="9" t="s">
        <v>107</v>
      </c>
      <c r="J30" s="1">
        <v>0.55593997960000008</v>
      </c>
      <c r="K30" s="2">
        <v>66404.806302955622</v>
      </c>
      <c r="L30" s="1">
        <v>66.40480630295562</v>
      </c>
      <c r="M30" s="2">
        <v>44.406002039999997</v>
      </c>
      <c r="N30" s="18" t="s">
        <v>108</v>
      </c>
      <c r="O30" s="19">
        <v>4.08</v>
      </c>
      <c r="P30" s="20" t="s">
        <v>109</v>
      </c>
      <c r="Q30" s="20">
        <f>ROUND(Estimates_on_the_use_of_water__2020__a_3712[[#This Row],[wat_unimp_n]],2)</f>
        <v>17.95</v>
      </c>
      <c r="R30" s="20" t="s">
        <v>2</v>
      </c>
      <c r="S30">
        <f>ROUND(Estimates_on_the_use_of_water__2020__a_3712[[#This Row],[wat_sur_n]],2)</f>
        <v>0</v>
      </c>
      <c r="T30" t="s">
        <v>110</v>
      </c>
      <c r="U30" t="s">
        <v>111</v>
      </c>
      <c r="V30" t="s">
        <v>112</v>
      </c>
      <c r="W30" t="s">
        <v>2</v>
      </c>
      <c r="X30" t="s">
        <v>113</v>
      </c>
      <c r="Y30" t="s">
        <v>114</v>
      </c>
      <c r="Z30" t="s">
        <v>115</v>
      </c>
      <c r="AA30" t="s">
        <v>2</v>
      </c>
      <c r="AB30">
        <f>COUNTA(Estimates_on_the_use_of_water__2020__a_3712[[#This Row],[name]:[wat_sur_u]])</f>
        <v>27</v>
      </c>
      <c r="AC30">
        <f>COUNT(Estimates_on_the_use_of_water__2020__a_3712[[#This Row],[name]:[wat_sur_u]])</f>
        <v>13</v>
      </c>
    </row>
    <row r="31" spans="1:29" x14ac:dyDescent="0.25">
      <c r="A31" t="s">
        <v>116</v>
      </c>
      <c r="B31" t="s">
        <v>29</v>
      </c>
      <c r="C31">
        <v>168.78300479999999</v>
      </c>
      <c r="D31" s="3">
        <f>Estimates_on_the_use_of_water__2020__a_3712[[#This Row],[pop_n]]*1000</f>
        <v>168783.0048</v>
      </c>
      <c r="E31" s="15">
        <f>Estimates_on_the_use_of_water__2020__a_3712[[#This Row],[pop_n]]/1000</f>
        <v>0.1687830048</v>
      </c>
      <c r="F31" s="15">
        <f>Estimates_on_the_use_of_water__2020__a_3712[[#This Row],[pop_n (m)]]*1000000</f>
        <v>168783.0048</v>
      </c>
      <c r="G31" s="14">
        <f>ROUND(Estimates_on_the_use_of_water__2020__a_3712[[#This Row],[pop_n (m)]],3)</f>
        <v>0.16900000000000001</v>
      </c>
      <c r="H31" s="14">
        <f>ROUNDUP(Estimates_on_the_use_of_water__2020__a_3712[[#This Row],[pop_n (m)]],3)</f>
        <v>0.16900000000000001</v>
      </c>
      <c r="I31" s="9" t="s">
        <v>117</v>
      </c>
      <c r="J31" s="1">
        <v>0.94938003539999993</v>
      </c>
      <c r="K31" s="2">
        <v>160239.21507194237</v>
      </c>
      <c r="L31" s="1">
        <v>160.23921507194234</v>
      </c>
      <c r="M31" s="2">
        <v>5.0619964600000031</v>
      </c>
      <c r="N31" s="18" t="s">
        <v>118</v>
      </c>
      <c r="O31" s="19">
        <v>0</v>
      </c>
      <c r="P31" s="20" t="s">
        <v>119</v>
      </c>
      <c r="Q31" s="20">
        <f>ROUND(Estimates_on_the_use_of_water__2020__a_3712[[#This Row],[wat_unimp_n]],2)</f>
        <v>0.3</v>
      </c>
      <c r="R31" s="20" t="s">
        <v>2</v>
      </c>
      <c r="S31">
        <f>ROUND(Estimates_on_the_use_of_water__2020__a_3712[[#This Row],[wat_sur_n]],2)</f>
        <v>0</v>
      </c>
      <c r="T31">
        <v>0</v>
      </c>
      <c r="U31">
        <v>0</v>
      </c>
      <c r="V31">
        <v>0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>
        <f>COUNTA(Estimates_on_the_use_of_water__2020__a_3712[[#This Row],[name]:[wat_sur_u]])</f>
        <v>27</v>
      </c>
      <c r="AC31">
        <f>COUNT(Estimates_on_the_use_of_water__2020__a_3712[[#This Row],[name]:[wat_sur_u]])</f>
        <v>16</v>
      </c>
    </row>
    <row r="32" spans="1:29" x14ac:dyDescent="0.25">
      <c r="A32" t="s">
        <v>120</v>
      </c>
      <c r="B32" t="s">
        <v>34</v>
      </c>
      <c r="C32">
        <v>183.62899780000001</v>
      </c>
      <c r="D32" s="3">
        <f>Estimates_on_the_use_of_water__2020__a_3712[[#This Row],[pop_n]]*1000</f>
        <v>183628.99780000001</v>
      </c>
      <c r="E32" s="15">
        <f>Estimates_on_the_use_of_water__2020__a_3712[[#This Row],[pop_n]]/1000</f>
        <v>0.1836289978</v>
      </c>
      <c r="F32" s="15">
        <f>Estimates_on_the_use_of_water__2020__a_3712[[#This Row],[pop_n (m)]]*1000000</f>
        <v>183628.99780000001</v>
      </c>
      <c r="G32" s="14">
        <f>ROUND(Estimates_on_the_use_of_water__2020__a_3712[[#This Row],[pop_n (m)]],3)</f>
        <v>0.184</v>
      </c>
      <c r="H32" s="14">
        <f>ROUNDUP(Estimates_on_the_use_of_water__2020__a_3712[[#This Row],[pop_n (m)]],3)</f>
        <v>0.184</v>
      </c>
      <c r="I32" s="9" t="s">
        <v>121</v>
      </c>
      <c r="J32" s="1">
        <v>0.188409996</v>
      </c>
      <c r="K32" s="2">
        <v>34597.53874098201</v>
      </c>
      <c r="L32" s="1">
        <v>34.59753874098201</v>
      </c>
      <c r="M32" s="2">
        <v>81.159000399999996</v>
      </c>
      <c r="N32" s="18" t="s">
        <v>122</v>
      </c>
      <c r="O32" s="19">
        <v>1.82</v>
      </c>
      <c r="P32" s="20" t="s">
        <v>123</v>
      </c>
      <c r="Q32" s="20">
        <f>ROUND(Estimates_on_the_use_of_water__2020__a_3712[[#This Row],[wat_unimp_n]],2)</f>
        <v>1.3</v>
      </c>
      <c r="R32" s="20" t="s">
        <v>2</v>
      </c>
      <c r="S32">
        <f>ROUND(Estimates_on_the_use_of_water__2020__a_3712[[#This Row],[wat_sur_n]],2)</f>
        <v>0</v>
      </c>
      <c r="T32" t="s">
        <v>124</v>
      </c>
      <c r="U32" t="s">
        <v>125</v>
      </c>
      <c r="V32" t="s">
        <v>126</v>
      </c>
      <c r="W32" t="s">
        <v>2</v>
      </c>
      <c r="X32" t="s">
        <v>127</v>
      </c>
      <c r="Y32" t="s">
        <v>128</v>
      </c>
      <c r="Z32" t="s">
        <v>129</v>
      </c>
      <c r="AA32" t="s">
        <v>2</v>
      </c>
      <c r="AB32">
        <f>COUNTA(Estimates_on_the_use_of_water__2020__a_3712[[#This Row],[name]:[wat_sur_u]])</f>
        <v>27</v>
      </c>
      <c r="AC32">
        <f>COUNT(Estimates_on_the_use_of_water__2020__a_3712[[#This Row],[name]:[wat_sur_u]])</f>
        <v>13</v>
      </c>
    </row>
    <row r="33" spans="1:29" x14ac:dyDescent="0.25">
      <c r="A33" t="s">
        <v>130</v>
      </c>
      <c r="B33" t="s">
        <v>106</v>
      </c>
      <c r="C33">
        <v>198.4100037</v>
      </c>
      <c r="D33" s="3">
        <f>Estimates_on_the_use_of_water__2020__a_3712[[#This Row],[pop_n]]*1000</f>
        <v>198410.0037</v>
      </c>
      <c r="E33" s="15">
        <f>Estimates_on_the_use_of_water__2020__a_3712[[#This Row],[pop_n]]/1000</f>
        <v>0.1984100037</v>
      </c>
      <c r="F33" s="15">
        <f>Estimates_on_the_use_of_water__2020__a_3712[[#This Row],[pop_n (m)]]*1000000</f>
        <v>198410.0037</v>
      </c>
      <c r="G33" s="14">
        <f>ROUND(Estimates_on_the_use_of_water__2020__a_3712[[#This Row],[pop_n (m)]],3)</f>
        <v>0.19800000000000001</v>
      </c>
      <c r="H33" s="14">
        <f>ROUNDUP(Estimates_on_the_use_of_water__2020__a_3712[[#This Row],[pop_n (m)]],3)</f>
        <v>0.19900000000000001</v>
      </c>
      <c r="I33" s="9" t="s">
        <v>131</v>
      </c>
      <c r="J33" s="1">
        <v>0.17888999940000003</v>
      </c>
      <c r="K33" s="2">
        <v>35493.565442847001</v>
      </c>
      <c r="L33" s="1">
        <v>35.493565442847007</v>
      </c>
      <c r="M33" s="2">
        <v>82.111000059999995</v>
      </c>
      <c r="N33" s="18" t="s">
        <v>132</v>
      </c>
      <c r="O33" s="19">
        <v>6.52</v>
      </c>
      <c r="P33" s="20" t="s">
        <v>133</v>
      </c>
      <c r="Q33" s="20">
        <f>ROUND(Estimates_on_the_use_of_water__2020__a_3712[[#This Row],[wat_unimp_n]],2)</f>
        <v>1.42</v>
      </c>
      <c r="R33" s="20" t="s">
        <v>134</v>
      </c>
      <c r="S33">
        <f>ROUND(Estimates_on_the_use_of_water__2020__a_3712[[#This Row],[wat_sur_n]],2)</f>
        <v>0.22</v>
      </c>
      <c r="T33" t="s">
        <v>135</v>
      </c>
      <c r="U33" t="s">
        <v>136</v>
      </c>
      <c r="V33" t="s">
        <v>137</v>
      </c>
      <c r="W33" t="s">
        <v>138</v>
      </c>
      <c r="X33" t="s">
        <v>139</v>
      </c>
      <c r="Y33" t="s">
        <v>140</v>
      </c>
      <c r="Z33" t="s">
        <v>2</v>
      </c>
      <c r="AA33" t="s">
        <v>2</v>
      </c>
      <c r="AB33">
        <f>COUNTA(Estimates_on_the_use_of_water__2020__a_3712[[#This Row],[name]:[wat_sur_u]])</f>
        <v>27</v>
      </c>
      <c r="AC33">
        <f>COUNT(Estimates_on_the_use_of_water__2020__a_3712[[#This Row],[name]:[wat_sur_u]])</f>
        <v>13</v>
      </c>
    </row>
    <row r="34" spans="1:29" x14ac:dyDescent="0.25">
      <c r="A34" t="s">
        <v>141</v>
      </c>
      <c r="B34" t="s">
        <v>106</v>
      </c>
      <c r="C34">
        <v>219.16099550000001</v>
      </c>
      <c r="D34" s="3">
        <f>Estimates_on_the_use_of_water__2020__a_3712[[#This Row],[pop_n]]*1000</f>
        <v>219160.99550000002</v>
      </c>
      <c r="E34" s="15">
        <f>Estimates_on_the_use_of_water__2020__a_3712[[#This Row],[pop_n]]/1000</f>
        <v>0.21916099550000001</v>
      </c>
      <c r="F34" s="15">
        <f>Estimates_on_the_use_of_water__2020__a_3712[[#This Row],[pop_n (m)]]*1000000</f>
        <v>219160.99550000002</v>
      </c>
      <c r="G34" s="14">
        <f>ROUND(Estimates_on_the_use_of_water__2020__a_3712[[#This Row],[pop_n (m)]],3)</f>
        <v>0.219</v>
      </c>
      <c r="H34" s="14">
        <f>ROUNDUP(Estimates_on_the_use_of_water__2020__a_3712[[#This Row],[pop_n (m)]],3)</f>
        <v>0.22</v>
      </c>
      <c r="I34" s="9" t="s">
        <v>142</v>
      </c>
      <c r="J34" s="1">
        <v>0.74354003909999999</v>
      </c>
      <c r="K34" s="2">
        <v>162954.97516326493</v>
      </c>
      <c r="L34" s="1">
        <v>162.95497516326492</v>
      </c>
      <c r="M34" s="2">
        <v>25.645996089999997</v>
      </c>
      <c r="N34" s="18" t="s">
        <v>143</v>
      </c>
      <c r="O34" s="19">
        <v>20.239999999999998</v>
      </c>
      <c r="P34" s="20" t="s">
        <v>144</v>
      </c>
      <c r="Q34" s="20">
        <f>ROUND(Estimates_on_the_use_of_water__2020__a_3712[[#This Row],[wat_unimp_n]],2)</f>
        <v>0.44</v>
      </c>
      <c r="R34" s="20" t="s">
        <v>145</v>
      </c>
      <c r="S34">
        <f>ROUND(Estimates_on_the_use_of_water__2020__a_3712[[#This Row],[wat_sur_n]],2)</f>
        <v>1.0900000000000001</v>
      </c>
      <c r="T34" t="s">
        <v>146</v>
      </c>
      <c r="U34" t="s">
        <v>147</v>
      </c>
      <c r="V34" t="s">
        <v>148</v>
      </c>
      <c r="W34" t="s">
        <v>149</v>
      </c>
      <c r="X34" t="s">
        <v>150</v>
      </c>
      <c r="Y34" t="s">
        <v>151</v>
      </c>
      <c r="Z34" t="s">
        <v>2</v>
      </c>
      <c r="AA34" t="s">
        <v>2</v>
      </c>
      <c r="AB34">
        <f>COUNTA(Estimates_on_the_use_of_water__2020__a_3712[[#This Row],[name]:[wat_sur_u]])</f>
        <v>27</v>
      </c>
      <c r="AC34">
        <f>COUNT(Estimates_on_the_use_of_water__2020__a_3712[[#This Row],[name]:[wat_sur_u]])</f>
        <v>13</v>
      </c>
    </row>
    <row r="35" spans="1:29" x14ac:dyDescent="0.25">
      <c r="A35" t="s">
        <v>152</v>
      </c>
      <c r="B35" t="s">
        <v>1</v>
      </c>
      <c r="C35">
        <v>272.81298829999997</v>
      </c>
      <c r="D35" s="3">
        <f>Estimates_on_the_use_of_water__2020__a_3712[[#This Row],[pop_n]]*1000</f>
        <v>272812.98829999997</v>
      </c>
      <c r="E35" s="15">
        <f>Estimates_on_the_use_of_water__2020__a_3712[[#This Row],[pop_n]]/1000</f>
        <v>0.27281298829999995</v>
      </c>
      <c r="F35" s="15">
        <f>Estimates_on_the_use_of_water__2020__a_3712[[#This Row],[pop_n (m)]]*1000000</f>
        <v>272812.98829999997</v>
      </c>
      <c r="G35" s="14">
        <f>ROUND(Estimates_on_the_use_of_water__2020__a_3712[[#This Row],[pop_n (m)]],3)</f>
        <v>0.27300000000000002</v>
      </c>
      <c r="H35" s="14">
        <f>ROUNDUP(Estimates_on_the_use_of_water__2020__a_3712[[#This Row],[pop_n (m)]],3)</f>
        <v>0.27300000000000002</v>
      </c>
      <c r="I35" s="9" t="s">
        <v>153</v>
      </c>
      <c r="J35" s="1">
        <v>0.45750999450000002</v>
      </c>
      <c r="K35" s="2">
        <v>124814.66877666155</v>
      </c>
      <c r="L35" s="1">
        <v>124.81466877666156</v>
      </c>
      <c r="M35" s="2">
        <v>54.249000549999998</v>
      </c>
      <c r="N35" s="18" t="s">
        <v>154</v>
      </c>
      <c r="O35" s="19">
        <v>0</v>
      </c>
      <c r="P35" s="20" t="s">
        <v>155</v>
      </c>
      <c r="Q35" s="20">
        <f>ROUND(Estimates_on_the_use_of_water__2020__a_3712[[#This Row],[wat_unimp_n]],2)</f>
        <v>3.63</v>
      </c>
      <c r="R35" s="20">
        <v>0</v>
      </c>
      <c r="S35">
        <f>ROUND(Estimates_on_the_use_of_water__2020__a_3712[[#This Row],[wat_sur_n]],2)</f>
        <v>0</v>
      </c>
      <c r="T35">
        <v>0</v>
      </c>
      <c r="U35">
        <v>0</v>
      </c>
      <c r="V35">
        <v>0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>
        <f>COUNTA(Estimates_on_the_use_of_water__2020__a_3712[[#This Row],[name]:[wat_sur_u]])</f>
        <v>27</v>
      </c>
      <c r="AC35">
        <f>COUNT(Estimates_on_the_use_of_water__2020__a_3712[[#This Row],[name]:[wat_sur_u]])</f>
        <v>17</v>
      </c>
    </row>
    <row r="36" spans="1:29" x14ac:dyDescent="0.25">
      <c r="A36" t="s">
        <v>156</v>
      </c>
      <c r="B36" t="s">
        <v>29</v>
      </c>
      <c r="C36">
        <v>280.90399170000001</v>
      </c>
      <c r="D36" s="3">
        <f>Estimates_on_the_use_of_water__2020__a_3712[[#This Row],[pop_n]]*1000</f>
        <v>280903.99170000001</v>
      </c>
      <c r="E36" s="15">
        <f>Estimates_on_the_use_of_water__2020__a_3712[[#This Row],[pop_n]]/1000</f>
        <v>0.28090399170000002</v>
      </c>
      <c r="F36" s="15">
        <f>Estimates_on_the_use_of_water__2020__a_3712[[#This Row],[pop_n (m)]]*1000000</f>
        <v>280903.99170000001</v>
      </c>
      <c r="G36" s="14">
        <f>ROUND(Estimates_on_the_use_of_water__2020__a_3712[[#This Row],[pop_n (m)]],3)</f>
        <v>0.28100000000000003</v>
      </c>
      <c r="H36" s="14">
        <f>ROUNDUP(Estimates_on_the_use_of_water__2020__a_3712[[#This Row],[pop_n (m)]],3)</f>
        <v>0.28100000000000003</v>
      </c>
      <c r="I36" s="9" t="s">
        <v>157</v>
      </c>
      <c r="J36" s="1">
        <v>0.61975002290000003</v>
      </c>
      <c r="K36" s="2">
        <v>174090.25528877642</v>
      </c>
      <c r="L36" s="1">
        <v>174.09025528877643</v>
      </c>
      <c r="M36" s="2">
        <v>38.024997710000001</v>
      </c>
      <c r="N36" s="18" t="s">
        <v>15</v>
      </c>
      <c r="O36" s="19">
        <v>0</v>
      </c>
      <c r="P36" s="20" t="s">
        <v>2</v>
      </c>
      <c r="Q36" s="20">
        <f>ROUND(Estimates_on_the_use_of_water__2020__a_3712[[#This Row],[wat_unimp_n]],2)</f>
        <v>0</v>
      </c>
      <c r="R36" s="20" t="s">
        <v>2</v>
      </c>
      <c r="S36">
        <f>ROUND(Estimates_on_the_use_of_water__2020__a_3712[[#This Row],[wat_sur_n]],2)</f>
        <v>0</v>
      </c>
      <c r="T36">
        <v>0</v>
      </c>
      <c r="U36">
        <v>0</v>
      </c>
      <c r="V36">
        <v>0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>
        <f>COUNTA(Estimates_on_the_use_of_water__2020__a_3712[[#This Row],[name]:[wat_sur_u]])</f>
        <v>27</v>
      </c>
      <c r="AC36">
        <f>COUNT(Estimates_on_the_use_of_water__2020__a_3712[[#This Row],[name]:[wat_sur_u]])</f>
        <v>16</v>
      </c>
    </row>
    <row r="37" spans="1:29" x14ac:dyDescent="0.25">
      <c r="A37" t="s">
        <v>158</v>
      </c>
      <c r="B37" t="s">
        <v>29</v>
      </c>
      <c r="C37">
        <v>285.4909973</v>
      </c>
      <c r="D37" s="3">
        <f>Estimates_on_the_use_of_water__2020__a_3712[[#This Row],[pop_n]]*1000</f>
        <v>285490.99729999999</v>
      </c>
      <c r="E37" s="15">
        <f>Estimates_on_the_use_of_water__2020__a_3712[[#This Row],[pop_n]]/1000</f>
        <v>0.28549099729999999</v>
      </c>
      <c r="F37" s="15">
        <f>Estimates_on_the_use_of_water__2020__a_3712[[#This Row],[pop_n (m)]]*1000000</f>
        <v>285490.99729999999</v>
      </c>
      <c r="G37" s="14">
        <f>ROUND(Estimates_on_the_use_of_water__2020__a_3712[[#This Row],[pop_n (m)]],3)</f>
        <v>0.28499999999999998</v>
      </c>
      <c r="H37" s="14">
        <f>ROUNDUP(Estimates_on_the_use_of_water__2020__a_3712[[#This Row],[pop_n (m)]],3)</f>
        <v>0.28599999999999998</v>
      </c>
      <c r="I37" s="9" t="s">
        <v>159</v>
      </c>
      <c r="J37" s="1">
        <v>0.71517997739999994</v>
      </c>
      <c r="K37" s="2">
        <v>204177.44499691745</v>
      </c>
      <c r="L37" s="1">
        <v>204.17744499691744</v>
      </c>
      <c r="M37" s="2">
        <v>28.482002260000002</v>
      </c>
      <c r="N37" s="18" t="s">
        <v>160</v>
      </c>
      <c r="O37" s="19">
        <v>0</v>
      </c>
      <c r="P37" s="20" t="s">
        <v>161</v>
      </c>
      <c r="Q37" s="20">
        <f>ROUND(Estimates_on_the_use_of_water__2020__a_3712[[#This Row],[wat_unimp_n]],2)</f>
        <v>0.69</v>
      </c>
      <c r="R37" s="20" t="s">
        <v>2</v>
      </c>
      <c r="S37">
        <f>ROUND(Estimates_on_the_use_of_water__2020__a_3712[[#This Row],[wat_sur_n]],2)</f>
        <v>0</v>
      </c>
      <c r="T37">
        <v>0</v>
      </c>
      <c r="U37">
        <v>0</v>
      </c>
      <c r="V37">
        <v>0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>
        <f>COUNTA(Estimates_on_the_use_of_water__2020__a_3712[[#This Row],[name]:[wat_sur_u]])</f>
        <v>27</v>
      </c>
      <c r="AC37">
        <f>COUNT(Estimates_on_the_use_of_water__2020__a_3712[[#This Row],[name]:[wat_sur_u]])</f>
        <v>16</v>
      </c>
    </row>
    <row r="38" spans="1:29" x14ac:dyDescent="0.25">
      <c r="A38" t="s">
        <v>162</v>
      </c>
      <c r="B38" t="s">
        <v>29</v>
      </c>
      <c r="C38">
        <v>287.37100220000002</v>
      </c>
      <c r="D38" s="3">
        <f>Estimates_on_the_use_of_water__2020__a_3712[[#This Row],[pop_n]]*1000</f>
        <v>287371.00220000005</v>
      </c>
      <c r="E38" s="15">
        <f>Estimates_on_the_use_of_water__2020__a_3712[[#This Row],[pop_n]]/1000</f>
        <v>0.2873710022</v>
      </c>
      <c r="F38" s="15">
        <f>Estimates_on_the_use_of_water__2020__a_3712[[#This Row],[pop_n (m)]]*1000000</f>
        <v>287371.00219999999</v>
      </c>
      <c r="G38" s="14">
        <f>ROUND(Estimates_on_the_use_of_water__2020__a_3712[[#This Row],[pop_n (m)]],3)</f>
        <v>0.28699999999999998</v>
      </c>
      <c r="H38" s="14">
        <f>ROUNDUP(Estimates_on_the_use_of_water__2020__a_3712[[#This Row],[pop_n (m)]],3)</f>
        <v>0.28799999999999998</v>
      </c>
      <c r="I38" s="9" t="s">
        <v>163</v>
      </c>
      <c r="J38" s="1">
        <v>0.3119099998</v>
      </c>
      <c r="K38" s="2">
        <v>89633.889238727817</v>
      </c>
      <c r="L38" s="1">
        <v>89.633889238727804</v>
      </c>
      <c r="M38" s="2">
        <v>68.809000019999999</v>
      </c>
      <c r="N38" s="18" t="s">
        <v>164</v>
      </c>
      <c r="O38" s="19">
        <v>0.27</v>
      </c>
      <c r="P38" s="20" t="s">
        <v>165</v>
      </c>
      <c r="Q38" s="20">
        <f>ROUND(Estimates_on_the_use_of_water__2020__a_3712[[#This Row],[wat_unimp_n]],2)</f>
        <v>1.22</v>
      </c>
      <c r="R38" s="20" t="s">
        <v>2</v>
      </c>
      <c r="S38">
        <f>ROUND(Estimates_on_the_use_of_water__2020__a_3712[[#This Row],[wat_sur_n]],2)</f>
        <v>0</v>
      </c>
      <c r="T38">
        <v>0</v>
      </c>
      <c r="U38">
        <v>0</v>
      </c>
      <c r="V38">
        <v>0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>
        <f>COUNTA(Estimates_on_the_use_of_water__2020__a_3712[[#This Row],[name]:[wat_sur_u]])</f>
        <v>27</v>
      </c>
      <c r="AC38">
        <f>COUNT(Estimates_on_the_use_of_water__2020__a_3712[[#This Row],[name]:[wat_sur_u]])</f>
        <v>16</v>
      </c>
    </row>
    <row r="39" spans="1:29" x14ac:dyDescent="0.25">
      <c r="A39" t="s">
        <v>166</v>
      </c>
      <c r="B39" t="s">
        <v>1</v>
      </c>
      <c r="C39">
        <v>298.68200680000001</v>
      </c>
      <c r="D39" s="3">
        <f>Estimates_on_the_use_of_water__2020__a_3712[[#This Row],[pop_n]]*1000</f>
        <v>298682.00680000003</v>
      </c>
      <c r="E39" s="15">
        <f>Estimates_on_the_use_of_water__2020__a_3712[[#This Row],[pop_n]]/1000</f>
        <v>0.29868200680000001</v>
      </c>
      <c r="F39" s="15">
        <f>Estimates_on_the_use_of_water__2020__a_3712[[#This Row],[pop_n (m)]]*1000000</f>
        <v>298682.00680000003</v>
      </c>
      <c r="G39" s="14">
        <f>ROUND(Estimates_on_the_use_of_water__2020__a_3712[[#This Row],[pop_n (m)]],3)</f>
        <v>0.29899999999999999</v>
      </c>
      <c r="H39" s="14">
        <f>ROUNDUP(Estimates_on_the_use_of_water__2020__a_3712[[#This Row],[pop_n (m)]],3)</f>
        <v>0.29899999999999999</v>
      </c>
      <c r="I39" s="9" t="s">
        <v>167</v>
      </c>
      <c r="J39" s="1">
        <v>0.85819999690000004</v>
      </c>
      <c r="K39" s="2">
        <v>256328.89730984581</v>
      </c>
      <c r="L39" s="1">
        <v>256.32889730984579</v>
      </c>
      <c r="M39" s="2">
        <v>14.180000309999997</v>
      </c>
      <c r="N39" s="18" t="s">
        <v>168</v>
      </c>
      <c r="O39" s="19">
        <v>0</v>
      </c>
      <c r="P39" s="20" t="s">
        <v>169</v>
      </c>
      <c r="Q39" s="20">
        <f>ROUND(Estimates_on_the_use_of_water__2020__a_3712[[#This Row],[wat_unimp_n]],2)</f>
        <v>6.22</v>
      </c>
      <c r="R39" s="20" t="s">
        <v>2</v>
      </c>
      <c r="S39">
        <f>ROUND(Estimates_on_the_use_of_water__2020__a_3712[[#This Row],[wat_sur_n]],2)</f>
        <v>0</v>
      </c>
      <c r="T39">
        <v>0</v>
      </c>
      <c r="U39">
        <v>0</v>
      </c>
      <c r="V39">
        <v>0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>
        <f>COUNTA(Estimates_on_the_use_of_water__2020__a_3712[[#This Row],[name]:[wat_sur_u]])</f>
        <v>27</v>
      </c>
      <c r="AC39">
        <f>COUNT(Estimates_on_the_use_of_water__2020__a_3712[[#This Row],[name]:[wat_sur_u]])</f>
        <v>16</v>
      </c>
    </row>
    <row r="40" spans="1:29" x14ac:dyDescent="0.25">
      <c r="A40" t="s">
        <v>170</v>
      </c>
      <c r="B40" t="s">
        <v>106</v>
      </c>
      <c r="C40">
        <v>307.14999390000003</v>
      </c>
      <c r="D40" s="3">
        <f>Estimates_on_the_use_of_water__2020__a_3712[[#This Row],[pop_n]]*1000</f>
        <v>307149.9939</v>
      </c>
      <c r="E40" s="15">
        <f>Estimates_on_the_use_of_water__2020__a_3712[[#This Row],[pop_n]]/1000</f>
        <v>0.30714999390000003</v>
      </c>
      <c r="F40" s="15">
        <f>Estimates_on_the_use_of_water__2020__a_3712[[#This Row],[pop_n (m)]]*1000000</f>
        <v>307149.9939</v>
      </c>
      <c r="G40" s="14">
        <f>ROUND(Estimates_on_the_use_of_water__2020__a_3712[[#This Row],[pop_n (m)]],3)</f>
        <v>0.307</v>
      </c>
      <c r="H40" s="14">
        <f>ROUNDUP(Estimates_on_the_use_of_water__2020__a_3712[[#This Row],[pop_n (m)]],3)</f>
        <v>0.308</v>
      </c>
      <c r="I40" s="9" t="s">
        <v>171</v>
      </c>
      <c r="J40" s="1">
        <v>0.25525001530000002</v>
      </c>
      <c r="K40" s="2">
        <v>78400.040642369917</v>
      </c>
      <c r="L40" s="1">
        <v>78.400040642369916</v>
      </c>
      <c r="M40" s="2">
        <v>74.474998470000003</v>
      </c>
      <c r="N40" s="18" t="s">
        <v>172</v>
      </c>
      <c r="O40" s="19">
        <v>1.06</v>
      </c>
      <c r="P40" s="20" t="s">
        <v>2</v>
      </c>
      <c r="Q40" s="20">
        <f>ROUND(Estimates_on_the_use_of_water__2020__a_3712[[#This Row],[wat_unimp_n]],2)</f>
        <v>0</v>
      </c>
      <c r="R40" s="20" t="s">
        <v>173</v>
      </c>
      <c r="S40">
        <f>ROUND(Estimates_on_the_use_of_water__2020__a_3712[[#This Row],[wat_sur_n]],2)</f>
        <v>7.71</v>
      </c>
      <c r="T40" t="s">
        <v>174</v>
      </c>
      <c r="U40" t="s">
        <v>175</v>
      </c>
      <c r="V40" t="s">
        <v>2</v>
      </c>
      <c r="W40" t="s">
        <v>176</v>
      </c>
      <c r="X40" t="s">
        <v>177</v>
      </c>
      <c r="Y40" t="s">
        <v>178</v>
      </c>
      <c r="Z40" t="s">
        <v>2</v>
      </c>
      <c r="AA40" t="s">
        <v>2</v>
      </c>
      <c r="AB40">
        <f>COUNTA(Estimates_on_the_use_of_water__2020__a_3712[[#This Row],[name]:[wat_sur_u]])</f>
        <v>27</v>
      </c>
      <c r="AC40">
        <f>COUNT(Estimates_on_the_use_of_water__2020__a_3712[[#This Row],[name]:[wat_sur_u]])</f>
        <v>13</v>
      </c>
    </row>
    <row r="41" spans="1:29" x14ac:dyDescent="0.25">
      <c r="A41" t="s">
        <v>179</v>
      </c>
      <c r="B41" t="s">
        <v>29</v>
      </c>
      <c r="C41">
        <v>341.25</v>
      </c>
      <c r="D41" s="3">
        <f>Estimates_on_the_use_of_water__2020__a_3712[[#This Row],[pop_n]]*1000</f>
        <v>341250</v>
      </c>
      <c r="E41" s="15">
        <f>Estimates_on_the_use_of_water__2020__a_3712[[#This Row],[pop_n]]/1000</f>
        <v>0.34125</v>
      </c>
      <c r="F41" s="15">
        <f>Estimates_on_the_use_of_water__2020__a_3712[[#This Row],[pop_n (m)]]*1000000</f>
        <v>341250</v>
      </c>
      <c r="G41" s="14">
        <f>ROUND(Estimates_on_the_use_of_water__2020__a_3712[[#This Row],[pop_n (m)]],3)</f>
        <v>0.34100000000000003</v>
      </c>
      <c r="H41" s="14">
        <f>ROUNDUP(Estimates_on_the_use_of_water__2020__a_3712[[#This Row],[pop_n (m)]],3)</f>
        <v>0.34200000000000003</v>
      </c>
      <c r="I41" s="9" t="s">
        <v>180</v>
      </c>
      <c r="J41" s="1">
        <v>0.9389799499999999</v>
      </c>
      <c r="K41" s="2">
        <v>320426.90793749999</v>
      </c>
      <c r="L41" s="1">
        <v>320.42690793749995</v>
      </c>
      <c r="M41" s="2">
        <v>6.1020050000000055</v>
      </c>
      <c r="N41" s="18" t="s">
        <v>181</v>
      </c>
      <c r="O41" s="19">
        <v>0</v>
      </c>
      <c r="P41" s="20" t="s">
        <v>182</v>
      </c>
      <c r="Q41" s="20">
        <f>ROUND(Estimates_on_the_use_of_water__2020__a_3712[[#This Row],[wat_unimp_n]],2)</f>
        <v>0</v>
      </c>
      <c r="R41" s="20" t="s">
        <v>2</v>
      </c>
      <c r="S41">
        <f>ROUND(Estimates_on_the_use_of_water__2020__a_3712[[#This Row],[wat_sur_n]],2)</f>
        <v>0</v>
      </c>
      <c r="T41" t="s">
        <v>15</v>
      </c>
      <c r="U41" t="s">
        <v>2</v>
      </c>
      <c r="V41" t="s">
        <v>2</v>
      </c>
      <c r="W41" t="s">
        <v>2</v>
      </c>
      <c r="X41" t="s">
        <v>15</v>
      </c>
      <c r="Y41" t="s">
        <v>2</v>
      </c>
      <c r="Z41" t="s">
        <v>2</v>
      </c>
      <c r="AA41" t="s">
        <v>2</v>
      </c>
      <c r="AB41">
        <f>COUNTA(Estimates_on_the_use_of_water__2020__a_3712[[#This Row],[name]:[wat_sur_u]])</f>
        <v>27</v>
      </c>
      <c r="AC41">
        <f>COUNT(Estimates_on_the_use_of_water__2020__a_3712[[#This Row],[name]:[wat_sur_u]])</f>
        <v>13</v>
      </c>
    </row>
    <row r="42" spans="1:29" x14ac:dyDescent="0.25">
      <c r="A42" t="s">
        <v>183</v>
      </c>
      <c r="B42" t="s">
        <v>1</v>
      </c>
      <c r="C42">
        <v>375.26501459999997</v>
      </c>
      <c r="D42" s="3">
        <f>Estimates_on_the_use_of_water__2020__a_3712[[#This Row],[pop_n]]*1000</f>
        <v>375265.01459999999</v>
      </c>
      <c r="E42" s="15">
        <f>Estimates_on_the_use_of_water__2020__a_3712[[#This Row],[pop_n]]/1000</f>
        <v>0.37526501459999995</v>
      </c>
      <c r="F42" s="15">
        <f>Estimates_on_the_use_of_water__2020__a_3712[[#This Row],[pop_n (m)]]*1000000</f>
        <v>375265.01459999994</v>
      </c>
      <c r="G42" s="14">
        <f>ROUND(Estimates_on_the_use_of_water__2020__a_3712[[#This Row],[pop_n (m)]],3)</f>
        <v>0.375</v>
      </c>
      <c r="H42" s="14">
        <f>ROUNDUP(Estimates_on_the_use_of_water__2020__a_3712[[#This Row],[pop_n (m)]],3)</f>
        <v>0.376</v>
      </c>
      <c r="I42" s="9" t="s">
        <v>184</v>
      </c>
      <c r="J42" s="1">
        <v>0.89139999390000002</v>
      </c>
      <c r="K42" s="2">
        <v>334511.23172532342</v>
      </c>
      <c r="L42" s="1">
        <v>334.5112317253234</v>
      </c>
      <c r="M42" s="2">
        <v>10.86000061</v>
      </c>
      <c r="N42" s="18" t="s">
        <v>185</v>
      </c>
      <c r="O42" s="19">
        <v>0</v>
      </c>
      <c r="P42" s="20" t="s">
        <v>186</v>
      </c>
      <c r="Q42" s="20">
        <f>ROUND(Estimates_on_the_use_of_water__2020__a_3712[[#This Row],[wat_unimp_n]],2)</f>
        <v>0.16</v>
      </c>
      <c r="R42" s="20" t="s">
        <v>2</v>
      </c>
      <c r="S42">
        <f>ROUND(Estimates_on_the_use_of_water__2020__a_3712[[#This Row],[wat_sur_n]],2)</f>
        <v>0</v>
      </c>
      <c r="T42">
        <v>0</v>
      </c>
      <c r="U42">
        <v>0</v>
      </c>
      <c r="V42">
        <v>0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>
        <f>COUNTA(Estimates_on_the_use_of_water__2020__a_3712[[#This Row],[name]:[wat_sur_u]])</f>
        <v>27</v>
      </c>
      <c r="AC42">
        <f>COUNT(Estimates_on_the_use_of_water__2020__a_3712[[#This Row],[name]:[wat_sur_u]])</f>
        <v>16</v>
      </c>
    </row>
    <row r="43" spans="1:29" x14ac:dyDescent="0.25">
      <c r="A43" t="s">
        <v>187</v>
      </c>
      <c r="B43" t="s">
        <v>34</v>
      </c>
      <c r="C43">
        <v>397.62100220000002</v>
      </c>
      <c r="D43" s="3">
        <f>Estimates_on_the_use_of_water__2020__a_3712[[#This Row],[pop_n]]*1000</f>
        <v>397621.00220000005</v>
      </c>
      <c r="E43" s="15">
        <f>Estimates_on_the_use_of_water__2020__a_3712[[#This Row],[pop_n]]/1000</f>
        <v>0.39762100220000002</v>
      </c>
      <c r="F43" s="15">
        <f>Estimates_on_the_use_of_water__2020__a_3712[[#This Row],[pop_n (m)]]*1000000</f>
        <v>397621.00220000005</v>
      </c>
      <c r="G43" s="14">
        <f>ROUND(Estimates_on_the_use_of_water__2020__a_3712[[#This Row],[pop_n (m)]],3)</f>
        <v>0.39800000000000002</v>
      </c>
      <c r="H43" s="14">
        <f>ROUNDUP(Estimates_on_the_use_of_water__2020__a_3712[[#This Row],[pop_n (m)]],3)</f>
        <v>0.39800000000000002</v>
      </c>
      <c r="I43" s="9" t="s">
        <v>188</v>
      </c>
      <c r="J43" s="1">
        <v>0.46025001529999998</v>
      </c>
      <c r="K43" s="2">
        <v>183005.07234615134</v>
      </c>
      <c r="L43" s="1">
        <v>183.00507234615134</v>
      </c>
      <c r="M43" s="2">
        <v>53.974998470000003</v>
      </c>
      <c r="N43" s="18" t="s">
        <v>189</v>
      </c>
      <c r="O43" s="19">
        <v>1.25</v>
      </c>
      <c r="P43" s="20" t="s">
        <v>190</v>
      </c>
      <c r="Q43" s="20">
        <f>ROUND(Estimates_on_the_use_of_water__2020__a_3712[[#This Row],[wat_unimp_n]],2)</f>
        <v>0.35</v>
      </c>
      <c r="R43" s="20" t="s">
        <v>2</v>
      </c>
      <c r="S43">
        <f>ROUND(Estimates_on_the_use_of_water__2020__a_3712[[#This Row],[wat_sur_n]],2)</f>
        <v>0</v>
      </c>
      <c r="T43" t="s">
        <v>191</v>
      </c>
      <c r="U43" t="s">
        <v>192</v>
      </c>
      <c r="V43" t="s">
        <v>193</v>
      </c>
      <c r="W43" t="s">
        <v>2</v>
      </c>
      <c r="X43" t="s">
        <v>194</v>
      </c>
      <c r="Y43" t="s">
        <v>195</v>
      </c>
      <c r="Z43" t="s">
        <v>2</v>
      </c>
      <c r="AA43" t="s">
        <v>2</v>
      </c>
      <c r="AB43">
        <f>COUNTA(Estimates_on_the_use_of_water__2020__a_3712[[#This Row],[name]:[wat_sur_u]])</f>
        <v>27</v>
      </c>
      <c r="AC43">
        <f>COUNT(Estimates_on_the_use_of_water__2020__a_3712[[#This Row],[name]:[wat_sur_u]])</f>
        <v>13</v>
      </c>
    </row>
    <row r="44" spans="1:29" x14ac:dyDescent="0.25">
      <c r="A44" t="s">
        <v>196</v>
      </c>
      <c r="B44" t="s">
        <v>1</v>
      </c>
      <c r="C44">
        <v>400.12701420000002</v>
      </c>
      <c r="D44" s="3">
        <f>Estimates_on_the_use_of_water__2020__a_3712[[#This Row],[pop_n]]*1000</f>
        <v>400127.01420000003</v>
      </c>
      <c r="E44" s="15">
        <f>Estimates_on_the_use_of_water__2020__a_3712[[#This Row],[pop_n]]/1000</f>
        <v>0.40012701420000002</v>
      </c>
      <c r="F44" s="15">
        <f>Estimates_on_the_use_of_water__2020__a_3712[[#This Row],[pop_n (m)]]*1000000</f>
        <v>400127.01420000003</v>
      </c>
      <c r="G44" s="14">
        <f>ROUND(Estimates_on_the_use_of_water__2020__a_3712[[#This Row],[pop_n (m)]],3)</f>
        <v>0.4</v>
      </c>
      <c r="H44" s="14">
        <f>ROUNDUP(Estimates_on_the_use_of_water__2020__a_3712[[#This Row],[pop_n (m)]],3)</f>
        <v>0.40100000000000002</v>
      </c>
      <c r="I44" s="9" t="s">
        <v>197</v>
      </c>
      <c r="J44" s="1">
        <v>0.98498992920000006</v>
      </c>
      <c r="K44" s="2">
        <v>394121.07938786544</v>
      </c>
      <c r="L44" s="1">
        <v>394.12107938786545</v>
      </c>
      <c r="M44" s="2">
        <v>1.5010070799999937</v>
      </c>
      <c r="N44" s="18" t="s">
        <v>198</v>
      </c>
      <c r="O44" s="19">
        <v>0</v>
      </c>
      <c r="P44" s="20" t="s">
        <v>199</v>
      </c>
      <c r="Q44" s="20">
        <f>ROUND(Estimates_on_the_use_of_water__2020__a_3712[[#This Row],[wat_unimp_n]],2)</f>
        <v>0.2</v>
      </c>
      <c r="R44" s="20" t="s">
        <v>2</v>
      </c>
      <c r="S44">
        <f>ROUND(Estimates_on_the_use_of_water__2020__a_3712[[#This Row],[wat_sur_n]],2)</f>
        <v>0</v>
      </c>
      <c r="T44">
        <v>0</v>
      </c>
      <c r="U44">
        <v>0</v>
      </c>
      <c r="V44">
        <v>0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>
        <f>COUNTA(Estimates_on_the_use_of_water__2020__a_3712[[#This Row],[name]:[wat_sur_u]])</f>
        <v>27</v>
      </c>
      <c r="AC44">
        <f>COUNT(Estimates_on_the_use_of_water__2020__a_3712[[#This Row],[name]:[wat_sur_u]])</f>
        <v>16</v>
      </c>
    </row>
    <row r="45" spans="1:29" x14ac:dyDescent="0.25">
      <c r="A45" t="s">
        <v>200</v>
      </c>
      <c r="B45" t="s">
        <v>29</v>
      </c>
      <c r="C45">
        <v>437.48300169999999</v>
      </c>
      <c r="D45" s="3">
        <f>Estimates_on_the_use_of_water__2020__a_3712[[#This Row],[pop_n]]*1000</f>
        <v>437483.00169999996</v>
      </c>
      <c r="E45" s="15">
        <f>Estimates_on_the_use_of_water__2020__a_3712[[#This Row],[pop_n]]/1000</f>
        <v>0.43748300169999998</v>
      </c>
      <c r="F45" s="15">
        <f>Estimates_on_the_use_of_water__2020__a_3712[[#This Row],[pop_n (m)]]*1000000</f>
        <v>437483.00169999996</v>
      </c>
      <c r="G45" s="14">
        <f>ROUND(Estimates_on_the_use_of_water__2020__a_3712[[#This Row],[pop_n (m)]],3)</f>
        <v>0.437</v>
      </c>
      <c r="H45" s="14">
        <f>ROUNDUP(Estimates_on_the_use_of_water__2020__a_3712[[#This Row],[pop_n (m)]],3)</f>
        <v>0.438</v>
      </c>
      <c r="I45" s="9" t="s">
        <v>201</v>
      </c>
      <c r="J45" s="1">
        <v>0.78250007629999996</v>
      </c>
      <c r="K45" s="2">
        <v>342330.48221020296</v>
      </c>
      <c r="L45" s="1">
        <v>342.330482210203</v>
      </c>
      <c r="M45" s="2">
        <v>21.749992370000001</v>
      </c>
      <c r="N45" s="18" t="s">
        <v>202</v>
      </c>
      <c r="O45" s="19">
        <v>0</v>
      </c>
      <c r="P45" s="20" t="s">
        <v>203</v>
      </c>
      <c r="Q45" s="20">
        <f>ROUND(Estimates_on_the_use_of_water__2020__a_3712[[#This Row],[wat_unimp_n]],2)</f>
        <v>0.1</v>
      </c>
      <c r="R45" s="20" t="s">
        <v>2</v>
      </c>
      <c r="S45">
        <f>ROUND(Estimates_on_the_use_of_water__2020__a_3712[[#This Row],[wat_sur_n]],2)</f>
        <v>0</v>
      </c>
      <c r="T45">
        <v>0</v>
      </c>
      <c r="U45">
        <v>0</v>
      </c>
      <c r="V45">
        <v>0</v>
      </c>
      <c r="W45" t="s">
        <v>1</v>
      </c>
      <c r="X45" t="s">
        <v>204</v>
      </c>
      <c r="Y45" t="s">
        <v>2</v>
      </c>
      <c r="Z45" t="s">
        <v>205</v>
      </c>
      <c r="AA45" t="s">
        <v>2</v>
      </c>
      <c r="AB45">
        <f>COUNTA(Estimates_on_the_use_of_water__2020__a_3712[[#This Row],[name]:[wat_sur_u]])</f>
        <v>27</v>
      </c>
      <c r="AC45">
        <f>COUNT(Estimates_on_the_use_of_water__2020__a_3712[[#This Row],[name]:[wat_sur_u]])</f>
        <v>16</v>
      </c>
    </row>
    <row r="46" spans="1:29" x14ac:dyDescent="0.25">
      <c r="A46" t="s">
        <v>206</v>
      </c>
      <c r="B46" t="s">
        <v>29</v>
      </c>
      <c r="C46">
        <v>441.53900149999998</v>
      </c>
      <c r="D46" s="3">
        <f>Estimates_on_the_use_of_water__2020__a_3712[[#This Row],[pop_n]]*1000</f>
        <v>441539.00149999995</v>
      </c>
      <c r="E46" s="15">
        <f>Estimates_on_the_use_of_water__2020__a_3712[[#This Row],[pop_n]]/1000</f>
        <v>0.44153900149999997</v>
      </c>
      <c r="F46" s="15">
        <f>Estimates_on_the_use_of_water__2020__a_3712[[#This Row],[pop_n (m)]]*1000000</f>
        <v>441539.00149999995</v>
      </c>
      <c r="G46" s="14">
        <f>ROUND(Estimates_on_the_use_of_water__2020__a_3712[[#This Row],[pop_n (m)]],3)</f>
        <v>0.442</v>
      </c>
      <c r="H46" s="14">
        <f>ROUNDUP(Estimates_on_the_use_of_water__2020__a_3712[[#This Row],[pop_n (m)]],3)</f>
        <v>0.442</v>
      </c>
      <c r="I46" s="9" t="s">
        <v>207</v>
      </c>
      <c r="J46" s="1">
        <v>0.94744003300000001</v>
      </c>
      <c r="K46" s="2">
        <v>418331.72615194699</v>
      </c>
      <c r="L46" s="1">
        <v>418.33172615194707</v>
      </c>
      <c r="M46" s="2">
        <v>5.2559966999999972</v>
      </c>
      <c r="N46" s="18" t="s">
        <v>208</v>
      </c>
      <c r="O46" s="19">
        <v>0</v>
      </c>
      <c r="P46" s="20" t="s">
        <v>2</v>
      </c>
      <c r="Q46" s="20">
        <f>ROUND(Estimates_on_the_use_of_water__2020__a_3712[[#This Row],[wat_unimp_n]],2)</f>
        <v>0</v>
      </c>
      <c r="R46" s="20" t="s">
        <v>2</v>
      </c>
      <c r="S46">
        <f>ROUND(Estimates_on_the_use_of_water__2020__a_3712[[#This Row],[wat_sur_n]],2)</f>
        <v>0</v>
      </c>
      <c r="T46" t="s">
        <v>15</v>
      </c>
      <c r="U46" t="s">
        <v>2</v>
      </c>
      <c r="V46" t="s">
        <v>2</v>
      </c>
      <c r="W46" t="s">
        <v>2</v>
      </c>
      <c r="X46" t="s">
        <v>15</v>
      </c>
      <c r="Y46" t="s">
        <v>2</v>
      </c>
      <c r="Z46" t="s">
        <v>2</v>
      </c>
      <c r="AA46" t="s">
        <v>2</v>
      </c>
      <c r="AB46">
        <f>COUNTA(Estimates_on_the_use_of_water__2020__a_3712[[#This Row],[name]:[wat_sur_u]])</f>
        <v>27</v>
      </c>
      <c r="AC46">
        <f>COUNT(Estimates_on_the_use_of_water__2020__a_3712[[#This Row],[name]:[wat_sur_u]])</f>
        <v>13</v>
      </c>
    </row>
    <row r="47" spans="1:29" x14ac:dyDescent="0.25">
      <c r="A47" t="s">
        <v>209</v>
      </c>
      <c r="B47" t="s">
        <v>34</v>
      </c>
      <c r="C47">
        <v>540.54199219999998</v>
      </c>
      <c r="D47" s="3">
        <f>Estimates_on_the_use_of_water__2020__a_3712[[#This Row],[pop_n]]*1000</f>
        <v>540541.99219999998</v>
      </c>
      <c r="E47" s="15">
        <f>Estimates_on_the_use_of_water__2020__a_3712[[#This Row],[pop_n]]/1000</f>
        <v>0.54054199219999999</v>
      </c>
      <c r="F47" s="15">
        <f>Estimates_on_the_use_of_water__2020__a_3712[[#This Row],[pop_n (m)]]*1000000</f>
        <v>540541.99219999998</v>
      </c>
      <c r="G47" s="14">
        <f>ROUND(Estimates_on_the_use_of_water__2020__a_3712[[#This Row],[pop_n (m)]],3)</f>
        <v>0.54100000000000004</v>
      </c>
      <c r="H47" s="14">
        <f>ROUNDUP(Estimates_on_the_use_of_water__2020__a_3712[[#This Row],[pop_n (m)]],3)</f>
        <v>0.54100000000000004</v>
      </c>
      <c r="I47" s="9" t="s">
        <v>210</v>
      </c>
      <c r="J47" s="1">
        <v>0.40668998719999999</v>
      </c>
      <c r="K47" s="2">
        <v>219833.01588888047</v>
      </c>
      <c r="L47" s="1">
        <v>219.83301588888048</v>
      </c>
      <c r="M47" s="2">
        <v>59.331001280000002</v>
      </c>
      <c r="N47" s="18" t="s">
        <v>211</v>
      </c>
      <c r="O47" s="19">
        <v>0.05</v>
      </c>
      <c r="P47" s="20" t="s">
        <v>212</v>
      </c>
      <c r="Q47" s="20">
        <f>ROUND(Estimates_on_the_use_of_water__2020__a_3712[[#This Row],[wat_unimp_n]],2)</f>
        <v>0.41</v>
      </c>
      <c r="R47" s="20" t="s">
        <v>2</v>
      </c>
      <c r="S47">
        <f>ROUND(Estimates_on_the_use_of_water__2020__a_3712[[#This Row],[wat_sur_n]],2)</f>
        <v>0</v>
      </c>
      <c r="T47" t="s">
        <v>213</v>
      </c>
      <c r="U47" t="s">
        <v>214</v>
      </c>
      <c r="V47" t="s">
        <v>2</v>
      </c>
      <c r="W47" t="s">
        <v>2</v>
      </c>
      <c r="X47" t="s">
        <v>215</v>
      </c>
      <c r="Y47" t="s">
        <v>2</v>
      </c>
      <c r="Z47" t="s">
        <v>216</v>
      </c>
      <c r="AA47" t="s">
        <v>2</v>
      </c>
      <c r="AB47">
        <f>COUNTA(Estimates_on_the_use_of_water__2020__a_3712[[#This Row],[name]:[wat_sur_u]])</f>
        <v>27</v>
      </c>
      <c r="AC47">
        <f>COUNT(Estimates_on_the_use_of_water__2020__a_3712[[#This Row],[name]:[wat_sur_u]])</f>
        <v>13</v>
      </c>
    </row>
    <row r="48" spans="1:29" x14ac:dyDescent="0.25">
      <c r="A48" t="s">
        <v>217</v>
      </c>
      <c r="B48" t="s">
        <v>106</v>
      </c>
      <c r="C48">
        <v>555.98797609999997</v>
      </c>
      <c r="D48" s="3">
        <f>Estimates_on_the_use_of_water__2020__a_3712[[#This Row],[pop_n]]*1000</f>
        <v>555987.97609999997</v>
      </c>
      <c r="E48" s="15">
        <f>Estimates_on_the_use_of_water__2020__a_3712[[#This Row],[pop_n]]/1000</f>
        <v>0.55598797609999995</v>
      </c>
      <c r="F48" s="15">
        <f>Estimates_on_the_use_of_water__2020__a_3712[[#This Row],[pop_n (m)]]*1000000</f>
        <v>555987.97609999997</v>
      </c>
      <c r="G48" s="14">
        <f>ROUND(Estimates_on_the_use_of_water__2020__a_3712[[#This Row],[pop_n (m)]],3)</f>
        <v>0.55600000000000005</v>
      </c>
      <c r="H48" s="14">
        <f>ROUNDUP(Estimates_on_the_use_of_water__2020__a_3712[[#This Row],[pop_n (m)]],3)</f>
        <v>0.55600000000000005</v>
      </c>
      <c r="I48" s="9">
        <v>66.652000430000001</v>
      </c>
      <c r="J48" s="1">
        <v>0.66652000430000002</v>
      </c>
      <c r="K48" s="2">
        <v>370577.10822092032</v>
      </c>
      <c r="L48" s="1">
        <v>370.57710822092031</v>
      </c>
      <c r="M48" s="2">
        <v>33.347999569999999</v>
      </c>
      <c r="N48" s="18" t="s">
        <v>218</v>
      </c>
      <c r="O48" s="19">
        <v>3.21</v>
      </c>
      <c r="P48" s="20" t="s">
        <v>219</v>
      </c>
      <c r="Q48" s="20">
        <f>ROUND(Estimates_on_the_use_of_water__2020__a_3712[[#This Row],[wat_unimp_n]],2)</f>
        <v>0.12</v>
      </c>
      <c r="R48" s="20" t="s">
        <v>220</v>
      </c>
      <c r="S48">
        <f>ROUND(Estimates_on_the_use_of_water__2020__a_3712[[#This Row],[wat_sur_n]],2)</f>
        <v>80.11</v>
      </c>
      <c r="T48" t="s">
        <v>221</v>
      </c>
      <c r="U48" t="s">
        <v>222</v>
      </c>
      <c r="V48" t="s">
        <v>223</v>
      </c>
      <c r="W48" t="s">
        <v>224</v>
      </c>
      <c r="X48" t="s">
        <v>225</v>
      </c>
      <c r="Y48" t="s">
        <v>2</v>
      </c>
      <c r="Z48" t="s">
        <v>2</v>
      </c>
      <c r="AA48" t="s">
        <v>80</v>
      </c>
      <c r="AB48">
        <f>COUNTA(Estimates_on_the_use_of_water__2020__a_3712[[#This Row],[name]:[wat_sur_u]])</f>
        <v>27</v>
      </c>
      <c r="AC48">
        <f>COUNT(Estimates_on_the_use_of_water__2020__a_3712[[#This Row],[name]:[wat_sur_u]])</f>
        <v>14</v>
      </c>
    </row>
    <row r="49" spans="1:29" x14ac:dyDescent="0.25">
      <c r="A49" t="s">
        <v>226</v>
      </c>
      <c r="B49" t="s">
        <v>34</v>
      </c>
      <c r="C49">
        <v>586.63397220000002</v>
      </c>
      <c r="D49" s="3">
        <f>Estimates_on_the_use_of_water__2020__a_3712[[#This Row],[pop_n]]*1000</f>
        <v>586633.97219999996</v>
      </c>
      <c r="E49" s="15">
        <f>Estimates_on_the_use_of_water__2020__a_3712[[#This Row],[pop_n]]/1000</f>
        <v>0.58663397220000002</v>
      </c>
      <c r="F49" s="15">
        <f>Estimates_on_the_use_of_water__2020__a_3712[[#This Row],[pop_n (m)]]*1000000</f>
        <v>586633.97220000008</v>
      </c>
      <c r="G49" s="14">
        <f>ROUND(Estimates_on_the_use_of_water__2020__a_3712[[#This Row],[pop_n (m)]],3)</f>
        <v>0.58699999999999997</v>
      </c>
      <c r="H49" s="14">
        <f>ROUNDUP(Estimates_on_the_use_of_water__2020__a_3712[[#This Row],[pop_n (m)]],3)</f>
        <v>0.58699999999999997</v>
      </c>
      <c r="I49" s="9" t="s">
        <v>227</v>
      </c>
      <c r="J49" s="1">
        <v>0.66149002080000008</v>
      </c>
      <c r="K49" s="2">
        <v>388052.51847256464</v>
      </c>
      <c r="L49" s="1">
        <v>388.05251847256466</v>
      </c>
      <c r="M49" s="2">
        <v>33.850997919999998</v>
      </c>
      <c r="N49" s="18" t="s">
        <v>228</v>
      </c>
      <c r="O49" s="19">
        <v>1.07</v>
      </c>
      <c r="P49" s="20" t="s">
        <v>229</v>
      </c>
      <c r="Q49" s="20">
        <f>ROUND(Estimates_on_the_use_of_water__2020__a_3712[[#This Row],[wat_unimp_n]],2)</f>
        <v>0.38</v>
      </c>
      <c r="R49" s="20" t="s">
        <v>230</v>
      </c>
      <c r="S49">
        <f>ROUND(Estimates_on_the_use_of_water__2020__a_3712[[#This Row],[wat_sur_n]],2)</f>
        <v>0.56000000000000005</v>
      </c>
      <c r="T49" t="s">
        <v>231</v>
      </c>
      <c r="U49" t="s">
        <v>232</v>
      </c>
      <c r="V49" t="s">
        <v>233</v>
      </c>
      <c r="W49" t="s">
        <v>234</v>
      </c>
      <c r="X49" t="s">
        <v>235</v>
      </c>
      <c r="Y49" t="s">
        <v>236</v>
      </c>
      <c r="Z49" t="s">
        <v>237</v>
      </c>
      <c r="AA49" t="s">
        <v>2</v>
      </c>
      <c r="AB49">
        <f>COUNTA(Estimates_on_the_use_of_water__2020__a_3712[[#This Row],[name]:[wat_sur_u]])</f>
        <v>27</v>
      </c>
      <c r="AC49">
        <f>COUNT(Estimates_on_the_use_of_water__2020__a_3712[[#This Row],[name]:[wat_sur_u]])</f>
        <v>13</v>
      </c>
    </row>
    <row r="50" spans="1:29" x14ac:dyDescent="0.25">
      <c r="A50" t="s">
        <v>238</v>
      </c>
      <c r="B50" t="s">
        <v>29</v>
      </c>
      <c r="C50">
        <v>625.97601320000001</v>
      </c>
      <c r="D50" s="3">
        <f>Estimates_on_the_use_of_water__2020__a_3712[[#This Row],[pop_n]]*1000</f>
        <v>625976.01320000004</v>
      </c>
      <c r="E50" s="15">
        <f>Estimates_on_the_use_of_water__2020__a_3712[[#This Row],[pop_n]]/1000</f>
        <v>0.62597601319999996</v>
      </c>
      <c r="F50" s="15">
        <f>Estimates_on_the_use_of_water__2020__a_3712[[#This Row],[pop_n (m)]]*1000000</f>
        <v>625976.01319999993</v>
      </c>
      <c r="G50" s="14">
        <f>ROUND(Estimates_on_the_use_of_water__2020__a_3712[[#This Row],[pop_n (m)]],3)</f>
        <v>0.626</v>
      </c>
      <c r="H50" s="14">
        <f>ROUNDUP(Estimates_on_the_use_of_water__2020__a_3712[[#This Row],[pop_n (m)]],3)</f>
        <v>0.626</v>
      </c>
      <c r="I50" s="9" t="s">
        <v>239</v>
      </c>
      <c r="J50" s="1">
        <v>0.91452995299999995</v>
      </c>
      <c r="K50" s="2">
        <v>572473.81393092335</v>
      </c>
      <c r="L50" s="1">
        <v>572.47381393092337</v>
      </c>
      <c r="M50" s="2">
        <v>8.5470047000000022</v>
      </c>
      <c r="N50" s="18" t="s">
        <v>240</v>
      </c>
      <c r="O50" s="19">
        <v>0</v>
      </c>
      <c r="P50" s="20" t="s">
        <v>241</v>
      </c>
      <c r="Q50" s="20">
        <f>ROUND(Estimates_on_the_use_of_water__2020__a_3712[[#This Row],[wat_unimp_n]],2)</f>
        <v>0.12</v>
      </c>
      <c r="R50" s="20" t="s">
        <v>2</v>
      </c>
      <c r="S50">
        <f>ROUND(Estimates_on_the_use_of_water__2020__a_3712[[#This Row],[wat_sur_n]],2)</f>
        <v>0</v>
      </c>
      <c r="T50" t="s">
        <v>242</v>
      </c>
      <c r="U50" t="s">
        <v>2</v>
      </c>
      <c r="V50" t="s">
        <v>243</v>
      </c>
      <c r="W50" t="s">
        <v>2</v>
      </c>
      <c r="X50" t="s">
        <v>15</v>
      </c>
      <c r="Y50" t="s">
        <v>2</v>
      </c>
      <c r="Z50" t="s">
        <v>2</v>
      </c>
      <c r="AA50" t="s">
        <v>2</v>
      </c>
      <c r="AB50">
        <f>COUNTA(Estimates_on_the_use_of_water__2020__a_3712[[#This Row],[name]:[wat_sur_u]])</f>
        <v>27</v>
      </c>
      <c r="AC50">
        <f>COUNT(Estimates_on_the_use_of_water__2020__a_3712[[#This Row],[name]:[wat_sur_u]])</f>
        <v>13</v>
      </c>
    </row>
    <row r="51" spans="1:29" x14ac:dyDescent="0.25">
      <c r="A51" t="s">
        <v>244</v>
      </c>
      <c r="B51" t="s">
        <v>34</v>
      </c>
      <c r="C51">
        <v>628.06201169999997</v>
      </c>
      <c r="D51" s="3">
        <f>Estimates_on_the_use_of_water__2020__a_3712[[#This Row],[pop_n]]*1000</f>
        <v>628062.01169999992</v>
      </c>
      <c r="E51" s="15">
        <f>Estimates_on_the_use_of_water__2020__a_3712[[#This Row],[pop_n]]/1000</f>
        <v>0.62806201169999998</v>
      </c>
      <c r="F51" s="15">
        <f>Estimates_on_the_use_of_water__2020__a_3712[[#This Row],[pop_n (m)]]*1000000</f>
        <v>628062.01170000003</v>
      </c>
      <c r="G51" s="14">
        <f>ROUND(Estimates_on_the_use_of_water__2020__a_3712[[#This Row],[pop_n (m)]],3)</f>
        <v>0.628</v>
      </c>
      <c r="H51" s="14">
        <f>ROUNDUP(Estimates_on_the_use_of_water__2020__a_3712[[#This Row],[pop_n (m)]],3)</f>
        <v>0.629</v>
      </c>
      <c r="I51" s="9" t="s">
        <v>245</v>
      </c>
      <c r="J51" s="1">
        <v>0.67488006589999994</v>
      </c>
      <c r="K51" s="2">
        <v>423866.53184538247</v>
      </c>
      <c r="L51" s="1">
        <v>423.8665318453825</v>
      </c>
      <c r="M51" s="2">
        <v>32.511993410000002</v>
      </c>
      <c r="N51" s="18" t="s">
        <v>246</v>
      </c>
      <c r="O51" s="19">
        <v>0.55000000000000004</v>
      </c>
      <c r="P51" s="20" t="s">
        <v>247</v>
      </c>
      <c r="Q51" s="20">
        <f>ROUND(Estimates_on_the_use_of_water__2020__a_3712[[#This Row],[wat_unimp_n]],2)</f>
        <v>0.59</v>
      </c>
      <c r="R51" s="20" t="s">
        <v>248</v>
      </c>
      <c r="S51">
        <f>ROUND(Estimates_on_the_use_of_water__2020__a_3712[[#This Row],[wat_sur_n]],2)</f>
        <v>0.01</v>
      </c>
      <c r="T51" t="s">
        <v>249</v>
      </c>
      <c r="U51" t="s">
        <v>2</v>
      </c>
      <c r="V51" t="s">
        <v>250</v>
      </c>
      <c r="W51" t="s">
        <v>251</v>
      </c>
      <c r="X51" t="s">
        <v>252</v>
      </c>
      <c r="Y51" t="s">
        <v>253</v>
      </c>
      <c r="Z51" t="s">
        <v>2</v>
      </c>
      <c r="AA51" t="s">
        <v>2</v>
      </c>
      <c r="AB51">
        <f>COUNTA(Estimates_on_the_use_of_water__2020__a_3712[[#This Row],[name]:[wat_sur_u]])</f>
        <v>27</v>
      </c>
      <c r="AC51">
        <f>COUNT(Estimates_on_the_use_of_water__2020__a_3712[[#This Row],[name]:[wat_sur_u]])</f>
        <v>13</v>
      </c>
    </row>
    <row r="52" spans="1:29" x14ac:dyDescent="0.25">
      <c r="A52" t="s">
        <v>254</v>
      </c>
      <c r="B52" t="s">
        <v>29</v>
      </c>
      <c r="C52">
        <v>649.34198000000004</v>
      </c>
      <c r="D52" s="3">
        <f>Estimates_on_the_use_of_water__2020__a_3712[[#This Row],[pop_n]]*1000</f>
        <v>649341.98</v>
      </c>
      <c r="E52" s="15">
        <f>Estimates_on_the_use_of_water__2020__a_3712[[#This Row],[pop_n]]/1000</f>
        <v>0.64934197999999999</v>
      </c>
      <c r="F52" s="15">
        <f>Estimates_on_the_use_of_water__2020__a_3712[[#This Row],[pop_n (m)]]*1000000</f>
        <v>649341.98</v>
      </c>
      <c r="G52" s="14">
        <f>ROUND(Estimates_on_the_use_of_water__2020__a_3712[[#This Row],[pop_n (m)]],3)</f>
        <v>0.64900000000000002</v>
      </c>
      <c r="H52" s="14">
        <f>ROUNDUP(Estimates_on_the_use_of_water__2020__a_3712[[#This Row],[pop_n (m)]],3)</f>
        <v>0.65</v>
      </c>
      <c r="I52" s="9" t="s">
        <v>15</v>
      </c>
      <c r="J52" s="1">
        <v>1</v>
      </c>
      <c r="K52" s="2">
        <v>649341.98</v>
      </c>
      <c r="L52" s="1">
        <v>649.34198000000004</v>
      </c>
      <c r="M52" s="2">
        <v>0</v>
      </c>
      <c r="N52" s="18" t="s">
        <v>15</v>
      </c>
      <c r="O52" s="19">
        <v>0</v>
      </c>
      <c r="P52" s="20" t="s">
        <v>2</v>
      </c>
      <c r="Q52" s="20">
        <f>ROUND(Estimates_on_the_use_of_water__2020__a_3712[[#This Row],[wat_unimp_n]],2)</f>
        <v>0</v>
      </c>
      <c r="R52" s="20" t="s">
        <v>2</v>
      </c>
      <c r="S52">
        <f>ROUND(Estimates_on_the_use_of_water__2020__a_3712[[#This Row],[wat_sur_n]],2)</f>
        <v>0</v>
      </c>
      <c r="T52">
        <v>0</v>
      </c>
      <c r="U52">
        <v>0</v>
      </c>
      <c r="V52">
        <v>0</v>
      </c>
      <c r="W52" t="s">
        <v>1</v>
      </c>
      <c r="X52" t="s">
        <v>15</v>
      </c>
      <c r="Y52" t="s">
        <v>2</v>
      </c>
      <c r="Z52" t="s">
        <v>2</v>
      </c>
      <c r="AA52" t="s">
        <v>2</v>
      </c>
      <c r="AB52">
        <f>COUNTA(Estimates_on_the_use_of_water__2020__a_3712[[#This Row],[name]:[wat_sur_u]])</f>
        <v>27</v>
      </c>
      <c r="AC52">
        <f>COUNT(Estimates_on_the_use_of_water__2020__a_3712[[#This Row],[name]:[wat_sur_u]])</f>
        <v>16</v>
      </c>
    </row>
    <row r="53" spans="1:29" x14ac:dyDescent="0.25">
      <c r="A53" t="s">
        <v>255</v>
      </c>
      <c r="B53" t="s">
        <v>106</v>
      </c>
      <c r="C53">
        <v>686.87799070000005</v>
      </c>
      <c r="D53" s="3">
        <f>Estimates_on_the_use_of_water__2020__a_3712[[#This Row],[pop_n]]*1000</f>
        <v>686877.99070000008</v>
      </c>
      <c r="E53" s="15">
        <f>Estimates_on_the_use_of_water__2020__a_3712[[#This Row],[pop_n]]/1000</f>
        <v>0.68687799070000011</v>
      </c>
      <c r="F53" s="15">
        <f>Estimates_on_the_use_of_water__2020__a_3712[[#This Row],[pop_n (m)]]*1000000</f>
        <v>686877.99070000008</v>
      </c>
      <c r="G53" s="14">
        <f>ROUND(Estimates_on_the_use_of_water__2020__a_3712[[#This Row],[pop_n (m)]],3)</f>
        <v>0.68700000000000006</v>
      </c>
      <c r="H53" s="14">
        <f>ROUNDUP(Estimates_on_the_use_of_water__2020__a_3712[[#This Row],[pop_n (m)]],3)</f>
        <v>0.68700000000000006</v>
      </c>
      <c r="I53" s="9" t="s">
        <v>256</v>
      </c>
      <c r="J53" s="1">
        <v>0.24670000080000001</v>
      </c>
      <c r="K53" s="2">
        <v>169452.80085519241</v>
      </c>
      <c r="L53" s="1">
        <v>169.45280085519241</v>
      </c>
      <c r="M53" s="2">
        <v>75.329999920000006</v>
      </c>
      <c r="N53" s="18" t="s">
        <v>257</v>
      </c>
      <c r="O53" s="19">
        <v>5.8</v>
      </c>
      <c r="P53" s="20" t="s">
        <v>258</v>
      </c>
      <c r="Q53" s="20">
        <f>ROUND(Estimates_on_the_use_of_water__2020__a_3712[[#This Row],[wat_unimp_n]],2)</f>
        <v>21.27</v>
      </c>
      <c r="R53" s="20" t="s">
        <v>259</v>
      </c>
      <c r="S53">
        <f>ROUND(Estimates_on_the_use_of_water__2020__a_3712[[#This Row],[wat_sur_n]],2)</f>
        <v>5.64</v>
      </c>
      <c r="T53" t="s">
        <v>260</v>
      </c>
      <c r="U53" t="s">
        <v>261</v>
      </c>
      <c r="V53" t="s">
        <v>262</v>
      </c>
      <c r="W53" t="s">
        <v>263</v>
      </c>
      <c r="X53" t="s">
        <v>264</v>
      </c>
      <c r="Y53" t="s">
        <v>265</v>
      </c>
      <c r="Z53" t="s">
        <v>266</v>
      </c>
      <c r="AA53" t="s">
        <v>267</v>
      </c>
      <c r="AB53">
        <f>COUNTA(Estimates_on_the_use_of_water__2020__a_3712[[#This Row],[name]:[wat_sur_u]])</f>
        <v>27</v>
      </c>
      <c r="AC53">
        <f>COUNT(Estimates_on_the_use_of_water__2020__a_3712[[#This Row],[name]:[wat_sur_u]])</f>
        <v>13</v>
      </c>
    </row>
    <row r="54" spans="1:29" x14ac:dyDescent="0.25">
      <c r="A54" t="s">
        <v>268</v>
      </c>
      <c r="B54" t="s">
        <v>106</v>
      </c>
      <c r="C54">
        <v>771.61199950000002</v>
      </c>
      <c r="D54" s="3">
        <f>Estimates_on_the_use_of_water__2020__a_3712[[#This Row],[pop_n]]*1000</f>
        <v>771611.99950000003</v>
      </c>
      <c r="E54" s="15">
        <f>Estimates_on_the_use_of_water__2020__a_3712[[#This Row],[pop_n]]/1000</f>
        <v>0.77161199950000003</v>
      </c>
      <c r="F54" s="15">
        <f>Estimates_on_the_use_of_water__2020__a_3712[[#This Row],[pop_n (m)]]*1000000</f>
        <v>771611.99950000003</v>
      </c>
      <c r="G54" s="14">
        <f>ROUND(Estimates_on_the_use_of_water__2020__a_3712[[#This Row],[pop_n (m)]],3)</f>
        <v>0.77200000000000002</v>
      </c>
      <c r="H54" s="14">
        <f>ROUNDUP(Estimates_on_the_use_of_water__2020__a_3712[[#This Row],[pop_n (m)]],3)</f>
        <v>0.77200000000000002</v>
      </c>
      <c r="I54" s="9" t="s">
        <v>269</v>
      </c>
      <c r="J54" s="1">
        <v>0.4231599808</v>
      </c>
      <c r="K54" s="2">
        <v>326515.31889346964</v>
      </c>
      <c r="L54" s="1">
        <v>326.51531889346961</v>
      </c>
      <c r="M54" s="2">
        <v>57.68400192</v>
      </c>
      <c r="N54" s="18" t="s">
        <v>270</v>
      </c>
      <c r="O54" s="19">
        <v>2.46</v>
      </c>
      <c r="P54" s="20" t="s">
        <v>271</v>
      </c>
      <c r="Q54" s="20">
        <f>ROUND(Estimates_on_the_use_of_water__2020__a_3712[[#This Row],[wat_unimp_n]],2)</f>
        <v>0.18</v>
      </c>
      <c r="R54" s="20" t="s">
        <v>272</v>
      </c>
      <c r="S54">
        <f>ROUND(Estimates_on_the_use_of_water__2020__a_3712[[#This Row],[wat_sur_n]],2)</f>
        <v>0.05</v>
      </c>
      <c r="T54" t="s">
        <v>273</v>
      </c>
      <c r="U54" t="s">
        <v>274</v>
      </c>
      <c r="V54" t="s">
        <v>2</v>
      </c>
      <c r="W54" t="s">
        <v>2</v>
      </c>
      <c r="X54" t="s">
        <v>275</v>
      </c>
      <c r="Y54" t="s">
        <v>276</v>
      </c>
      <c r="Z54" t="s">
        <v>277</v>
      </c>
      <c r="AA54" t="s">
        <v>278</v>
      </c>
      <c r="AB54">
        <f>COUNTA(Estimates_on_the_use_of_water__2020__a_3712[[#This Row],[name]:[wat_sur_u]])</f>
        <v>27</v>
      </c>
      <c r="AC54">
        <f>COUNT(Estimates_on_the_use_of_water__2020__a_3712[[#This Row],[name]:[wat_sur_u]])</f>
        <v>13</v>
      </c>
    </row>
    <row r="55" spans="1:29" x14ac:dyDescent="0.25">
      <c r="A55" t="s">
        <v>279</v>
      </c>
      <c r="B55" t="s">
        <v>34</v>
      </c>
      <c r="C55">
        <v>786.55902100000003</v>
      </c>
      <c r="D55" s="3">
        <f>Estimates_on_the_use_of_water__2020__a_3712[[#This Row],[pop_n]]*1000</f>
        <v>786559.02100000007</v>
      </c>
      <c r="E55" s="15">
        <f>Estimates_on_the_use_of_water__2020__a_3712[[#This Row],[pop_n]]/1000</f>
        <v>0.78655902100000008</v>
      </c>
      <c r="F55" s="15">
        <f>Estimates_on_the_use_of_water__2020__a_3712[[#This Row],[pop_n (m)]]*1000000</f>
        <v>786559.02100000007</v>
      </c>
      <c r="G55" s="14">
        <f>ROUND(Estimates_on_the_use_of_water__2020__a_3712[[#This Row],[pop_n (m)]],3)</f>
        <v>0.78700000000000003</v>
      </c>
      <c r="H55" s="14">
        <f>ROUNDUP(Estimates_on_the_use_of_water__2020__a_3712[[#This Row],[pop_n (m)]],3)</f>
        <v>0.78700000000000003</v>
      </c>
      <c r="I55" s="9" t="s">
        <v>280</v>
      </c>
      <c r="J55" s="1">
        <v>0.26785999300000002</v>
      </c>
      <c r="K55" s="2">
        <v>210687.69385914688</v>
      </c>
      <c r="L55" s="1">
        <v>210.68769385914686</v>
      </c>
      <c r="M55" s="2">
        <v>73.2140007</v>
      </c>
      <c r="N55" s="18" t="s">
        <v>281</v>
      </c>
      <c r="O55" s="19">
        <v>1.21</v>
      </c>
      <c r="P55" s="20" t="s">
        <v>282</v>
      </c>
      <c r="Q55" s="20">
        <f>ROUND(Estimates_on_the_use_of_water__2020__a_3712[[#This Row],[wat_unimp_n]],2)</f>
        <v>1.1399999999999999</v>
      </c>
      <c r="R55" s="20" t="s">
        <v>283</v>
      </c>
      <c r="S55">
        <f>ROUND(Estimates_on_the_use_of_water__2020__a_3712[[#This Row],[wat_sur_n]],2)</f>
        <v>2.1</v>
      </c>
      <c r="T55" t="s">
        <v>284</v>
      </c>
      <c r="U55" t="s">
        <v>285</v>
      </c>
      <c r="V55" t="s">
        <v>286</v>
      </c>
      <c r="W55" t="s">
        <v>287</v>
      </c>
      <c r="X55" t="s">
        <v>15</v>
      </c>
      <c r="Y55" t="s">
        <v>2</v>
      </c>
      <c r="Z55" t="s">
        <v>2</v>
      </c>
      <c r="AA55" t="s">
        <v>2</v>
      </c>
      <c r="AB55">
        <f>COUNTA(Estimates_on_the_use_of_water__2020__a_3712[[#This Row],[name]:[wat_sur_u]])</f>
        <v>27</v>
      </c>
      <c r="AC55">
        <f>COUNT(Estimates_on_the_use_of_water__2020__a_3712[[#This Row],[name]:[wat_sur_u]])</f>
        <v>13</v>
      </c>
    </row>
    <row r="56" spans="1:29" x14ac:dyDescent="0.25">
      <c r="A56" t="s">
        <v>288</v>
      </c>
      <c r="B56" t="s">
        <v>1</v>
      </c>
      <c r="C56">
        <v>895.30798340000001</v>
      </c>
      <c r="D56" s="3">
        <f>Estimates_on_the_use_of_water__2020__a_3712[[#This Row],[pop_n]]*1000</f>
        <v>895307.98340000003</v>
      </c>
      <c r="E56" s="15">
        <f>Estimates_on_the_use_of_water__2020__a_3712[[#This Row],[pop_n]]/1000</f>
        <v>0.89530798340000006</v>
      </c>
      <c r="F56" s="15">
        <f>Estimates_on_the_use_of_water__2020__a_3712[[#This Row],[pop_n (m)]]*1000000</f>
        <v>895307.98340000003</v>
      </c>
      <c r="G56" s="14">
        <f>ROUND(Estimates_on_the_use_of_water__2020__a_3712[[#This Row],[pop_n (m)]],3)</f>
        <v>0.89500000000000002</v>
      </c>
      <c r="H56" s="14">
        <f>ROUNDUP(Estimates_on_the_use_of_water__2020__a_3712[[#This Row],[pop_n (m)]],3)</f>
        <v>0.89600000000000002</v>
      </c>
      <c r="I56" s="9" t="s">
        <v>289</v>
      </c>
      <c r="J56" s="1">
        <v>0.99659004210000002</v>
      </c>
      <c r="K56" s="2">
        <v>892255.02086907218</v>
      </c>
      <c r="L56" s="1">
        <v>892.25502086907215</v>
      </c>
      <c r="M56" s="2">
        <v>0.3409957899999938</v>
      </c>
      <c r="N56" s="18" t="s">
        <v>15</v>
      </c>
      <c r="O56" s="19">
        <v>0</v>
      </c>
      <c r="P56" s="20" t="s">
        <v>2</v>
      </c>
      <c r="Q56" s="20">
        <f>ROUND(Estimates_on_the_use_of_water__2020__a_3712[[#This Row],[wat_unimp_n]],2)</f>
        <v>0</v>
      </c>
      <c r="R56" s="20" t="s">
        <v>2</v>
      </c>
      <c r="S56">
        <f>ROUND(Estimates_on_the_use_of_water__2020__a_3712[[#This Row],[wat_sur_n]],2)</f>
        <v>0</v>
      </c>
      <c r="T56">
        <v>0</v>
      </c>
      <c r="U56">
        <v>0</v>
      </c>
      <c r="V56">
        <v>0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>
        <f>COUNTA(Estimates_on_the_use_of_water__2020__a_3712[[#This Row],[name]:[wat_sur_u]])</f>
        <v>27</v>
      </c>
      <c r="AC56">
        <f>COUNT(Estimates_on_the_use_of_water__2020__a_3712[[#This Row],[name]:[wat_sur_u]])</f>
        <v>16</v>
      </c>
    </row>
    <row r="57" spans="1:29" x14ac:dyDescent="0.25">
      <c r="A57" t="s">
        <v>290</v>
      </c>
      <c r="B57" t="s">
        <v>34</v>
      </c>
      <c r="C57">
        <v>896.44396970000003</v>
      </c>
      <c r="D57" s="3">
        <f>Estimates_on_the_use_of_water__2020__a_3712[[#This Row],[pop_n]]*1000</f>
        <v>896443.96970000002</v>
      </c>
      <c r="E57" s="15">
        <f>Estimates_on_the_use_of_water__2020__a_3712[[#This Row],[pop_n]]/1000</f>
        <v>0.89644396970000007</v>
      </c>
      <c r="F57" s="15">
        <f>Estimates_on_the_use_of_water__2020__a_3712[[#This Row],[pop_n (m)]]*1000000</f>
        <v>896443.96970000002</v>
      </c>
      <c r="G57" s="14">
        <f>ROUND(Estimates_on_the_use_of_water__2020__a_3712[[#This Row],[pop_n (m)]],3)</f>
        <v>0.89600000000000002</v>
      </c>
      <c r="H57" s="14">
        <f>ROUNDUP(Estimates_on_the_use_of_water__2020__a_3712[[#This Row],[pop_n (m)]],3)</f>
        <v>0.89700000000000002</v>
      </c>
      <c r="I57" s="9" t="s">
        <v>291</v>
      </c>
      <c r="J57" s="1">
        <v>0.5724700546</v>
      </c>
      <c r="K57" s="2">
        <v>513187.32827999978</v>
      </c>
      <c r="L57" s="1">
        <v>513.18732827999975</v>
      </c>
      <c r="M57" s="2">
        <v>42.752994540000003</v>
      </c>
      <c r="N57" s="18" t="s">
        <v>292</v>
      </c>
      <c r="O57" s="19">
        <v>0</v>
      </c>
      <c r="P57" s="20" t="s">
        <v>293</v>
      </c>
      <c r="Q57" s="20">
        <f>ROUND(Estimates_on_the_use_of_water__2020__a_3712[[#This Row],[wat_unimp_n]],2)</f>
        <v>3.32</v>
      </c>
      <c r="R57" s="20" t="s">
        <v>294</v>
      </c>
      <c r="S57">
        <f>ROUND(Estimates_on_the_use_of_water__2020__a_3712[[#This Row],[wat_sur_n]],2)</f>
        <v>2.38</v>
      </c>
      <c r="T57" t="s">
        <v>295</v>
      </c>
      <c r="U57" t="s">
        <v>2</v>
      </c>
      <c r="V57" t="s">
        <v>296</v>
      </c>
      <c r="W57" t="s">
        <v>297</v>
      </c>
      <c r="X57" t="s">
        <v>298</v>
      </c>
      <c r="Y57" t="s">
        <v>2</v>
      </c>
      <c r="Z57" t="s">
        <v>299</v>
      </c>
      <c r="AA57" t="s">
        <v>300</v>
      </c>
      <c r="AB57">
        <f>COUNTA(Estimates_on_the_use_of_water__2020__a_3712[[#This Row],[name]:[wat_sur_u]])</f>
        <v>27</v>
      </c>
      <c r="AC57">
        <f>COUNT(Estimates_on_the_use_of_water__2020__a_3712[[#This Row],[name]:[wat_sur_u]])</f>
        <v>13</v>
      </c>
    </row>
    <row r="58" spans="1:29" x14ac:dyDescent="0.25">
      <c r="A58" t="s">
        <v>301</v>
      </c>
      <c r="B58" t="s">
        <v>106</v>
      </c>
      <c r="C58">
        <v>988.00201419999996</v>
      </c>
      <c r="D58" s="3">
        <f>Estimates_on_the_use_of_water__2020__a_3712[[#This Row],[pop_n]]*1000</f>
        <v>988002.01419999998</v>
      </c>
      <c r="E58" s="15">
        <f>Estimates_on_the_use_of_water__2020__a_3712[[#This Row],[pop_n]]/1000</f>
        <v>0.9880020142</v>
      </c>
      <c r="F58" s="15">
        <f>Estimates_on_the_use_of_water__2020__a_3712[[#This Row],[pop_n (m)]]*1000000</f>
        <v>988002.01419999998</v>
      </c>
      <c r="G58" s="14">
        <f>ROUND(Estimates_on_the_use_of_water__2020__a_3712[[#This Row],[pop_n (m)]],3)</f>
        <v>0.98799999999999999</v>
      </c>
      <c r="H58" s="14">
        <f>ROUNDUP(Estimates_on_the_use_of_water__2020__a_3712[[#This Row],[pop_n (m)]],3)</f>
        <v>0.98899999999999999</v>
      </c>
      <c r="I58" s="9" t="s">
        <v>302</v>
      </c>
      <c r="J58" s="1">
        <v>0.78061996460000005</v>
      </c>
      <c r="K58" s="2">
        <v>771254.09734953276</v>
      </c>
      <c r="L58" s="1">
        <v>771.25409734953269</v>
      </c>
      <c r="M58" s="2">
        <v>21.938003539999997</v>
      </c>
      <c r="N58" s="18" t="s">
        <v>303</v>
      </c>
      <c r="O58" s="19">
        <v>14.76</v>
      </c>
      <c r="P58" s="20" t="s">
        <v>304</v>
      </c>
      <c r="Q58" s="20">
        <f>ROUND(Estimates_on_the_use_of_water__2020__a_3712[[#This Row],[wat_unimp_n]],2)</f>
        <v>7.02</v>
      </c>
      <c r="R58" s="20" t="s">
        <v>305</v>
      </c>
      <c r="S58">
        <f>ROUND(Estimates_on_the_use_of_water__2020__a_3712[[#This Row],[wat_sur_n]],2)</f>
        <v>2.1800000000000002</v>
      </c>
      <c r="T58" t="s">
        <v>306</v>
      </c>
      <c r="U58" t="s">
        <v>307</v>
      </c>
      <c r="V58" t="s">
        <v>308</v>
      </c>
      <c r="W58" t="s">
        <v>309</v>
      </c>
      <c r="X58" t="s">
        <v>310</v>
      </c>
      <c r="Y58" t="s">
        <v>311</v>
      </c>
      <c r="Z58" t="s">
        <v>312</v>
      </c>
      <c r="AA58" t="s">
        <v>2</v>
      </c>
      <c r="AB58">
        <f>COUNTA(Estimates_on_the_use_of_water__2020__a_3712[[#This Row],[name]:[wat_sur_u]])</f>
        <v>27</v>
      </c>
      <c r="AC58">
        <f>COUNT(Estimates_on_the_use_of_water__2020__a_3712[[#This Row],[name]:[wat_sur_u]])</f>
        <v>13</v>
      </c>
    </row>
    <row r="59" spans="1:29" x14ac:dyDescent="0.25">
      <c r="A59" t="s">
        <v>313</v>
      </c>
      <c r="B59" t="s">
        <v>106</v>
      </c>
      <c r="C59">
        <v>1160.1639399999999</v>
      </c>
      <c r="D59" s="3">
        <f>Estimates_on_the_use_of_water__2020__a_3712[[#This Row],[pop_n]]*1000</f>
        <v>1160163.94</v>
      </c>
      <c r="E59" s="15">
        <f>Estimates_on_the_use_of_water__2020__a_3712[[#This Row],[pop_n]]/1000</f>
        <v>1.1601639399999999</v>
      </c>
      <c r="F59" s="15">
        <f>Estimates_on_the_use_of_water__2020__a_3712[[#This Row],[pop_n (m)]]*1000000</f>
        <v>1160163.94</v>
      </c>
      <c r="G59" s="14">
        <f>ROUND(Estimates_on_the_use_of_water__2020__a_3712[[#This Row],[pop_n (m)]],3)</f>
        <v>1.1599999999999999</v>
      </c>
      <c r="H59" s="14">
        <f>ROUNDUP(Estimates_on_the_use_of_water__2020__a_3712[[#This Row],[pop_n (m)]],3)</f>
        <v>1.1609999999999998</v>
      </c>
      <c r="I59" s="9" t="s">
        <v>314</v>
      </c>
      <c r="J59" s="1">
        <v>0.2417100143</v>
      </c>
      <c r="K59" s="2">
        <v>280423.24252774433</v>
      </c>
      <c r="L59" s="1">
        <v>280.42324252774432</v>
      </c>
      <c r="M59" s="2">
        <v>75.828998569999996</v>
      </c>
      <c r="N59" s="18" t="s">
        <v>315</v>
      </c>
      <c r="O59" s="19">
        <v>9.51</v>
      </c>
      <c r="P59" s="20" t="s">
        <v>316</v>
      </c>
      <c r="Q59" s="20">
        <f>ROUND(Estimates_on_the_use_of_water__2020__a_3712[[#This Row],[wat_unimp_n]],2)</f>
        <v>9.84</v>
      </c>
      <c r="R59" s="20" t="s">
        <v>317</v>
      </c>
      <c r="S59">
        <f>ROUND(Estimates_on_the_use_of_water__2020__a_3712[[#This Row],[wat_sur_n]],2)</f>
        <v>9.9</v>
      </c>
      <c r="T59" t="s">
        <v>318</v>
      </c>
      <c r="U59" t="s">
        <v>319</v>
      </c>
      <c r="V59" t="s">
        <v>320</v>
      </c>
      <c r="W59" t="s">
        <v>321</v>
      </c>
      <c r="X59" t="s">
        <v>322</v>
      </c>
      <c r="Y59" t="s">
        <v>323</v>
      </c>
      <c r="Z59" t="s">
        <v>324</v>
      </c>
      <c r="AA59" t="s">
        <v>325</v>
      </c>
      <c r="AB59">
        <f>COUNTA(Estimates_on_the_use_of_water__2020__a_3712[[#This Row],[name]:[wat_sur_u]])</f>
        <v>27</v>
      </c>
      <c r="AC59">
        <f>COUNT(Estimates_on_the_use_of_water__2020__a_3712[[#This Row],[name]:[wat_sur_u]])</f>
        <v>13</v>
      </c>
    </row>
    <row r="60" spans="1:29" x14ac:dyDescent="0.25">
      <c r="A60" t="s">
        <v>326</v>
      </c>
      <c r="B60" t="s">
        <v>29</v>
      </c>
      <c r="C60">
        <v>1207.360962</v>
      </c>
      <c r="D60" s="3">
        <f>Estimates_on_the_use_of_water__2020__a_3712[[#This Row],[pop_n]]*1000</f>
        <v>1207360.9620000001</v>
      </c>
      <c r="E60" s="15">
        <f>Estimates_on_the_use_of_water__2020__a_3712[[#This Row],[pop_n]]/1000</f>
        <v>1.2073609619999999</v>
      </c>
      <c r="F60" s="15">
        <f>Estimates_on_the_use_of_water__2020__a_3712[[#This Row],[pop_n (m)]]*1000000</f>
        <v>1207360.9619999998</v>
      </c>
      <c r="G60" s="14">
        <f>ROUND(Estimates_on_the_use_of_water__2020__a_3712[[#This Row],[pop_n (m)]],3)</f>
        <v>1.2070000000000001</v>
      </c>
      <c r="H60" s="14">
        <f>ROUNDUP(Estimates_on_the_use_of_water__2020__a_3712[[#This Row],[pop_n (m)]],3)</f>
        <v>1.208</v>
      </c>
      <c r="I60" s="9" t="s">
        <v>327</v>
      </c>
      <c r="J60" s="1">
        <v>0.66820999150000004</v>
      </c>
      <c r="K60" s="2">
        <v>806770.65815545188</v>
      </c>
      <c r="L60" s="1">
        <v>806.77065815545188</v>
      </c>
      <c r="M60" s="2">
        <v>33.179000849999994</v>
      </c>
      <c r="N60" s="18" t="s">
        <v>328</v>
      </c>
      <c r="O60" s="19">
        <v>0</v>
      </c>
      <c r="P60" s="20" t="s">
        <v>329</v>
      </c>
      <c r="Q60" s="20">
        <f>ROUND(Estimates_on_the_use_of_water__2020__a_3712[[#This Row],[wat_unimp_n]],2)</f>
        <v>0.23</v>
      </c>
      <c r="R60" s="20" t="s">
        <v>2</v>
      </c>
      <c r="S60">
        <f>ROUND(Estimates_on_the_use_of_water__2020__a_3712[[#This Row],[wat_sur_n]],2)</f>
        <v>0</v>
      </c>
      <c r="T60" t="s">
        <v>330</v>
      </c>
      <c r="U60" t="s">
        <v>2</v>
      </c>
      <c r="V60" t="s">
        <v>331</v>
      </c>
      <c r="W60" t="s">
        <v>2</v>
      </c>
      <c r="X60" t="s">
        <v>332</v>
      </c>
      <c r="Y60" t="s">
        <v>2</v>
      </c>
      <c r="Z60" t="s">
        <v>333</v>
      </c>
      <c r="AA60" t="s">
        <v>2</v>
      </c>
      <c r="AB60">
        <f>COUNTA(Estimates_on_the_use_of_water__2020__a_3712[[#This Row],[name]:[wat_sur_u]])</f>
        <v>27</v>
      </c>
      <c r="AC60">
        <f>COUNT(Estimates_on_the_use_of_water__2020__a_3712[[#This Row],[name]:[wat_sur_u]])</f>
        <v>13</v>
      </c>
    </row>
    <row r="61" spans="1:29" x14ac:dyDescent="0.25">
      <c r="A61" t="s">
        <v>334</v>
      </c>
      <c r="B61" t="s">
        <v>34</v>
      </c>
      <c r="C61">
        <v>1271.7669679999999</v>
      </c>
      <c r="D61" s="3">
        <f>Estimates_on_the_use_of_water__2020__a_3712[[#This Row],[pop_n]]*1000</f>
        <v>1271766.9679999999</v>
      </c>
      <c r="E61" s="15">
        <f>Estimates_on_the_use_of_water__2020__a_3712[[#This Row],[pop_n]]/1000</f>
        <v>1.2717669679999999</v>
      </c>
      <c r="F61" s="15">
        <f>Estimates_on_the_use_of_water__2020__a_3712[[#This Row],[pop_n (m)]]*1000000</f>
        <v>1271766.9679999999</v>
      </c>
      <c r="G61" s="14">
        <f>ROUND(Estimates_on_the_use_of_water__2020__a_3712[[#This Row],[pop_n (m)]],3)</f>
        <v>1.272</v>
      </c>
      <c r="H61" s="14">
        <f>ROUNDUP(Estimates_on_the_use_of_water__2020__a_3712[[#This Row],[pop_n (m)]],3)</f>
        <v>1.2719999999999998</v>
      </c>
      <c r="I61" s="9" t="s">
        <v>335</v>
      </c>
      <c r="J61" s="1">
        <v>0.40759998320000002</v>
      </c>
      <c r="K61" s="2">
        <v>518372.19479111489</v>
      </c>
      <c r="L61" s="1">
        <v>518.37219479111491</v>
      </c>
      <c r="M61" s="2">
        <v>59.240001679999999</v>
      </c>
      <c r="N61" s="18" t="s">
        <v>336</v>
      </c>
      <c r="O61" s="19">
        <v>0</v>
      </c>
      <c r="P61" s="20" t="s">
        <v>337</v>
      </c>
      <c r="Q61" s="20">
        <f>ROUND(Estimates_on_the_use_of_water__2020__a_3712[[#This Row],[wat_unimp_n]],2)</f>
        <v>0.13</v>
      </c>
      <c r="R61" s="20" t="s">
        <v>2</v>
      </c>
      <c r="S61">
        <f>ROUND(Estimates_on_the_use_of_water__2020__a_3712[[#This Row],[wat_sur_n]],2)</f>
        <v>0</v>
      </c>
      <c r="T61" t="s">
        <v>338</v>
      </c>
      <c r="U61" t="s">
        <v>2</v>
      </c>
      <c r="V61" t="s">
        <v>339</v>
      </c>
      <c r="W61" t="s">
        <v>2</v>
      </c>
      <c r="X61" t="s">
        <v>340</v>
      </c>
      <c r="Y61" t="s">
        <v>2</v>
      </c>
      <c r="Z61" t="s">
        <v>341</v>
      </c>
      <c r="AA61" t="s">
        <v>2</v>
      </c>
      <c r="AB61">
        <f>COUNTA(Estimates_on_the_use_of_water__2020__a_3712[[#This Row],[name]:[wat_sur_u]])</f>
        <v>27</v>
      </c>
      <c r="AC61">
        <f>COUNT(Estimates_on_the_use_of_water__2020__a_3712[[#This Row],[name]:[wat_sur_u]])</f>
        <v>13</v>
      </c>
    </row>
    <row r="62" spans="1:29" x14ac:dyDescent="0.25">
      <c r="A62" t="s">
        <v>342</v>
      </c>
      <c r="B62" t="s">
        <v>106</v>
      </c>
      <c r="C62">
        <v>1318.4420170000001</v>
      </c>
      <c r="D62" s="3">
        <f>Estimates_on_the_use_of_water__2020__a_3712[[#This Row],[pop_n]]*1000</f>
        <v>1318442.017</v>
      </c>
      <c r="E62" s="15">
        <f>Estimates_on_the_use_of_water__2020__a_3712[[#This Row],[pop_n]]/1000</f>
        <v>1.3184420170000002</v>
      </c>
      <c r="F62" s="15">
        <f>Estimates_on_the_use_of_water__2020__a_3712[[#This Row],[pop_n (m)]]*1000000</f>
        <v>1318442.0170000002</v>
      </c>
      <c r="G62" s="14">
        <f>ROUND(Estimates_on_the_use_of_water__2020__a_3712[[#This Row],[pop_n (m)]],3)</f>
        <v>1.3180000000000001</v>
      </c>
      <c r="H62" s="14">
        <f>ROUNDUP(Estimates_on_the_use_of_water__2020__a_3712[[#This Row],[pop_n (m)]],3)</f>
        <v>1.319</v>
      </c>
      <c r="I62" s="9" t="s">
        <v>343</v>
      </c>
      <c r="J62" s="1">
        <v>0.3131999969</v>
      </c>
      <c r="K62" s="2">
        <v>412936.03563722974</v>
      </c>
      <c r="L62" s="1">
        <v>412.93603563722979</v>
      </c>
      <c r="M62" s="2">
        <v>68.680000309999997</v>
      </c>
      <c r="N62" s="18" t="s">
        <v>344</v>
      </c>
      <c r="O62" s="19">
        <v>1.89</v>
      </c>
      <c r="P62" s="20" t="s">
        <v>345</v>
      </c>
      <c r="Q62" s="20">
        <f>ROUND(Estimates_on_the_use_of_water__2020__a_3712[[#This Row],[wat_unimp_n]],2)</f>
        <v>8.36</v>
      </c>
      <c r="R62" s="20" t="s">
        <v>346</v>
      </c>
      <c r="S62">
        <f>ROUND(Estimates_on_the_use_of_water__2020__a_3712[[#This Row],[wat_sur_n]],2)</f>
        <v>4.26</v>
      </c>
      <c r="T62" t="s">
        <v>347</v>
      </c>
      <c r="U62" t="s">
        <v>348</v>
      </c>
      <c r="V62" t="s">
        <v>349</v>
      </c>
      <c r="W62" t="s">
        <v>350</v>
      </c>
      <c r="X62" t="s">
        <v>351</v>
      </c>
      <c r="Y62" t="s">
        <v>352</v>
      </c>
      <c r="Z62" t="s">
        <v>353</v>
      </c>
      <c r="AA62" t="s">
        <v>2</v>
      </c>
      <c r="AB62">
        <f>COUNTA(Estimates_on_the_use_of_water__2020__a_3712[[#This Row],[name]:[wat_sur_u]])</f>
        <v>27</v>
      </c>
      <c r="AC62">
        <f>COUNT(Estimates_on_the_use_of_water__2020__a_3712[[#This Row],[name]:[wat_sur_u]])</f>
        <v>13</v>
      </c>
    </row>
    <row r="63" spans="1:29" x14ac:dyDescent="0.25">
      <c r="A63" t="s">
        <v>354</v>
      </c>
      <c r="B63" t="s">
        <v>29</v>
      </c>
      <c r="C63">
        <v>1326.5389399999999</v>
      </c>
      <c r="D63" s="3">
        <f>Estimates_on_the_use_of_water__2020__a_3712[[#This Row],[pop_n]]*1000</f>
        <v>1326538.94</v>
      </c>
      <c r="E63" s="15">
        <f>Estimates_on_the_use_of_water__2020__a_3712[[#This Row],[pop_n]]/1000</f>
        <v>1.3265389399999998</v>
      </c>
      <c r="F63" s="15">
        <f>Estimates_on_the_use_of_water__2020__a_3712[[#This Row],[pop_n (m)]]*1000000</f>
        <v>1326538.94</v>
      </c>
      <c r="G63" s="14">
        <f>ROUND(Estimates_on_the_use_of_water__2020__a_3712[[#This Row],[pop_n (m)]],3)</f>
        <v>1.327</v>
      </c>
      <c r="H63" s="14">
        <f>ROUNDUP(Estimates_on_the_use_of_water__2020__a_3712[[#This Row],[pop_n (m)]],3)</f>
        <v>1.327</v>
      </c>
      <c r="I63" s="9" t="s">
        <v>355</v>
      </c>
      <c r="J63" s="1">
        <v>0.69229003909999998</v>
      </c>
      <c r="K63" s="2">
        <v>918349.69464027253</v>
      </c>
      <c r="L63" s="1">
        <v>918.34969464027245</v>
      </c>
      <c r="M63" s="2">
        <v>30.770996089999997</v>
      </c>
      <c r="N63" s="18" t="s">
        <v>356</v>
      </c>
      <c r="O63" s="19">
        <v>0</v>
      </c>
      <c r="P63" s="20" t="s">
        <v>357</v>
      </c>
      <c r="Q63" s="20">
        <f>ROUND(Estimates_on_the_use_of_water__2020__a_3712[[#This Row],[wat_unimp_n]],2)</f>
        <v>0.41</v>
      </c>
      <c r="R63" s="20" t="s">
        <v>2</v>
      </c>
      <c r="S63">
        <f>ROUND(Estimates_on_the_use_of_water__2020__a_3712[[#This Row],[wat_sur_n]],2)</f>
        <v>0</v>
      </c>
      <c r="T63">
        <v>0</v>
      </c>
      <c r="U63">
        <v>0</v>
      </c>
      <c r="V63">
        <v>0</v>
      </c>
      <c r="W63" t="s">
        <v>1</v>
      </c>
      <c r="X63" t="s">
        <v>358</v>
      </c>
      <c r="Y63" t="s">
        <v>2</v>
      </c>
      <c r="Z63" t="s">
        <v>359</v>
      </c>
      <c r="AA63" t="s">
        <v>2</v>
      </c>
      <c r="AB63">
        <f>COUNTA(Estimates_on_the_use_of_water__2020__a_3712[[#This Row],[name]:[wat_sur_u]])</f>
        <v>27</v>
      </c>
      <c r="AC63">
        <f>COUNT(Estimates_on_the_use_of_water__2020__a_3712[[#This Row],[name]:[wat_sur_u]])</f>
        <v>16</v>
      </c>
    </row>
    <row r="64" spans="1:29" x14ac:dyDescent="0.25">
      <c r="A64" t="s">
        <v>360</v>
      </c>
      <c r="B64" t="s">
        <v>29</v>
      </c>
      <c r="C64">
        <v>1399.490967</v>
      </c>
      <c r="D64" s="3">
        <f>Estimates_on_the_use_of_water__2020__a_3712[[#This Row],[pop_n]]*1000</f>
        <v>1399490.9669999999</v>
      </c>
      <c r="E64" s="15">
        <f>Estimates_on_the_use_of_water__2020__a_3712[[#This Row],[pop_n]]/1000</f>
        <v>1.399490967</v>
      </c>
      <c r="F64" s="15">
        <f>Estimates_on_the_use_of_water__2020__a_3712[[#This Row],[pop_n (m)]]*1000000</f>
        <v>1399490.9669999999</v>
      </c>
      <c r="G64" s="14">
        <f>ROUND(Estimates_on_the_use_of_water__2020__a_3712[[#This Row],[pop_n (m)]],3)</f>
        <v>1.399</v>
      </c>
      <c r="H64" s="14">
        <f>ROUNDUP(Estimates_on_the_use_of_water__2020__a_3712[[#This Row],[pop_n (m)]],3)</f>
        <v>1.4</v>
      </c>
      <c r="I64" s="9" t="s">
        <v>361</v>
      </c>
      <c r="J64" s="1">
        <v>0.53214000699999997</v>
      </c>
      <c r="K64" s="2">
        <v>744725.13297581673</v>
      </c>
      <c r="L64" s="1">
        <v>744.72513297581668</v>
      </c>
      <c r="M64" s="2">
        <v>46.7859993</v>
      </c>
      <c r="N64" s="18" t="s">
        <v>362</v>
      </c>
      <c r="O64" s="19">
        <v>1.1200000000000001</v>
      </c>
      <c r="P64" s="20" t="s">
        <v>2</v>
      </c>
      <c r="Q64" s="20">
        <f>ROUND(Estimates_on_the_use_of_water__2020__a_3712[[#This Row],[wat_unimp_n]],2)</f>
        <v>0</v>
      </c>
      <c r="R64" s="20" t="s">
        <v>2</v>
      </c>
      <c r="S64">
        <f>ROUND(Estimates_on_the_use_of_water__2020__a_3712[[#This Row],[wat_sur_n]],2)</f>
        <v>0</v>
      </c>
      <c r="T64">
        <v>0</v>
      </c>
      <c r="U64">
        <v>0</v>
      </c>
      <c r="V64">
        <v>0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>
        <f>COUNTA(Estimates_on_the_use_of_water__2020__a_3712[[#This Row],[name]:[wat_sur_u]])</f>
        <v>27</v>
      </c>
      <c r="AC64">
        <f>COUNT(Estimates_on_the_use_of_water__2020__a_3712[[#This Row],[name]:[wat_sur_u]])</f>
        <v>16</v>
      </c>
    </row>
    <row r="65" spans="1:29" x14ac:dyDescent="0.25">
      <c r="A65" t="s">
        <v>363</v>
      </c>
      <c r="B65" t="s">
        <v>29</v>
      </c>
      <c r="C65">
        <v>1701.5830080000001</v>
      </c>
      <c r="D65" s="3">
        <f>Estimates_on_the_use_of_water__2020__a_3712[[#This Row],[pop_n]]*1000</f>
        <v>1701583.0080000001</v>
      </c>
      <c r="E65" s="15">
        <f>Estimates_on_the_use_of_water__2020__a_3712[[#This Row],[pop_n]]/1000</f>
        <v>1.7015830080000001</v>
      </c>
      <c r="F65" s="15">
        <f>Estimates_on_the_use_of_water__2020__a_3712[[#This Row],[pop_n (m)]]*1000000</f>
        <v>1701583.0080000001</v>
      </c>
      <c r="G65" s="14">
        <f>ROUND(Estimates_on_the_use_of_water__2020__a_3712[[#This Row],[pop_n (m)]],3)</f>
        <v>1.702</v>
      </c>
      <c r="H65" s="14">
        <f>ROUNDUP(Estimates_on_the_use_of_water__2020__a_3712[[#This Row],[pop_n (m)]],3)</f>
        <v>1.702</v>
      </c>
      <c r="I65" s="9" t="s">
        <v>364</v>
      </c>
      <c r="J65" s="1">
        <v>0.8950600433</v>
      </c>
      <c r="K65" s="2">
        <v>1523018.9608190244</v>
      </c>
      <c r="L65" s="1">
        <v>1523.0189608190242</v>
      </c>
      <c r="M65" s="2">
        <v>10.493995670000004</v>
      </c>
      <c r="N65" s="18" t="s">
        <v>15</v>
      </c>
      <c r="O65" s="19">
        <v>0</v>
      </c>
      <c r="P65" s="20" t="s">
        <v>2</v>
      </c>
      <c r="Q65" s="20">
        <f>ROUND(Estimates_on_the_use_of_water__2020__a_3712[[#This Row],[wat_unimp_n]],2)</f>
        <v>0</v>
      </c>
      <c r="R65" s="20" t="s">
        <v>2</v>
      </c>
      <c r="S65">
        <f>ROUND(Estimates_on_the_use_of_water__2020__a_3712[[#This Row],[wat_sur_n]],2)</f>
        <v>0</v>
      </c>
      <c r="T65">
        <v>0</v>
      </c>
      <c r="U65">
        <v>0</v>
      </c>
      <c r="V65">
        <v>0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>
        <f>COUNTA(Estimates_on_the_use_of_water__2020__a_3712[[#This Row],[name]:[wat_sur_u]])</f>
        <v>27</v>
      </c>
      <c r="AC65">
        <f>COUNT(Estimates_on_the_use_of_water__2020__a_3712[[#This Row],[name]:[wat_sur_u]])</f>
        <v>16</v>
      </c>
    </row>
    <row r="66" spans="1:29" x14ac:dyDescent="0.25">
      <c r="A66" t="s">
        <v>365</v>
      </c>
      <c r="B66" t="s">
        <v>29</v>
      </c>
      <c r="C66">
        <v>1886.2020259999999</v>
      </c>
      <c r="D66" s="3">
        <f>Estimates_on_the_use_of_water__2020__a_3712[[#This Row],[pop_n]]*1000</f>
        <v>1886202.0259999998</v>
      </c>
      <c r="E66" s="15">
        <f>Estimates_on_the_use_of_water__2020__a_3712[[#This Row],[pop_n]]/1000</f>
        <v>1.8862020259999999</v>
      </c>
      <c r="F66" s="15">
        <f>Estimates_on_the_use_of_water__2020__a_3712[[#This Row],[pop_n (m)]]*1000000</f>
        <v>1886202.0259999998</v>
      </c>
      <c r="G66" s="14">
        <f>ROUND(Estimates_on_the_use_of_water__2020__a_3712[[#This Row],[pop_n (m)]],3)</f>
        <v>1.8859999999999999</v>
      </c>
      <c r="H66" s="14">
        <f>ROUNDUP(Estimates_on_the_use_of_water__2020__a_3712[[#This Row],[pop_n (m)]],3)</f>
        <v>1.8869999999999998</v>
      </c>
      <c r="I66" s="9" t="s">
        <v>366</v>
      </c>
      <c r="J66" s="1">
        <v>0.68315002440000006</v>
      </c>
      <c r="K66" s="2">
        <v>1288558.9600852295</v>
      </c>
      <c r="L66" s="1">
        <v>1288.5589600852295</v>
      </c>
      <c r="M66" s="2">
        <v>31.684997559999999</v>
      </c>
      <c r="N66" s="18" t="s">
        <v>367</v>
      </c>
      <c r="O66" s="19">
        <v>0.68</v>
      </c>
      <c r="P66" s="20" t="s">
        <v>368</v>
      </c>
      <c r="Q66" s="20">
        <f>ROUND(Estimates_on_the_use_of_water__2020__a_3712[[#This Row],[wat_unimp_n]],2)</f>
        <v>0.54</v>
      </c>
      <c r="R66" s="20" t="s">
        <v>2</v>
      </c>
      <c r="S66">
        <f>ROUND(Estimates_on_the_use_of_water__2020__a_3712[[#This Row],[wat_sur_n]],2)</f>
        <v>0</v>
      </c>
      <c r="T66" t="s">
        <v>369</v>
      </c>
      <c r="U66" t="s">
        <v>2</v>
      </c>
      <c r="V66" t="s">
        <v>370</v>
      </c>
      <c r="W66" t="s">
        <v>2</v>
      </c>
      <c r="X66" t="s">
        <v>371</v>
      </c>
      <c r="Y66" t="s">
        <v>372</v>
      </c>
      <c r="Z66" t="s">
        <v>373</v>
      </c>
      <c r="AA66" t="s">
        <v>2</v>
      </c>
      <c r="AB66">
        <f>COUNTA(Estimates_on_the_use_of_water__2020__a_3712[[#This Row],[name]:[wat_sur_u]])</f>
        <v>27</v>
      </c>
      <c r="AC66">
        <f>COUNT(Estimates_on_the_use_of_water__2020__a_3712[[#This Row],[name]:[wat_sur_u]])</f>
        <v>13</v>
      </c>
    </row>
    <row r="67" spans="1:29" x14ac:dyDescent="0.25">
      <c r="A67" t="s">
        <v>374</v>
      </c>
      <c r="B67" t="s">
        <v>375</v>
      </c>
      <c r="C67">
        <v>1967.998047</v>
      </c>
      <c r="D67" s="3">
        <f>Estimates_on_the_use_of_water__2020__a_3712[[#This Row],[pop_n]]*1000</f>
        <v>1967998.047</v>
      </c>
      <c r="E67" s="15">
        <f>Estimates_on_the_use_of_water__2020__a_3712[[#This Row],[pop_n]]/1000</f>
        <v>1.967998047</v>
      </c>
      <c r="F67" s="15">
        <f>Estimates_on_the_use_of_water__2020__a_3712[[#This Row],[pop_n (m)]]*1000000</f>
        <v>1967998.047</v>
      </c>
      <c r="G67" s="14">
        <f>ROUND(Estimates_on_the_use_of_water__2020__a_3712[[#This Row],[pop_n (m)]],3)</f>
        <v>1.968</v>
      </c>
      <c r="H67" s="14">
        <f>ROUNDUP(Estimates_on_the_use_of_water__2020__a_3712[[#This Row],[pop_n (m)]],3)</f>
        <v>1.968</v>
      </c>
      <c r="I67" s="9" t="s">
        <v>376</v>
      </c>
      <c r="J67" s="1">
        <v>0.44195999149999998</v>
      </c>
      <c r="K67" s="2">
        <v>869776.40012413659</v>
      </c>
      <c r="L67" s="1">
        <v>869.77640012413656</v>
      </c>
      <c r="M67" s="2">
        <v>55.804000850000001</v>
      </c>
      <c r="N67" s="18" t="s">
        <v>377</v>
      </c>
      <c r="O67" s="19">
        <v>14.03</v>
      </c>
      <c r="P67" s="20" t="s">
        <v>378</v>
      </c>
      <c r="Q67" s="20">
        <f>ROUND(Estimates_on_the_use_of_water__2020__a_3712[[#This Row],[wat_unimp_n]],2)</f>
        <v>26.63</v>
      </c>
      <c r="R67" s="20" t="s">
        <v>379</v>
      </c>
      <c r="S67">
        <f>ROUND(Estimates_on_the_use_of_water__2020__a_3712[[#This Row],[wat_sur_n]],2)</f>
        <v>0.32</v>
      </c>
      <c r="T67" t="s">
        <v>380</v>
      </c>
      <c r="U67" t="s">
        <v>381</v>
      </c>
      <c r="V67" t="s">
        <v>382</v>
      </c>
      <c r="W67" t="s">
        <v>383</v>
      </c>
      <c r="X67" t="s">
        <v>384</v>
      </c>
      <c r="Y67" t="s">
        <v>385</v>
      </c>
      <c r="Z67" t="s">
        <v>386</v>
      </c>
      <c r="AA67" t="s">
        <v>387</v>
      </c>
      <c r="AB67">
        <f>COUNTA(Estimates_on_the_use_of_water__2020__a_3712[[#This Row],[name]:[wat_sur_u]])</f>
        <v>27</v>
      </c>
      <c r="AC67">
        <f>COUNT(Estimates_on_the_use_of_water__2020__a_3712[[#This Row],[name]:[wat_sur_u]])</f>
        <v>13</v>
      </c>
    </row>
    <row r="68" spans="1:29" x14ac:dyDescent="0.25">
      <c r="A68" t="s">
        <v>388</v>
      </c>
      <c r="B68" t="s">
        <v>29</v>
      </c>
      <c r="C68">
        <v>2078.931885</v>
      </c>
      <c r="D68" s="3">
        <f>Estimates_on_the_use_of_water__2020__a_3712[[#This Row],[pop_n]]*1000</f>
        <v>2078931.885</v>
      </c>
      <c r="E68" s="15">
        <f>Estimates_on_the_use_of_water__2020__a_3712[[#This Row],[pop_n]]/1000</f>
        <v>2.0789318849999998</v>
      </c>
      <c r="F68" s="15">
        <f>Estimates_on_the_use_of_water__2020__a_3712[[#This Row],[pop_n (m)]]*1000000</f>
        <v>2078931.8849999998</v>
      </c>
      <c r="G68" s="14">
        <f>ROUND(Estimates_on_the_use_of_water__2020__a_3712[[#This Row],[pop_n (m)]],3)</f>
        <v>2.0790000000000002</v>
      </c>
      <c r="H68" s="14">
        <f>ROUNDUP(Estimates_on_the_use_of_water__2020__a_3712[[#This Row],[pop_n (m)]],3)</f>
        <v>2.0789999999999997</v>
      </c>
      <c r="I68" s="9" t="s">
        <v>389</v>
      </c>
      <c r="J68" s="1">
        <v>0.55118003849999997</v>
      </c>
      <c r="K68" s="2">
        <v>1145865.7564131776</v>
      </c>
      <c r="L68" s="1">
        <v>1145.8657564131775</v>
      </c>
      <c r="M68" s="2">
        <v>44.881996149999999</v>
      </c>
      <c r="N68" s="18" t="s">
        <v>177</v>
      </c>
      <c r="O68" s="19">
        <v>0</v>
      </c>
      <c r="P68" s="20" t="s">
        <v>178</v>
      </c>
      <c r="Q68" s="20">
        <f>ROUND(Estimates_on_the_use_of_water__2020__a_3712[[#This Row],[wat_unimp_n]],2)</f>
        <v>0.5</v>
      </c>
      <c r="R68" s="20" t="s">
        <v>2</v>
      </c>
      <c r="S68">
        <f>ROUND(Estimates_on_the_use_of_water__2020__a_3712[[#This Row],[wat_sur_n]],2)</f>
        <v>0</v>
      </c>
      <c r="T68">
        <v>0</v>
      </c>
      <c r="U68">
        <v>0</v>
      </c>
      <c r="V68">
        <v>0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>
        <f>COUNTA(Estimates_on_the_use_of_water__2020__a_3712[[#This Row],[name]:[wat_sur_u]])</f>
        <v>27</v>
      </c>
      <c r="AC68">
        <f>COUNT(Estimates_on_the_use_of_water__2020__a_3712[[#This Row],[name]:[wat_sur_u]])</f>
        <v>16</v>
      </c>
    </row>
    <row r="69" spans="1:29" x14ac:dyDescent="0.25">
      <c r="A69" t="s">
        <v>390</v>
      </c>
      <c r="B69" t="s">
        <v>34</v>
      </c>
      <c r="C69">
        <v>2083.3798830000001</v>
      </c>
      <c r="D69" s="3">
        <f>Estimates_on_the_use_of_water__2020__a_3712[[#This Row],[pop_n]]*1000</f>
        <v>2083379.8830000001</v>
      </c>
      <c r="E69" s="15">
        <f>Estimates_on_the_use_of_water__2020__a_3712[[#This Row],[pop_n]]/1000</f>
        <v>2.0833798830000001</v>
      </c>
      <c r="F69" s="15">
        <f>Estimates_on_the_use_of_water__2020__a_3712[[#This Row],[pop_n (m)]]*1000000</f>
        <v>2083379.8830000001</v>
      </c>
      <c r="G69" s="14">
        <f>ROUND(Estimates_on_the_use_of_water__2020__a_3712[[#This Row],[pop_n (m)]],3)</f>
        <v>2.0830000000000002</v>
      </c>
      <c r="H69" s="14">
        <f>ROUNDUP(Estimates_on_the_use_of_water__2020__a_3712[[#This Row],[pop_n (m)]],3)</f>
        <v>2.0840000000000001</v>
      </c>
      <c r="I69" s="9" t="s">
        <v>391</v>
      </c>
      <c r="J69" s="1">
        <v>0.58481998439999994</v>
      </c>
      <c r="K69" s="2">
        <v>1218402.1906753338</v>
      </c>
      <c r="L69" s="1">
        <v>1218.4021906753337</v>
      </c>
      <c r="M69" s="2">
        <v>41.518001560000002</v>
      </c>
      <c r="N69" s="18" t="s">
        <v>392</v>
      </c>
      <c r="O69" s="19">
        <v>1.63</v>
      </c>
      <c r="P69" s="20" t="s">
        <v>393</v>
      </c>
      <c r="Q69" s="20">
        <f>ROUND(Estimates_on_the_use_of_water__2020__a_3712[[#This Row],[wat_unimp_n]],2)</f>
        <v>0.56999999999999995</v>
      </c>
      <c r="R69" s="20" t="s">
        <v>394</v>
      </c>
      <c r="S69">
        <f>ROUND(Estimates_on_the_use_of_water__2020__a_3712[[#This Row],[wat_sur_n]],2)</f>
        <v>0.05</v>
      </c>
      <c r="T69" t="s">
        <v>395</v>
      </c>
      <c r="U69" t="s">
        <v>396</v>
      </c>
      <c r="V69" t="s">
        <v>397</v>
      </c>
      <c r="W69" t="s">
        <v>398</v>
      </c>
      <c r="X69" t="s">
        <v>399</v>
      </c>
      <c r="Y69" t="s">
        <v>400</v>
      </c>
      <c r="Z69" t="s">
        <v>401</v>
      </c>
      <c r="AA69" t="s">
        <v>2</v>
      </c>
      <c r="AB69">
        <f>COUNTA(Estimates_on_the_use_of_water__2020__a_3712[[#This Row],[name]:[wat_sur_u]])</f>
        <v>27</v>
      </c>
      <c r="AC69">
        <f>COUNT(Estimates_on_the_use_of_water__2020__a_3712[[#This Row],[name]:[wat_sur_u]])</f>
        <v>13</v>
      </c>
    </row>
    <row r="70" spans="1:29" x14ac:dyDescent="0.25">
      <c r="A70" t="s">
        <v>402</v>
      </c>
      <c r="B70" t="s">
        <v>106</v>
      </c>
      <c r="C70">
        <v>2142.251953</v>
      </c>
      <c r="D70" s="3">
        <f>Estimates_on_the_use_of_water__2020__a_3712[[#This Row],[pop_n]]*1000</f>
        <v>2142251.9529999997</v>
      </c>
      <c r="E70" s="15">
        <f>Estimates_on_the_use_of_water__2020__a_3712[[#This Row],[pop_n]]/1000</f>
        <v>2.1422519530000002</v>
      </c>
      <c r="F70" s="15">
        <f>Estimates_on_the_use_of_water__2020__a_3712[[#This Row],[pop_n (m)]]*1000000</f>
        <v>2142251.9530000002</v>
      </c>
      <c r="G70" s="14">
        <f>ROUND(Estimates_on_the_use_of_water__2020__a_3712[[#This Row],[pop_n (m)]],3)</f>
        <v>2.1419999999999999</v>
      </c>
      <c r="H70" s="14">
        <f>ROUNDUP(Estimates_on_the_use_of_water__2020__a_3712[[#This Row],[pop_n (m)]],3)</f>
        <v>2.1429999999999998</v>
      </c>
      <c r="I70" s="9" t="s">
        <v>403</v>
      </c>
      <c r="J70" s="1">
        <v>0.29027999879999999</v>
      </c>
      <c r="K70" s="2">
        <v>621852.89434613753</v>
      </c>
      <c r="L70" s="1">
        <v>621.85289434613765</v>
      </c>
      <c r="M70" s="2">
        <v>70.972000120000004</v>
      </c>
      <c r="N70" s="18" t="s">
        <v>404</v>
      </c>
      <c r="O70" s="19">
        <v>10.41</v>
      </c>
      <c r="P70" s="20" t="s">
        <v>405</v>
      </c>
      <c r="Q70" s="20">
        <f>ROUND(Estimates_on_the_use_of_water__2020__a_3712[[#This Row],[wat_unimp_n]],2)</f>
        <v>12.22</v>
      </c>
      <c r="R70" s="20" t="s">
        <v>406</v>
      </c>
      <c r="S70">
        <f>ROUND(Estimates_on_the_use_of_water__2020__a_3712[[#This Row],[wat_sur_n]],2)</f>
        <v>5.2</v>
      </c>
      <c r="T70" t="s">
        <v>407</v>
      </c>
      <c r="U70" t="s">
        <v>408</v>
      </c>
      <c r="V70" t="s">
        <v>409</v>
      </c>
      <c r="W70" t="s">
        <v>410</v>
      </c>
      <c r="X70" t="s">
        <v>411</v>
      </c>
      <c r="Y70" t="s">
        <v>412</v>
      </c>
      <c r="Z70" t="s">
        <v>413</v>
      </c>
      <c r="AA70" t="s">
        <v>414</v>
      </c>
      <c r="AB70">
        <f>COUNTA(Estimates_on_the_use_of_water__2020__a_3712[[#This Row],[name]:[wat_sur_u]])</f>
        <v>27</v>
      </c>
      <c r="AC70">
        <f>COUNT(Estimates_on_the_use_of_water__2020__a_3712[[#This Row],[name]:[wat_sur_u]])</f>
        <v>13</v>
      </c>
    </row>
    <row r="71" spans="1:29" x14ac:dyDescent="0.25">
      <c r="A71" t="s">
        <v>415</v>
      </c>
      <c r="B71" t="s">
        <v>34</v>
      </c>
      <c r="C71">
        <v>2225.7280270000001</v>
      </c>
      <c r="D71" s="3">
        <f>Estimates_on_the_use_of_water__2020__a_3712[[#This Row],[pop_n]]*1000</f>
        <v>2225728.0270000002</v>
      </c>
      <c r="E71" s="15">
        <f>Estimates_on_the_use_of_water__2020__a_3712[[#This Row],[pop_n]]/1000</f>
        <v>2.2257280270000002</v>
      </c>
      <c r="F71" s="15">
        <f>Estimates_on_the_use_of_water__2020__a_3712[[#This Row],[pop_n (m)]]*1000000</f>
        <v>2225728.0270000002</v>
      </c>
      <c r="G71" s="14">
        <f>ROUND(Estimates_on_the_use_of_water__2020__a_3712[[#This Row],[pop_n (m)]],3)</f>
        <v>2.226</v>
      </c>
      <c r="H71" s="14">
        <f>ROUNDUP(Estimates_on_the_use_of_water__2020__a_3712[[#This Row],[pop_n (m)]],3)</f>
        <v>2.226</v>
      </c>
      <c r="I71" s="9" t="s">
        <v>416</v>
      </c>
      <c r="J71" s="1">
        <v>0.90092002869999999</v>
      </c>
      <c r="K71" s="2">
        <v>2005202.9579632345</v>
      </c>
      <c r="L71" s="1">
        <v>2005.2029579632344</v>
      </c>
      <c r="M71" s="2">
        <v>9.9079971299999983</v>
      </c>
      <c r="N71" s="18" t="s">
        <v>417</v>
      </c>
      <c r="O71" s="19">
        <v>7.74</v>
      </c>
      <c r="P71" s="20" t="s">
        <v>418</v>
      </c>
      <c r="Q71" s="20">
        <f>ROUND(Estimates_on_the_use_of_water__2020__a_3712[[#This Row],[wat_unimp_n]],2)</f>
        <v>6.92</v>
      </c>
      <c r="R71" s="20">
        <v>0</v>
      </c>
      <c r="S71">
        <f>ROUND(Estimates_on_the_use_of_water__2020__a_3712[[#This Row],[wat_sur_n]],2)</f>
        <v>0</v>
      </c>
      <c r="T71" t="s">
        <v>419</v>
      </c>
      <c r="U71" t="s">
        <v>420</v>
      </c>
      <c r="V71" t="s">
        <v>421</v>
      </c>
      <c r="W71" t="s">
        <v>1</v>
      </c>
      <c r="X71" t="s">
        <v>422</v>
      </c>
      <c r="Y71" t="s">
        <v>423</v>
      </c>
      <c r="Z71" t="s">
        <v>424</v>
      </c>
      <c r="AA71" t="s">
        <v>1</v>
      </c>
      <c r="AB71">
        <f>COUNTA(Estimates_on_the_use_of_water__2020__a_3712[[#This Row],[name]:[wat_sur_u]])</f>
        <v>27</v>
      </c>
      <c r="AC71">
        <f>COUNT(Estimates_on_the_use_of_water__2020__a_3712[[#This Row],[name]:[wat_sur_u]])</f>
        <v>14</v>
      </c>
    </row>
    <row r="72" spans="1:29" x14ac:dyDescent="0.25">
      <c r="A72" t="s">
        <v>425</v>
      </c>
      <c r="B72" t="s">
        <v>34</v>
      </c>
      <c r="C72">
        <v>2351.625</v>
      </c>
      <c r="D72" s="3">
        <f>Estimates_on_the_use_of_water__2020__a_3712[[#This Row],[pop_n]]*1000</f>
        <v>2351625</v>
      </c>
      <c r="E72" s="15">
        <f>Estimates_on_the_use_of_water__2020__a_3712[[#This Row],[pop_n]]/1000</f>
        <v>2.3516249999999999</v>
      </c>
      <c r="F72" s="15">
        <f>Estimates_on_the_use_of_water__2020__a_3712[[#This Row],[pop_n (m)]]*1000000</f>
        <v>2351625</v>
      </c>
      <c r="G72" s="14">
        <f>ROUND(Estimates_on_the_use_of_water__2020__a_3712[[#This Row],[pop_n (m)]],3)</f>
        <v>2.3519999999999999</v>
      </c>
      <c r="H72" s="14">
        <f>ROUNDUP(Estimates_on_the_use_of_water__2020__a_3712[[#This Row],[pop_n (m)]],3)</f>
        <v>2.3519999999999999</v>
      </c>
      <c r="I72" s="9" t="s">
        <v>426</v>
      </c>
      <c r="J72" s="1">
        <v>0.70876998899999999</v>
      </c>
      <c r="K72" s="2">
        <v>1666761.225382125</v>
      </c>
      <c r="L72" s="1">
        <v>1666.7612253821251</v>
      </c>
      <c r="M72" s="2">
        <v>29.123001099999996</v>
      </c>
      <c r="N72" s="18" t="s">
        <v>427</v>
      </c>
      <c r="O72" s="19">
        <v>4.72</v>
      </c>
      <c r="P72" s="20" t="s">
        <v>428</v>
      </c>
      <c r="Q72" s="20">
        <f>ROUND(Estimates_on_the_use_of_water__2020__a_3712[[#This Row],[wat_unimp_n]],2)</f>
        <v>1.73</v>
      </c>
      <c r="R72" s="20" t="s">
        <v>429</v>
      </c>
      <c r="S72">
        <f>ROUND(Estimates_on_the_use_of_water__2020__a_3712[[#This Row],[wat_sur_n]],2)</f>
        <v>1.33</v>
      </c>
      <c r="T72" t="s">
        <v>430</v>
      </c>
      <c r="U72" t="s">
        <v>431</v>
      </c>
      <c r="V72" t="s">
        <v>432</v>
      </c>
      <c r="W72" t="s">
        <v>433</v>
      </c>
      <c r="X72" t="s">
        <v>434</v>
      </c>
      <c r="Y72" t="s">
        <v>435</v>
      </c>
      <c r="Z72" t="s">
        <v>436</v>
      </c>
      <c r="AA72" t="s">
        <v>437</v>
      </c>
      <c r="AB72">
        <f>COUNTA(Estimates_on_the_use_of_water__2020__a_3712[[#This Row],[name]:[wat_sur_u]])</f>
        <v>27</v>
      </c>
      <c r="AC72">
        <f>COUNT(Estimates_on_the_use_of_water__2020__a_3712[[#This Row],[name]:[wat_sur_u]])</f>
        <v>13</v>
      </c>
    </row>
    <row r="73" spans="1:29" x14ac:dyDescent="0.25">
      <c r="A73" t="s">
        <v>438</v>
      </c>
      <c r="B73" t="s">
        <v>375</v>
      </c>
      <c r="C73">
        <v>2416.6640630000002</v>
      </c>
      <c r="D73" s="3">
        <f>Estimates_on_the_use_of_water__2020__a_3712[[#This Row],[pop_n]]*1000</f>
        <v>2416664.0630000001</v>
      </c>
      <c r="E73" s="15">
        <f>Estimates_on_the_use_of_water__2020__a_3712[[#This Row],[pop_n]]/1000</f>
        <v>2.4166640630000003</v>
      </c>
      <c r="F73" s="15">
        <f>Estimates_on_the_use_of_water__2020__a_3712[[#This Row],[pop_n (m)]]*1000000</f>
        <v>2416664.0630000001</v>
      </c>
      <c r="G73" s="14">
        <f>ROUND(Estimates_on_the_use_of_water__2020__a_3712[[#This Row],[pop_n (m)]],3)</f>
        <v>2.4169999999999998</v>
      </c>
      <c r="H73" s="14">
        <f>ROUNDUP(Estimates_on_the_use_of_water__2020__a_3712[[#This Row],[pop_n (m)]],3)</f>
        <v>2.4169999999999998</v>
      </c>
      <c r="I73" s="9" t="s">
        <v>439</v>
      </c>
      <c r="J73" s="1">
        <v>0.62581996920000005</v>
      </c>
      <c r="K73" s="2">
        <v>1512396.6294734071</v>
      </c>
      <c r="L73" s="1">
        <v>1512.3966294734071</v>
      </c>
      <c r="M73" s="2">
        <v>37.418003079999998</v>
      </c>
      <c r="N73" s="18" t="s">
        <v>440</v>
      </c>
      <c r="O73" s="19">
        <v>8.6</v>
      </c>
      <c r="P73" s="20" t="s">
        <v>441</v>
      </c>
      <c r="Q73" s="20">
        <f>ROUND(Estimates_on_the_use_of_water__2020__a_3712[[#This Row],[wat_unimp_n]],2)</f>
        <v>10.35</v>
      </c>
      <c r="R73" s="20" t="s">
        <v>442</v>
      </c>
      <c r="S73">
        <f>ROUND(Estimates_on_the_use_of_water__2020__a_3712[[#This Row],[wat_sur_n]],2)</f>
        <v>0.11</v>
      </c>
      <c r="T73" t="s">
        <v>443</v>
      </c>
      <c r="U73" t="s">
        <v>444</v>
      </c>
      <c r="V73" t="s">
        <v>445</v>
      </c>
      <c r="W73" t="s">
        <v>446</v>
      </c>
      <c r="X73" t="s">
        <v>447</v>
      </c>
      <c r="Y73" t="s">
        <v>448</v>
      </c>
      <c r="Z73" t="s">
        <v>449</v>
      </c>
      <c r="AA73" t="s">
        <v>450</v>
      </c>
      <c r="AB73">
        <f>COUNTA(Estimates_on_the_use_of_water__2020__a_3712[[#This Row],[name]:[wat_sur_u]])</f>
        <v>27</v>
      </c>
      <c r="AC73">
        <f>COUNT(Estimates_on_the_use_of_water__2020__a_3712[[#This Row],[name]:[wat_sur_u]])</f>
        <v>13</v>
      </c>
    </row>
    <row r="74" spans="1:29" x14ac:dyDescent="0.25">
      <c r="A74" t="s">
        <v>451</v>
      </c>
      <c r="B74" t="s">
        <v>34</v>
      </c>
      <c r="C74">
        <v>2540.9160160000001</v>
      </c>
      <c r="D74" s="3">
        <f>Estimates_on_the_use_of_water__2020__a_3712[[#This Row],[pop_n]]*1000</f>
        <v>2540916.0160000003</v>
      </c>
      <c r="E74" s="15">
        <f>Estimates_on_the_use_of_water__2020__a_3712[[#This Row],[pop_n]]/1000</f>
        <v>2.5409160160000002</v>
      </c>
      <c r="F74" s="15">
        <f>Estimates_on_the_use_of_water__2020__a_3712[[#This Row],[pop_n (m)]]*1000000</f>
        <v>2540916.0160000003</v>
      </c>
      <c r="G74" s="14">
        <f>ROUND(Estimates_on_the_use_of_water__2020__a_3712[[#This Row],[pop_n (m)]],3)</f>
        <v>2.5409999999999999</v>
      </c>
      <c r="H74" s="14">
        <f>ROUNDUP(Estimates_on_the_use_of_water__2020__a_3712[[#This Row],[pop_n (m)]],3)</f>
        <v>2.5409999999999999</v>
      </c>
      <c r="I74" s="9" t="s">
        <v>452</v>
      </c>
      <c r="J74" s="1">
        <v>0.52033000949999997</v>
      </c>
      <c r="K74" s="2">
        <v>1322114.8547439822</v>
      </c>
      <c r="L74" s="1">
        <v>1322.1148547439821</v>
      </c>
      <c r="M74" s="2">
        <v>47.966999049999998</v>
      </c>
      <c r="N74" s="18" t="s">
        <v>453</v>
      </c>
      <c r="O74" s="19">
        <v>7.09</v>
      </c>
      <c r="P74" s="20" t="s">
        <v>454</v>
      </c>
      <c r="Q74" s="20">
        <f>ROUND(Estimates_on_the_use_of_water__2020__a_3712[[#This Row],[wat_unimp_n]],2)</f>
        <v>3.74</v>
      </c>
      <c r="R74" s="20" t="s">
        <v>455</v>
      </c>
      <c r="S74">
        <f>ROUND(Estimates_on_the_use_of_water__2020__a_3712[[#This Row],[wat_sur_n]],2)</f>
        <v>4.9000000000000004</v>
      </c>
      <c r="T74" t="s">
        <v>456</v>
      </c>
      <c r="U74" t="s">
        <v>457</v>
      </c>
      <c r="V74" t="s">
        <v>458</v>
      </c>
      <c r="W74" t="s">
        <v>459</v>
      </c>
      <c r="X74" t="s">
        <v>460</v>
      </c>
      <c r="Y74" t="s">
        <v>461</v>
      </c>
      <c r="Z74" t="s">
        <v>462</v>
      </c>
      <c r="AA74" t="s">
        <v>463</v>
      </c>
      <c r="AB74">
        <f>COUNTA(Estimates_on_the_use_of_water__2020__a_3712[[#This Row],[name]:[wat_sur_u]])</f>
        <v>27</v>
      </c>
      <c r="AC74">
        <f>COUNT(Estimates_on_the_use_of_water__2020__a_3712[[#This Row],[name]:[wat_sur_u]])</f>
        <v>13</v>
      </c>
    </row>
    <row r="75" spans="1:29" x14ac:dyDescent="0.25">
      <c r="A75" t="s">
        <v>464</v>
      </c>
      <c r="B75" t="s">
        <v>29</v>
      </c>
      <c r="C75">
        <v>2722.2910160000001</v>
      </c>
      <c r="D75" s="3">
        <f>Estimates_on_the_use_of_water__2020__a_3712[[#This Row],[pop_n]]*1000</f>
        <v>2722291.0160000003</v>
      </c>
      <c r="E75" s="15">
        <f>Estimates_on_the_use_of_water__2020__a_3712[[#This Row],[pop_n]]/1000</f>
        <v>2.7222910160000002</v>
      </c>
      <c r="F75" s="15">
        <f>Estimates_on_the_use_of_water__2020__a_3712[[#This Row],[pop_n (m)]]*1000000</f>
        <v>2722291.0160000003</v>
      </c>
      <c r="G75" s="14">
        <f>ROUND(Estimates_on_the_use_of_water__2020__a_3712[[#This Row],[pop_n (m)]],3)</f>
        <v>2.722</v>
      </c>
      <c r="H75" s="14">
        <f>ROUNDUP(Estimates_on_the_use_of_water__2020__a_3712[[#This Row],[pop_n (m)]],3)</f>
        <v>2.7229999999999999</v>
      </c>
      <c r="I75" s="9" t="s">
        <v>465</v>
      </c>
      <c r="J75" s="1">
        <v>0.68045997619999998</v>
      </c>
      <c r="K75" s="2">
        <v>1852410.079956834</v>
      </c>
      <c r="L75" s="1">
        <v>1852.4100799568339</v>
      </c>
      <c r="M75" s="2">
        <v>31.954002380000006</v>
      </c>
      <c r="N75" s="18" t="s">
        <v>466</v>
      </c>
      <c r="O75" s="19">
        <v>0</v>
      </c>
      <c r="P75" s="20" t="s">
        <v>467</v>
      </c>
      <c r="Q75" s="20">
        <f>ROUND(Estimates_on_the_use_of_water__2020__a_3712[[#This Row],[wat_unimp_n]],2)</f>
        <v>1.99</v>
      </c>
      <c r="R75" s="20" t="s">
        <v>2</v>
      </c>
      <c r="S75">
        <f>ROUND(Estimates_on_the_use_of_water__2020__a_3712[[#This Row],[wat_sur_n]],2)</f>
        <v>0</v>
      </c>
      <c r="T75" t="s">
        <v>468</v>
      </c>
      <c r="U75" t="s">
        <v>2</v>
      </c>
      <c r="V75" t="s">
        <v>469</v>
      </c>
      <c r="W75" t="s">
        <v>2</v>
      </c>
      <c r="X75" t="s">
        <v>15</v>
      </c>
      <c r="Y75" t="s">
        <v>2</v>
      </c>
      <c r="Z75" t="s">
        <v>2</v>
      </c>
      <c r="AA75" t="s">
        <v>2</v>
      </c>
      <c r="AB75">
        <f>COUNTA(Estimates_on_the_use_of_water__2020__a_3712[[#This Row],[name]:[wat_sur_u]])</f>
        <v>27</v>
      </c>
      <c r="AC75">
        <f>COUNT(Estimates_on_the_use_of_water__2020__a_3712[[#This Row],[name]:[wat_sur_u]])</f>
        <v>13</v>
      </c>
    </row>
    <row r="76" spans="1:29" x14ac:dyDescent="0.25">
      <c r="A76" t="s">
        <v>470</v>
      </c>
      <c r="B76" t="s">
        <v>29</v>
      </c>
      <c r="C76">
        <v>2860.8400879999999</v>
      </c>
      <c r="D76" s="3">
        <f>Estimates_on_the_use_of_water__2020__a_3712[[#This Row],[pop_n]]*1000</f>
        <v>2860840.088</v>
      </c>
      <c r="E76" s="15">
        <f>Estimates_on_the_use_of_water__2020__a_3712[[#This Row],[pop_n]]/1000</f>
        <v>2.8608400879999998</v>
      </c>
      <c r="F76" s="15">
        <f>Estimates_on_the_use_of_water__2020__a_3712[[#This Row],[pop_n (m)]]*1000000</f>
        <v>2860840.088</v>
      </c>
      <c r="G76" s="14">
        <f>ROUND(Estimates_on_the_use_of_water__2020__a_3712[[#This Row],[pop_n (m)]],3)</f>
        <v>2.8610000000000002</v>
      </c>
      <c r="H76" s="14">
        <f>ROUNDUP(Estimates_on_the_use_of_water__2020__a_3712[[#This Row],[pop_n (m)]],3)</f>
        <v>2.8609999999999998</v>
      </c>
      <c r="I76" s="9" t="s">
        <v>471</v>
      </c>
      <c r="J76" s="1">
        <v>0.93581001279999998</v>
      </c>
      <c r="K76" s="2">
        <v>2677202.7993700332</v>
      </c>
      <c r="L76" s="1">
        <v>2677.2027993700331</v>
      </c>
      <c r="M76" s="2">
        <v>6.4189987200000047</v>
      </c>
      <c r="N76" s="18" t="s">
        <v>15</v>
      </c>
      <c r="O76" s="19">
        <v>0</v>
      </c>
      <c r="P76" s="20" t="s">
        <v>2</v>
      </c>
      <c r="Q76" s="20">
        <f>ROUND(Estimates_on_the_use_of_water__2020__a_3712[[#This Row],[wat_unimp_n]],2)</f>
        <v>0</v>
      </c>
      <c r="R76" s="20" t="s">
        <v>2</v>
      </c>
      <c r="S76">
        <f>ROUND(Estimates_on_the_use_of_water__2020__a_3712[[#This Row],[wat_sur_n]],2)</f>
        <v>0</v>
      </c>
      <c r="T76">
        <v>0</v>
      </c>
      <c r="U76">
        <v>0</v>
      </c>
      <c r="V76">
        <v>0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>
        <f>COUNTA(Estimates_on_the_use_of_water__2020__a_3712[[#This Row],[name]:[wat_sur_u]])</f>
        <v>27</v>
      </c>
      <c r="AC76">
        <f>COUNT(Estimates_on_the_use_of_water__2020__a_3712[[#This Row],[name]:[wat_sur_u]])</f>
        <v>16</v>
      </c>
    </row>
    <row r="77" spans="1:29" x14ac:dyDescent="0.25">
      <c r="A77" t="s">
        <v>472</v>
      </c>
      <c r="B77" t="s">
        <v>34</v>
      </c>
      <c r="C77">
        <v>2877.8000489999999</v>
      </c>
      <c r="D77" s="3">
        <f>Estimates_on_the_use_of_water__2020__a_3712[[#This Row],[pop_n]]*1000</f>
        <v>2877800.0490000001</v>
      </c>
      <c r="E77" s="15">
        <f>Estimates_on_the_use_of_water__2020__a_3712[[#This Row],[pop_n]]/1000</f>
        <v>2.8778000489999997</v>
      </c>
      <c r="F77" s="15">
        <f>Estimates_on_the_use_of_water__2020__a_3712[[#This Row],[pop_n (m)]]*1000000</f>
        <v>2877800.0489999996</v>
      </c>
      <c r="G77" s="14">
        <f>ROUND(Estimates_on_the_use_of_water__2020__a_3712[[#This Row],[pop_n (m)]],3)</f>
        <v>2.8780000000000001</v>
      </c>
      <c r="H77" s="14">
        <f>ROUNDUP(Estimates_on_the_use_of_water__2020__a_3712[[#This Row],[pop_n (m)]],3)</f>
        <v>2.8779999999999997</v>
      </c>
      <c r="I77" s="9" t="s">
        <v>473</v>
      </c>
      <c r="J77" s="1">
        <v>0.62111999509999993</v>
      </c>
      <c r="K77" s="2">
        <v>1787459.1523336596</v>
      </c>
      <c r="L77" s="1">
        <v>1787.4591523336596</v>
      </c>
      <c r="M77" s="2">
        <v>37.888000490000003</v>
      </c>
      <c r="N77" s="18" t="s">
        <v>474</v>
      </c>
      <c r="O77" s="19">
        <v>1.88</v>
      </c>
      <c r="P77" s="20" t="s">
        <v>475</v>
      </c>
      <c r="Q77" s="20">
        <f>ROUND(Estimates_on_the_use_of_water__2020__a_3712[[#This Row],[wat_unimp_n]],2)</f>
        <v>3.05</v>
      </c>
      <c r="R77" s="20" t="s">
        <v>2</v>
      </c>
      <c r="S77">
        <f>ROUND(Estimates_on_the_use_of_water__2020__a_3712[[#This Row],[wat_sur_n]],2)</f>
        <v>0</v>
      </c>
      <c r="T77" t="s">
        <v>476</v>
      </c>
      <c r="U77" t="s">
        <v>477</v>
      </c>
      <c r="V77" t="s">
        <v>478</v>
      </c>
      <c r="W77" t="s">
        <v>2</v>
      </c>
      <c r="X77" t="s">
        <v>479</v>
      </c>
      <c r="Y77" t="s">
        <v>480</v>
      </c>
      <c r="Z77" t="s">
        <v>481</v>
      </c>
      <c r="AA77" t="s">
        <v>2</v>
      </c>
      <c r="AB77">
        <f>COUNTA(Estimates_on_the_use_of_water__2020__a_3712[[#This Row],[name]:[wat_sur_u]])</f>
        <v>27</v>
      </c>
      <c r="AC77">
        <f>COUNT(Estimates_on_the_use_of_water__2020__a_3712[[#This Row],[name]:[wat_sur_u]])</f>
        <v>13</v>
      </c>
    </row>
    <row r="78" spans="1:29" x14ac:dyDescent="0.25">
      <c r="A78" t="s">
        <v>482</v>
      </c>
      <c r="B78" t="s">
        <v>29</v>
      </c>
      <c r="C78">
        <v>2881.0600589999999</v>
      </c>
      <c r="D78" s="3">
        <f>Estimates_on_the_use_of_water__2020__a_3712[[#This Row],[pop_n]]*1000</f>
        <v>2881060.0589999999</v>
      </c>
      <c r="E78" s="15">
        <f>Estimates_on_the_use_of_water__2020__a_3712[[#This Row],[pop_n]]/1000</f>
        <v>2.8810600589999997</v>
      </c>
      <c r="F78" s="15">
        <f>Estimates_on_the_use_of_water__2020__a_3712[[#This Row],[pop_n (m)]]*1000000</f>
        <v>2881060.0589999999</v>
      </c>
      <c r="G78" s="14">
        <f>ROUND(Estimates_on_the_use_of_water__2020__a_3712[[#This Row],[pop_n (m)]],3)</f>
        <v>2.8809999999999998</v>
      </c>
      <c r="H78" s="14">
        <f>ROUNDUP(Estimates_on_the_use_of_water__2020__a_3712[[#This Row],[pop_n (m)]],3)</f>
        <v>2.8819999999999997</v>
      </c>
      <c r="I78" s="9" t="s">
        <v>483</v>
      </c>
      <c r="J78" s="1">
        <v>0.99235000610000001</v>
      </c>
      <c r="K78" s="2">
        <v>2859019.9671231164</v>
      </c>
      <c r="L78" s="1">
        <v>2859.0199671231162</v>
      </c>
      <c r="M78" s="2">
        <v>0.76499938999999983</v>
      </c>
      <c r="N78" s="18" t="s">
        <v>484</v>
      </c>
      <c r="O78" s="19">
        <v>0</v>
      </c>
      <c r="P78" s="20" t="s">
        <v>485</v>
      </c>
      <c r="Q78" s="20">
        <f>ROUND(Estimates_on_the_use_of_water__2020__a_3712[[#This Row],[wat_unimp_n]],2)</f>
        <v>0.43</v>
      </c>
      <c r="R78" s="20" t="s">
        <v>2</v>
      </c>
      <c r="S78">
        <f>ROUND(Estimates_on_the_use_of_water__2020__a_3712[[#This Row],[wat_sur_n]],2)</f>
        <v>0</v>
      </c>
      <c r="T78">
        <v>0</v>
      </c>
      <c r="U78">
        <v>0</v>
      </c>
      <c r="V78">
        <v>0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>
        <f>COUNTA(Estimates_on_the_use_of_water__2020__a_3712[[#This Row],[name]:[wat_sur_u]])</f>
        <v>27</v>
      </c>
      <c r="AC78">
        <f>COUNT(Estimates_on_the_use_of_water__2020__a_3712[[#This Row],[name]:[wat_sur_u]])</f>
        <v>16</v>
      </c>
    </row>
    <row r="79" spans="1:29" x14ac:dyDescent="0.25">
      <c r="A79" t="s">
        <v>486</v>
      </c>
      <c r="B79" t="s">
        <v>34</v>
      </c>
      <c r="C79">
        <v>2961.1608890000002</v>
      </c>
      <c r="D79" s="3">
        <f>Estimates_on_the_use_of_water__2020__a_3712[[#This Row],[pop_n]]*1000</f>
        <v>2961160.8890000004</v>
      </c>
      <c r="E79" s="15">
        <f>Estimates_on_the_use_of_water__2020__a_3712[[#This Row],[pop_n]]/1000</f>
        <v>2.9611608890000003</v>
      </c>
      <c r="F79" s="15">
        <f>Estimates_on_the_use_of_water__2020__a_3712[[#This Row],[pop_n (m)]]*1000000</f>
        <v>2961160.8890000004</v>
      </c>
      <c r="G79" s="14">
        <f>ROUND(Estimates_on_the_use_of_water__2020__a_3712[[#This Row],[pop_n (m)]],3)</f>
        <v>2.9609999999999999</v>
      </c>
      <c r="H79" s="14">
        <f>ROUNDUP(Estimates_on_the_use_of_water__2020__a_3712[[#This Row],[pop_n (m)]],3)</f>
        <v>2.9619999999999997</v>
      </c>
      <c r="I79" s="9" t="s">
        <v>487</v>
      </c>
      <c r="J79" s="1">
        <v>0.56311000820000001</v>
      </c>
      <c r="K79" s="2">
        <v>1667459.3324863096</v>
      </c>
      <c r="L79" s="1">
        <v>1667.4593324863094</v>
      </c>
      <c r="M79" s="2">
        <v>43.688999180000003</v>
      </c>
      <c r="N79" s="18" t="s">
        <v>488</v>
      </c>
      <c r="O79" s="19">
        <v>5.37</v>
      </c>
      <c r="P79" s="20" t="s">
        <v>489</v>
      </c>
      <c r="Q79" s="20">
        <f>ROUND(Estimates_on_the_use_of_water__2020__a_3712[[#This Row],[wat_unimp_n]],2)</f>
        <v>1.86</v>
      </c>
      <c r="R79" s="20" t="s">
        <v>490</v>
      </c>
      <c r="S79">
        <f>ROUND(Estimates_on_the_use_of_water__2020__a_3712[[#This Row],[wat_sur_n]],2)</f>
        <v>1.74</v>
      </c>
      <c r="T79" t="s">
        <v>491</v>
      </c>
      <c r="U79" t="s">
        <v>492</v>
      </c>
      <c r="V79" t="s">
        <v>493</v>
      </c>
      <c r="W79" t="s">
        <v>494</v>
      </c>
      <c r="X79" t="s">
        <v>495</v>
      </c>
      <c r="Y79" t="s">
        <v>496</v>
      </c>
      <c r="Z79" t="s">
        <v>497</v>
      </c>
      <c r="AA79" t="s">
        <v>498</v>
      </c>
      <c r="AB79">
        <f>COUNTA(Estimates_on_the_use_of_water__2020__a_3712[[#This Row],[name]:[wat_sur_u]])</f>
        <v>27</v>
      </c>
      <c r="AC79">
        <f>COUNT(Estimates_on_the_use_of_water__2020__a_3712[[#This Row],[name]:[wat_sur_u]])</f>
        <v>13</v>
      </c>
    </row>
    <row r="80" spans="1:29" x14ac:dyDescent="0.25">
      <c r="A80" t="s">
        <v>499</v>
      </c>
      <c r="B80" t="s">
        <v>34</v>
      </c>
      <c r="C80">
        <v>2963.2338869999999</v>
      </c>
      <c r="D80" s="3">
        <f>Estimates_on_the_use_of_water__2020__a_3712[[#This Row],[pop_n]]*1000</f>
        <v>2963233.8869999996</v>
      </c>
      <c r="E80" s="15">
        <f>Estimates_on_the_use_of_water__2020__a_3712[[#This Row],[pop_n]]/1000</f>
        <v>2.9632338869999999</v>
      </c>
      <c r="F80" s="15">
        <f>Estimates_on_the_use_of_water__2020__a_3712[[#This Row],[pop_n (m)]]*1000000</f>
        <v>2963233.8870000001</v>
      </c>
      <c r="G80" s="14">
        <f>ROUND(Estimates_on_the_use_of_water__2020__a_3712[[#This Row],[pop_n (m)]],3)</f>
        <v>2.9630000000000001</v>
      </c>
      <c r="H80" s="14">
        <f>ROUNDUP(Estimates_on_the_use_of_water__2020__a_3712[[#This Row],[pop_n (m)]],3)</f>
        <v>2.964</v>
      </c>
      <c r="I80" s="9" t="s">
        <v>500</v>
      </c>
      <c r="J80" s="1">
        <v>0.63312999729999997</v>
      </c>
      <c r="K80" s="2">
        <v>1876112.2628755781</v>
      </c>
      <c r="L80" s="1">
        <v>1876.1122628755784</v>
      </c>
      <c r="M80" s="2">
        <v>36.687000269999999</v>
      </c>
      <c r="N80" s="18" t="s">
        <v>501</v>
      </c>
      <c r="O80" s="19">
        <v>0</v>
      </c>
      <c r="P80" s="20" t="s">
        <v>502</v>
      </c>
      <c r="Q80" s="20">
        <f>ROUND(Estimates_on_the_use_of_water__2020__a_3712[[#This Row],[wat_unimp_n]],2)</f>
        <v>0.03</v>
      </c>
      <c r="R80" s="20" t="s">
        <v>2</v>
      </c>
      <c r="S80">
        <f>ROUND(Estimates_on_the_use_of_water__2020__a_3712[[#This Row],[wat_sur_n]],2)</f>
        <v>0</v>
      </c>
      <c r="T80" t="s">
        <v>15</v>
      </c>
      <c r="U80" t="s">
        <v>2</v>
      </c>
      <c r="V80" t="s">
        <v>2</v>
      </c>
      <c r="W80" t="s">
        <v>2</v>
      </c>
      <c r="X80" t="s">
        <v>503</v>
      </c>
      <c r="Y80" t="s">
        <v>2</v>
      </c>
      <c r="Z80" t="s">
        <v>504</v>
      </c>
      <c r="AA80" t="s">
        <v>2</v>
      </c>
      <c r="AB80">
        <f>COUNTA(Estimates_on_the_use_of_water__2020__a_3712[[#This Row],[name]:[wat_sur_u]])</f>
        <v>27</v>
      </c>
      <c r="AC80">
        <f>COUNT(Estimates_on_the_use_of_water__2020__a_3712[[#This Row],[name]:[wat_sur_u]])</f>
        <v>13</v>
      </c>
    </row>
    <row r="81" spans="1:29" x14ac:dyDescent="0.25">
      <c r="A81" t="s">
        <v>505</v>
      </c>
      <c r="B81" t="s">
        <v>106</v>
      </c>
      <c r="C81">
        <v>3278.2919919999999</v>
      </c>
      <c r="D81" s="3">
        <f>Estimates_on_the_use_of_water__2020__a_3712[[#This Row],[pop_n]]*1000</f>
        <v>3278291.9920000001</v>
      </c>
      <c r="E81" s="15">
        <f>Estimates_on_the_use_of_water__2020__a_3712[[#This Row],[pop_n]]/1000</f>
        <v>3.2782919919999998</v>
      </c>
      <c r="F81" s="15">
        <f>Estimates_on_the_use_of_water__2020__a_3712[[#This Row],[pop_n (m)]]*1000000</f>
        <v>3278291.9919999996</v>
      </c>
      <c r="G81" s="14">
        <f>ROUND(Estimates_on_the_use_of_water__2020__a_3712[[#This Row],[pop_n (m)]],3)</f>
        <v>3.278</v>
      </c>
      <c r="H81" s="14">
        <f>ROUNDUP(Estimates_on_the_use_of_water__2020__a_3712[[#This Row],[pop_n (m)]],3)</f>
        <v>3.2789999999999999</v>
      </c>
      <c r="I81" s="9" t="s">
        <v>506</v>
      </c>
      <c r="J81" s="1">
        <v>0.68656997679999998</v>
      </c>
      <c r="K81" s="2">
        <v>2250776.8568910658</v>
      </c>
      <c r="L81" s="1">
        <v>2250.7768568910656</v>
      </c>
      <c r="M81" s="2">
        <v>31.343002319999997</v>
      </c>
      <c r="N81" s="18" t="s">
        <v>507</v>
      </c>
      <c r="O81" s="19">
        <v>2.15</v>
      </c>
      <c r="P81" s="20" t="s">
        <v>508</v>
      </c>
      <c r="Q81" s="20">
        <f>ROUND(Estimates_on_the_use_of_water__2020__a_3712[[#This Row],[wat_unimp_n]],2)</f>
        <v>6.63</v>
      </c>
      <c r="R81" s="20" t="s">
        <v>509</v>
      </c>
      <c r="S81">
        <f>ROUND(Estimates_on_the_use_of_water__2020__a_3712[[#This Row],[wat_sur_n]],2)</f>
        <v>5.72</v>
      </c>
      <c r="T81" t="s">
        <v>510</v>
      </c>
      <c r="U81" t="s">
        <v>511</v>
      </c>
      <c r="V81" t="s">
        <v>512</v>
      </c>
      <c r="W81" t="s">
        <v>513</v>
      </c>
      <c r="X81" t="s">
        <v>514</v>
      </c>
      <c r="Y81" t="s">
        <v>515</v>
      </c>
      <c r="Z81" t="s">
        <v>516</v>
      </c>
      <c r="AA81" t="s">
        <v>2</v>
      </c>
      <c r="AB81">
        <f>COUNTA(Estimates_on_the_use_of_water__2020__a_3712[[#This Row],[name]:[wat_sur_u]])</f>
        <v>27</v>
      </c>
      <c r="AC81">
        <f>COUNT(Estimates_on_the_use_of_water__2020__a_3712[[#This Row],[name]:[wat_sur_u]])</f>
        <v>13</v>
      </c>
    </row>
    <row r="82" spans="1:29" x14ac:dyDescent="0.25">
      <c r="A82" t="s">
        <v>517</v>
      </c>
      <c r="B82" t="s">
        <v>34</v>
      </c>
      <c r="C82">
        <v>3280.8149410000001</v>
      </c>
      <c r="D82" s="3">
        <f>Estimates_on_the_use_of_water__2020__a_3712[[#This Row],[pop_n]]*1000</f>
        <v>3280814.9410000001</v>
      </c>
      <c r="E82" s="15">
        <f>Estimates_on_the_use_of_water__2020__a_3712[[#This Row],[pop_n]]/1000</f>
        <v>3.280814941</v>
      </c>
      <c r="F82" s="15">
        <f>Estimates_on_the_use_of_water__2020__a_3712[[#This Row],[pop_n (m)]]*1000000</f>
        <v>3280814.9410000001</v>
      </c>
      <c r="G82" s="14">
        <f>ROUND(Estimates_on_the_use_of_water__2020__a_3712[[#This Row],[pop_n (m)]],3)</f>
        <v>3.2810000000000001</v>
      </c>
      <c r="H82" s="14">
        <f>ROUNDUP(Estimates_on_the_use_of_water__2020__a_3712[[#This Row],[pop_n (m)]],3)</f>
        <v>3.2809999999999997</v>
      </c>
      <c r="I82" s="9" t="s">
        <v>518</v>
      </c>
      <c r="J82" s="1">
        <v>0.49020000459999996</v>
      </c>
      <c r="K82" s="2">
        <v>1608255.4991699487</v>
      </c>
      <c r="L82" s="1">
        <v>1608.2554991699487</v>
      </c>
      <c r="M82" s="2">
        <v>50.979999540000001</v>
      </c>
      <c r="N82" s="18" t="s">
        <v>519</v>
      </c>
      <c r="O82" s="19">
        <v>3.82</v>
      </c>
      <c r="P82" s="20" t="s">
        <v>520</v>
      </c>
      <c r="Q82" s="20">
        <f>ROUND(Estimates_on_the_use_of_water__2020__a_3712[[#This Row],[wat_unimp_n]],2)</f>
        <v>0.06</v>
      </c>
      <c r="R82" s="20" t="s">
        <v>2</v>
      </c>
      <c r="S82">
        <f>ROUND(Estimates_on_the_use_of_water__2020__a_3712[[#This Row],[wat_sur_n]],2)</f>
        <v>0</v>
      </c>
      <c r="T82" t="s">
        <v>521</v>
      </c>
      <c r="U82" t="s">
        <v>522</v>
      </c>
      <c r="V82" t="s">
        <v>2</v>
      </c>
      <c r="W82" t="s">
        <v>2</v>
      </c>
      <c r="X82" t="s">
        <v>523</v>
      </c>
      <c r="Y82" t="s">
        <v>524</v>
      </c>
      <c r="Z82" t="s">
        <v>525</v>
      </c>
      <c r="AA82" t="s">
        <v>2</v>
      </c>
      <c r="AB82">
        <f>COUNTA(Estimates_on_the_use_of_water__2020__a_3712[[#This Row],[name]:[wat_sur_u]])</f>
        <v>27</v>
      </c>
      <c r="AC82">
        <f>COUNT(Estimates_on_the_use_of_water__2020__a_3712[[#This Row],[name]:[wat_sur_u]])</f>
        <v>13</v>
      </c>
    </row>
    <row r="83" spans="1:29" x14ac:dyDescent="0.25">
      <c r="A83" t="s">
        <v>526</v>
      </c>
      <c r="B83" t="s">
        <v>29</v>
      </c>
      <c r="C83">
        <v>3473.7270509999998</v>
      </c>
      <c r="D83" s="3">
        <f>Estimates_on_the_use_of_water__2020__a_3712[[#This Row],[pop_n]]*1000</f>
        <v>3473727.051</v>
      </c>
      <c r="E83" s="15">
        <f>Estimates_on_the_use_of_water__2020__a_3712[[#This Row],[pop_n]]/1000</f>
        <v>3.473727051</v>
      </c>
      <c r="F83" s="15">
        <f>Estimates_on_the_use_of_water__2020__a_3712[[#This Row],[pop_n (m)]]*1000000</f>
        <v>3473727.051</v>
      </c>
      <c r="G83" s="14">
        <f>ROUND(Estimates_on_the_use_of_water__2020__a_3712[[#This Row],[pop_n (m)]],3)</f>
        <v>3.4740000000000002</v>
      </c>
      <c r="H83" s="14">
        <f>ROUNDUP(Estimates_on_the_use_of_water__2020__a_3712[[#This Row],[pop_n (m)]],3)</f>
        <v>3.4739999999999998</v>
      </c>
      <c r="I83" s="9" t="s">
        <v>527</v>
      </c>
      <c r="J83" s="1">
        <v>0.95514999389999999</v>
      </c>
      <c r="K83" s="2">
        <v>3317930.371572915</v>
      </c>
      <c r="L83" s="1">
        <v>3317.9303715729147</v>
      </c>
      <c r="M83" s="2">
        <v>4.4850006100000002</v>
      </c>
      <c r="N83" s="18" t="s">
        <v>528</v>
      </c>
      <c r="O83" s="19">
        <v>0.5</v>
      </c>
      <c r="P83" s="20" t="s">
        <v>2</v>
      </c>
      <c r="Q83" s="20">
        <f>ROUND(Estimates_on_the_use_of_water__2020__a_3712[[#This Row],[wat_unimp_n]],2)</f>
        <v>0</v>
      </c>
      <c r="R83" s="20" t="s">
        <v>2</v>
      </c>
      <c r="S83">
        <f>ROUND(Estimates_on_the_use_of_water__2020__a_3712[[#This Row],[wat_sur_n]],2)</f>
        <v>0</v>
      </c>
      <c r="T83" t="s">
        <v>529</v>
      </c>
      <c r="U83" t="s">
        <v>530</v>
      </c>
      <c r="V83" t="s">
        <v>2</v>
      </c>
      <c r="W83" t="s">
        <v>2</v>
      </c>
      <c r="X83" t="s">
        <v>531</v>
      </c>
      <c r="Y83" t="s">
        <v>532</v>
      </c>
      <c r="Z83" t="s">
        <v>2</v>
      </c>
      <c r="AA83" t="s">
        <v>2</v>
      </c>
      <c r="AB83">
        <f>COUNTA(Estimates_on_the_use_of_water__2020__a_3712[[#This Row],[name]:[wat_sur_u]])</f>
        <v>27</v>
      </c>
      <c r="AC83">
        <f>COUNT(Estimates_on_the_use_of_water__2020__a_3712[[#This Row],[name]:[wat_sur_u]])</f>
        <v>13</v>
      </c>
    </row>
    <row r="84" spans="1:29" x14ac:dyDescent="0.25">
      <c r="A84" t="s">
        <v>533</v>
      </c>
      <c r="B84" t="s">
        <v>34</v>
      </c>
      <c r="C84">
        <v>3989.1750489999999</v>
      </c>
      <c r="D84" s="3">
        <f>Estimates_on_the_use_of_water__2020__a_3712[[#This Row],[pop_n]]*1000</f>
        <v>3989175.0490000001</v>
      </c>
      <c r="E84" s="15">
        <f>Estimates_on_the_use_of_water__2020__a_3712[[#This Row],[pop_n]]/1000</f>
        <v>3.989175049</v>
      </c>
      <c r="F84" s="15">
        <f>Estimates_on_the_use_of_water__2020__a_3712[[#This Row],[pop_n (m)]]*1000000</f>
        <v>3989175.0490000001</v>
      </c>
      <c r="G84" s="14">
        <f>ROUND(Estimates_on_the_use_of_water__2020__a_3712[[#This Row],[pop_n (m)]],3)</f>
        <v>3.9889999999999999</v>
      </c>
      <c r="H84" s="14">
        <f>ROUNDUP(Estimates_on_the_use_of_water__2020__a_3712[[#This Row],[pop_n (m)]],3)</f>
        <v>3.9899999999999998</v>
      </c>
      <c r="I84" s="9" t="s">
        <v>534</v>
      </c>
      <c r="J84" s="1">
        <v>0.594529953</v>
      </c>
      <c r="K84" s="2">
        <v>2371684.0543907429</v>
      </c>
      <c r="L84" s="1">
        <v>2371.6840543907429</v>
      </c>
      <c r="M84" s="2">
        <v>40.547004700000002</v>
      </c>
      <c r="N84" s="18" t="s">
        <v>535</v>
      </c>
      <c r="O84" s="19">
        <v>0</v>
      </c>
      <c r="P84" s="20" t="s">
        <v>536</v>
      </c>
      <c r="Q84" s="20">
        <f>ROUND(Estimates_on_the_use_of_water__2020__a_3712[[#This Row],[wat_unimp_n]],2)</f>
        <v>2.63</v>
      </c>
      <c r="R84" s="20" t="s">
        <v>537</v>
      </c>
      <c r="S84">
        <f>ROUND(Estimates_on_the_use_of_water__2020__a_3712[[#This Row],[wat_sur_n]],2)</f>
        <v>0.02</v>
      </c>
      <c r="T84" t="s">
        <v>538</v>
      </c>
      <c r="U84" t="s">
        <v>2</v>
      </c>
      <c r="V84" t="s">
        <v>539</v>
      </c>
      <c r="W84" t="s">
        <v>540</v>
      </c>
      <c r="X84" t="s">
        <v>541</v>
      </c>
      <c r="Y84" t="s">
        <v>2</v>
      </c>
      <c r="Z84" t="s">
        <v>542</v>
      </c>
      <c r="AA84" t="s">
        <v>543</v>
      </c>
      <c r="AB84">
        <f>COUNTA(Estimates_on_the_use_of_water__2020__a_3712[[#This Row],[name]:[wat_sur_u]])</f>
        <v>27</v>
      </c>
      <c r="AC84">
        <f>COUNT(Estimates_on_the_use_of_water__2020__a_3712[[#This Row],[name]:[wat_sur_u]])</f>
        <v>13</v>
      </c>
    </row>
    <row r="85" spans="1:29" x14ac:dyDescent="0.25">
      <c r="A85" t="s">
        <v>544</v>
      </c>
      <c r="B85" t="s">
        <v>34</v>
      </c>
      <c r="C85">
        <v>4033.9628910000001</v>
      </c>
      <c r="D85" s="3">
        <f>Estimates_on_the_use_of_water__2020__a_3712[[#This Row],[pop_n]]*1000</f>
        <v>4033962.8910000003</v>
      </c>
      <c r="E85" s="15">
        <f>Estimates_on_the_use_of_water__2020__a_3712[[#This Row],[pop_n]]/1000</f>
        <v>4.0339628909999998</v>
      </c>
      <c r="F85" s="15">
        <f>Estimates_on_the_use_of_water__2020__a_3712[[#This Row],[pop_n (m)]]*1000000</f>
        <v>4033962.8909999998</v>
      </c>
      <c r="G85" s="14">
        <f>ROUND(Estimates_on_the_use_of_water__2020__a_3712[[#This Row],[pop_n (m)]],3)</f>
        <v>4.0339999999999998</v>
      </c>
      <c r="H85" s="14">
        <f>ROUNDUP(Estimates_on_the_use_of_water__2020__a_3712[[#This Row],[pop_n (m)]],3)</f>
        <v>4.0340000000000007</v>
      </c>
      <c r="I85" s="9" t="s">
        <v>545</v>
      </c>
      <c r="J85" s="1">
        <v>0.42849002839999994</v>
      </c>
      <c r="K85" s="2">
        <v>1728512.8737291361</v>
      </c>
      <c r="L85" s="1">
        <v>1728.5128737291359</v>
      </c>
      <c r="M85" s="2">
        <v>57.150997160000003</v>
      </c>
      <c r="N85" s="18" t="s">
        <v>546</v>
      </c>
      <c r="O85" s="19">
        <v>1.52</v>
      </c>
      <c r="P85" s="20" t="s">
        <v>547</v>
      </c>
      <c r="Q85" s="20">
        <f>ROUND(Estimates_on_the_use_of_water__2020__a_3712[[#This Row],[wat_unimp_n]],2)</f>
        <v>7.91</v>
      </c>
      <c r="R85" s="20" t="s">
        <v>2</v>
      </c>
      <c r="S85">
        <f>ROUND(Estimates_on_the_use_of_water__2020__a_3712[[#This Row],[wat_sur_n]],2)</f>
        <v>0</v>
      </c>
      <c r="T85" t="s">
        <v>548</v>
      </c>
      <c r="U85" t="s">
        <v>549</v>
      </c>
      <c r="V85" t="s">
        <v>550</v>
      </c>
      <c r="W85" t="s">
        <v>2</v>
      </c>
      <c r="X85" t="s">
        <v>551</v>
      </c>
      <c r="Y85" t="s">
        <v>552</v>
      </c>
      <c r="Z85" t="s">
        <v>553</v>
      </c>
      <c r="AA85" t="s">
        <v>2</v>
      </c>
      <c r="AB85">
        <f>COUNTA(Estimates_on_the_use_of_water__2020__a_3712[[#This Row],[name]:[wat_sur_u]])</f>
        <v>27</v>
      </c>
      <c r="AC85">
        <f>COUNT(Estimates_on_the_use_of_water__2020__a_3712[[#This Row],[name]:[wat_sur_u]])</f>
        <v>13</v>
      </c>
    </row>
    <row r="86" spans="1:29" x14ac:dyDescent="0.25">
      <c r="A86" t="s">
        <v>554</v>
      </c>
      <c r="B86" t="s">
        <v>29</v>
      </c>
      <c r="C86">
        <v>4105.2680659999996</v>
      </c>
      <c r="D86" s="3">
        <f>Estimates_on_the_use_of_water__2020__a_3712[[#This Row],[pop_n]]*1000</f>
        <v>4105268.0659999996</v>
      </c>
      <c r="E86" s="15">
        <f>Estimates_on_the_use_of_water__2020__a_3712[[#This Row],[pop_n]]/1000</f>
        <v>4.1052680659999998</v>
      </c>
      <c r="F86" s="15">
        <f>Estimates_on_the_use_of_water__2020__a_3712[[#This Row],[pop_n (m)]]*1000000</f>
        <v>4105268.0659999996</v>
      </c>
      <c r="G86" s="14">
        <f>ROUND(Estimates_on_the_use_of_water__2020__a_3712[[#This Row],[pop_n (m)]],3)</f>
        <v>4.1050000000000004</v>
      </c>
      <c r="H86" s="14">
        <f>ROUNDUP(Estimates_on_the_use_of_water__2020__a_3712[[#This Row],[pop_n (m)]],3)</f>
        <v>4.1060000000000008</v>
      </c>
      <c r="I86" s="9" t="s">
        <v>555</v>
      </c>
      <c r="J86" s="1">
        <v>0.57552997589999999</v>
      </c>
      <c r="K86" s="2">
        <v>2362704.8310880195</v>
      </c>
      <c r="L86" s="1">
        <v>2362.7048310880195</v>
      </c>
      <c r="M86" s="2">
        <v>42.447002410000003</v>
      </c>
      <c r="N86" s="18">
        <v>0</v>
      </c>
      <c r="O86" s="19">
        <v>0</v>
      </c>
      <c r="P86" s="20">
        <v>0</v>
      </c>
      <c r="Q86" s="20">
        <f>ROUND(Estimates_on_the_use_of_water__2020__a_3712[[#This Row],[wat_unimp_n]],2)</f>
        <v>0</v>
      </c>
      <c r="R86" s="20">
        <v>0</v>
      </c>
      <c r="S86">
        <f>ROUND(Estimates_on_the_use_of_water__2020__a_3712[[#This Row],[wat_sur_n]],2)</f>
        <v>0</v>
      </c>
      <c r="T86">
        <v>0</v>
      </c>
      <c r="U86">
        <v>0</v>
      </c>
      <c r="V86">
        <v>0</v>
      </c>
      <c r="W86" t="s">
        <v>1</v>
      </c>
      <c r="X86" t="s">
        <v>15</v>
      </c>
      <c r="Y86" t="s">
        <v>2</v>
      </c>
      <c r="Z86" t="s">
        <v>2</v>
      </c>
      <c r="AA86" t="s">
        <v>2</v>
      </c>
      <c r="AB86">
        <f>COUNTA(Estimates_on_the_use_of_water__2020__a_3712[[#This Row],[name]:[wat_sur_u]])</f>
        <v>27</v>
      </c>
      <c r="AC86">
        <f>COUNT(Estimates_on_the_use_of_water__2020__a_3712[[#This Row],[name]:[wat_sur_u]])</f>
        <v>19</v>
      </c>
    </row>
    <row r="87" spans="1:29" x14ac:dyDescent="0.25">
      <c r="A87" t="s">
        <v>556</v>
      </c>
      <c r="B87" t="s">
        <v>29</v>
      </c>
      <c r="C87">
        <v>4270.5629879999997</v>
      </c>
      <c r="D87" s="3">
        <f>Estimates_on_the_use_of_water__2020__a_3712[[#This Row],[pop_n]]*1000</f>
        <v>4270562.9879999999</v>
      </c>
      <c r="E87" s="15">
        <f>Estimates_on_the_use_of_water__2020__a_3712[[#This Row],[pop_n]]/1000</f>
        <v>4.270562988</v>
      </c>
      <c r="F87" s="15">
        <f>Estimates_on_the_use_of_water__2020__a_3712[[#This Row],[pop_n (m)]]*1000000</f>
        <v>4270562.9879999999</v>
      </c>
      <c r="G87" s="14">
        <f>ROUND(Estimates_on_the_use_of_water__2020__a_3712[[#This Row],[pop_n (m)]],3)</f>
        <v>4.2709999999999999</v>
      </c>
      <c r="H87" s="14">
        <f>ROUNDUP(Estimates_on_the_use_of_water__2020__a_3712[[#This Row],[pop_n (m)]],3)</f>
        <v>4.2709999999999999</v>
      </c>
      <c r="I87" s="9" t="s">
        <v>15</v>
      </c>
      <c r="J87" s="1">
        <v>1</v>
      </c>
      <c r="K87" s="2">
        <v>4270562.9879999999</v>
      </c>
      <c r="L87" s="1">
        <v>4270.5629879999997</v>
      </c>
      <c r="M87" s="2">
        <v>0</v>
      </c>
      <c r="N87" s="18" t="s">
        <v>15</v>
      </c>
      <c r="O87" s="19">
        <v>0</v>
      </c>
      <c r="P87" s="20" t="s">
        <v>2</v>
      </c>
      <c r="Q87" s="20">
        <f>ROUND(Estimates_on_the_use_of_water__2020__a_3712[[#This Row],[wat_unimp_n]],2)</f>
        <v>0</v>
      </c>
      <c r="R87" s="20" t="s">
        <v>2</v>
      </c>
      <c r="S87">
        <f>ROUND(Estimates_on_the_use_of_water__2020__a_3712[[#This Row],[wat_sur_n]],2)</f>
        <v>0</v>
      </c>
      <c r="T87">
        <v>0</v>
      </c>
      <c r="U87">
        <v>0</v>
      </c>
      <c r="V87">
        <v>0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>
        <f>COUNTA(Estimates_on_the_use_of_water__2020__a_3712[[#This Row],[name]:[wat_sur_u]])</f>
        <v>27</v>
      </c>
      <c r="AC87">
        <f>COUNT(Estimates_on_the_use_of_water__2020__a_3712[[#This Row],[name]:[wat_sur_u]])</f>
        <v>16</v>
      </c>
    </row>
    <row r="88" spans="1:29" x14ac:dyDescent="0.25">
      <c r="A88" t="s">
        <v>557</v>
      </c>
      <c r="B88" t="s">
        <v>29</v>
      </c>
      <c r="C88">
        <v>4314.7680659999996</v>
      </c>
      <c r="D88" s="3">
        <f>Estimates_on_the_use_of_water__2020__a_3712[[#This Row],[pop_n]]*1000</f>
        <v>4314768.0659999996</v>
      </c>
      <c r="E88" s="15">
        <f>Estimates_on_the_use_of_water__2020__a_3712[[#This Row],[pop_n]]/1000</f>
        <v>4.3147680660000001</v>
      </c>
      <c r="F88" s="15">
        <f>Estimates_on_the_use_of_water__2020__a_3712[[#This Row],[pop_n (m)]]*1000000</f>
        <v>4314768.0659999996</v>
      </c>
      <c r="G88" s="14">
        <f>ROUND(Estimates_on_the_use_of_water__2020__a_3712[[#This Row],[pop_n (m)]],3)</f>
        <v>4.3150000000000004</v>
      </c>
      <c r="H88" s="14">
        <f>ROUNDUP(Estimates_on_the_use_of_water__2020__a_3712[[#This Row],[pop_n (m)]],3)</f>
        <v>4.3150000000000004</v>
      </c>
      <c r="I88" s="9" t="s">
        <v>558</v>
      </c>
      <c r="J88" s="1">
        <v>0.68414001459999996</v>
      </c>
      <c r="K88" s="2">
        <v>2951905.4876688533</v>
      </c>
      <c r="L88" s="1">
        <v>2951.9054876688533</v>
      </c>
      <c r="M88" s="2">
        <v>31.585998540000006</v>
      </c>
      <c r="N88" s="18" t="s">
        <v>559</v>
      </c>
      <c r="O88" s="19">
        <v>1.87</v>
      </c>
      <c r="P88" s="20" t="s">
        <v>560</v>
      </c>
      <c r="Q88" s="20">
        <f>ROUND(Estimates_on_the_use_of_water__2020__a_3712[[#This Row],[wat_unimp_n]],2)</f>
        <v>2.2599999999999998</v>
      </c>
      <c r="R88" s="20" t="s">
        <v>561</v>
      </c>
      <c r="S88">
        <f>ROUND(Estimates_on_the_use_of_water__2020__a_3712[[#This Row],[wat_sur_n]],2)</f>
        <v>1.49</v>
      </c>
      <c r="T88" t="s">
        <v>562</v>
      </c>
      <c r="U88" t="s">
        <v>563</v>
      </c>
      <c r="V88" t="s">
        <v>564</v>
      </c>
      <c r="W88" t="s">
        <v>565</v>
      </c>
      <c r="X88" t="s">
        <v>566</v>
      </c>
      <c r="Y88" t="s">
        <v>567</v>
      </c>
      <c r="Z88" t="s">
        <v>2</v>
      </c>
      <c r="AA88" t="s">
        <v>2</v>
      </c>
      <c r="AB88">
        <f>COUNTA(Estimates_on_the_use_of_water__2020__a_3712[[#This Row],[name]:[wat_sur_u]])</f>
        <v>27</v>
      </c>
      <c r="AC88">
        <f>COUNT(Estimates_on_the_use_of_water__2020__a_3712[[#This Row],[name]:[wat_sur_u]])</f>
        <v>13</v>
      </c>
    </row>
    <row r="89" spans="1:29" x14ac:dyDescent="0.25">
      <c r="A89" t="s">
        <v>568</v>
      </c>
      <c r="B89" t="s">
        <v>106</v>
      </c>
      <c r="C89">
        <v>4649.6601559999999</v>
      </c>
      <c r="D89" s="3">
        <f>Estimates_on_the_use_of_water__2020__a_3712[[#This Row],[pop_n]]*1000</f>
        <v>4649660.1559999995</v>
      </c>
      <c r="E89" s="15">
        <f>Estimates_on_the_use_of_water__2020__a_3712[[#This Row],[pop_n]]/1000</f>
        <v>4.6496601559999995</v>
      </c>
      <c r="F89" s="15">
        <f>Estimates_on_the_use_of_water__2020__a_3712[[#This Row],[pop_n (m)]]*1000000</f>
        <v>4649660.1559999995</v>
      </c>
      <c r="G89" s="14">
        <f>ROUND(Estimates_on_the_use_of_water__2020__a_3712[[#This Row],[pop_n (m)]],3)</f>
        <v>4.6500000000000004</v>
      </c>
      <c r="H89" s="14">
        <f>ROUNDUP(Estimates_on_the_use_of_water__2020__a_3712[[#This Row],[pop_n (m)]],3)</f>
        <v>4.6500000000000004</v>
      </c>
      <c r="I89" s="9" t="s">
        <v>569</v>
      </c>
      <c r="J89" s="1">
        <v>0.55326995850000005</v>
      </c>
      <c r="K89" s="2">
        <v>2572517.2815492237</v>
      </c>
      <c r="L89" s="1">
        <v>2572.5172815492238</v>
      </c>
      <c r="M89" s="2">
        <v>44.673004149999997</v>
      </c>
      <c r="N89" s="18" t="s">
        <v>570</v>
      </c>
      <c r="O89" s="19">
        <v>13.48</v>
      </c>
      <c r="P89" s="20" t="s">
        <v>571</v>
      </c>
      <c r="Q89" s="20">
        <f>ROUND(Estimates_on_the_use_of_water__2020__a_3712[[#This Row],[wat_unimp_n]],2)</f>
        <v>14.82</v>
      </c>
      <c r="R89" s="20" t="s">
        <v>572</v>
      </c>
      <c r="S89">
        <f>ROUND(Estimates_on_the_use_of_water__2020__a_3712[[#This Row],[wat_sur_n]],2)</f>
        <v>0.02</v>
      </c>
      <c r="T89" t="s">
        <v>573</v>
      </c>
      <c r="U89" t="s">
        <v>574</v>
      </c>
      <c r="V89" t="s">
        <v>575</v>
      </c>
      <c r="W89" t="s">
        <v>576</v>
      </c>
      <c r="X89" t="s">
        <v>577</v>
      </c>
      <c r="Y89" t="s">
        <v>578</v>
      </c>
      <c r="Z89" t="s">
        <v>579</v>
      </c>
      <c r="AA89" t="s">
        <v>2</v>
      </c>
      <c r="AB89">
        <f>COUNTA(Estimates_on_the_use_of_water__2020__a_3712[[#This Row],[name]:[wat_sur_u]])</f>
        <v>27</v>
      </c>
      <c r="AC89">
        <f>COUNT(Estimates_on_the_use_of_water__2020__a_3712[[#This Row],[name]:[wat_sur_u]])</f>
        <v>13</v>
      </c>
    </row>
    <row r="90" spans="1:29" x14ac:dyDescent="0.25">
      <c r="A90" t="s">
        <v>580</v>
      </c>
      <c r="B90" t="s">
        <v>29</v>
      </c>
      <c r="C90">
        <v>4822.2329099999997</v>
      </c>
      <c r="D90" s="3">
        <f>Estimates_on_the_use_of_water__2020__a_3712[[#This Row],[pop_n]]*1000</f>
        <v>4822232.91</v>
      </c>
      <c r="E90" s="15">
        <f>Estimates_on_the_use_of_water__2020__a_3712[[#This Row],[pop_n]]/1000</f>
        <v>4.8222329099999994</v>
      </c>
      <c r="F90" s="15">
        <f>Estimates_on_the_use_of_water__2020__a_3712[[#This Row],[pop_n (m)]]*1000000</f>
        <v>4822232.9099999992</v>
      </c>
      <c r="G90" s="14">
        <f>ROUND(Estimates_on_the_use_of_water__2020__a_3712[[#This Row],[pop_n (m)]],3)</f>
        <v>4.8220000000000001</v>
      </c>
      <c r="H90" s="14">
        <f>ROUNDUP(Estimates_on_the_use_of_water__2020__a_3712[[#This Row],[pop_n (m)]],3)</f>
        <v>4.8230000000000004</v>
      </c>
      <c r="I90" s="9" t="s">
        <v>581</v>
      </c>
      <c r="J90" s="1">
        <v>0.86698997500000008</v>
      </c>
      <c r="K90" s="2">
        <v>4180827.5900850776</v>
      </c>
      <c r="L90" s="1">
        <v>4180.8275900850776</v>
      </c>
      <c r="M90" s="2">
        <v>13.301002499999996</v>
      </c>
      <c r="N90" s="18" t="s">
        <v>582</v>
      </c>
      <c r="O90" s="19">
        <v>0</v>
      </c>
      <c r="P90" s="20" t="s">
        <v>2</v>
      </c>
      <c r="Q90" s="20">
        <f>ROUND(Estimates_on_the_use_of_water__2020__a_3712[[#This Row],[wat_unimp_n]],2)</f>
        <v>0</v>
      </c>
      <c r="R90" s="20" t="s">
        <v>2</v>
      </c>
      <c r="S90">
        <f>ROUND(Estimates_on_the_use_of_water__2020__a_3712[[#This Row],[wat_sur_n]],2)</f>
        <v>0</v>
      </c>
      <c r="T90" t="s">
        <v>15</v>
      </c>
      <c r="U90" t="s">
        <v>2</v>
      </c>
      <c r="V90" t="s">
        <v>2</v>
      </c>
      <c r="W90" t="s">
        <v>2</v>
      </c>
      <c r="X90" t="s">
        <v>15</v>
      </c>
      <c r="Y90" t="s">
        <v>2</v>
      </c>
      <c r="Z90" t="s">
        <v>2</v>
      </c>
      <c r="AA90" t="s">
        <v>2</v>
      </c>
      <c r="AB90">
        <f>COUNTA(Estimates_on_the_use_of_water__2020__a_3712[[#This Row],[name]:[wat_sur_u]])</f>
        <v>27</v>
      </c>
      <c r="AC90">
        <f>COUNT(Estimates_on_the_use_of_water__2020__a_3712[[#This Row],[name]:[wat_sur_u]])</f>
        <v>13</v>
      </c>
    </row>
    <row r="91" spans="1:29" x14ac:dyDescent="0.25">
      <c r="A91" t="s">
        <v>583</v>
      </c>
      <c r="B91" t="s">
        <v>375</v>
      </c>
      <c r="C91">
        <v>4829.7641599999997</v>
      </c>
      <c r="D91" s="3">
        <f>Estimates_on_the_use_of_water__2020__a_3712[[#This Row],[pop_n]]*1000</f>
        <v>4829764.16</v>
      </c>
      <c r="E91" s="15">
        <f>Estimates_on_the_use_of_water__2020__a_3712[[#This Row],[pop_n]]/1000</f>
        <v>4.8297641599999999</v>
      </c>
      <c r="F91" s="15">
        <f>Estimates_on_the_use_of_water__2020__a_3712[[#This Row],[pop_n (m)]]*1000000</f>
        <v>4829764.16</v>
      </c>
      <c r="G91" s="14">
        <f>ROUND(Estimates_on_the_use_of_water__2020__a_3712[[#This Row],[pop_n (m)]],3)</f>
        <v>4.83</v>
      </c>
      <c r="H91" s="14">
        <f>ROUNDUP(Estimates_on_the_use_of_water__2020__a_3712[[#This Row],[pop_n (m)]],3)</f>
        <v>4.83</v>
      </c>
      <c r="I91" s="9" t="s">
        <v>584</v>
      </c>
      <c r="J91" s="1">
        <v>0.42197998050000002</v>
      </c>
      <c r="K91" s="2">
        <v>2038063.7860563991</v>
      </c>
      <c r="L91" s="1">
        <v>2038.0637860563988</v>
      </c>
      <c r="M91" s="2">
        <v>57.802001949999998</v>
      </c>
      <c r="N91" s="18" t="s">
        <v>585</v>
      </c>
      <c r="O91" s="19">
        <v>25.68</v>
      </c>
      <c r="P91" s="20" t="s">
        <v>586</v>
      </c>
      <c r="Q91" s="20">
        <f>ROUND(Estimates_on_the_use_of_water__2020__a_3712[[#This Row],[wat_unimp_n]],2)</f>
        <v>33.54</v>
      </c>
      <c r="R91" s="20" t="s">
        <v>587</v>
      </c>
      <c r="S91">
        <f>ROUND(Estimates_on_the_use_of_water__2020__a_3712[[#This Row],[wat_sur_n]],2)</f>
        <v>3.58</v>
      </c>
      <c r="T91" t="s">
        <v>588</v>
      </c>
      <c r="U91" t="s">
        <v>589</v>
      </c>
      <c r="V91" t="s">
        <v>590</v>
      </c>
      <c r="W91" t="s">
        <v>591</v>
      </c>
      <c r="X91" t="s">
        <v>592</v>
      </c>
      <c r="Y91" t="s">
        <v>593</v>
      </c>
      <c r="Z91" t="s">
        <v>594</v>
      </c>
      <c r="AA91" t="s">
        <v>595</v>
      </c>
      <c r="AB91">
        <f>COUNTA(Estimates_on_the_use_of_water__2020__a_3712[[#This Row],[name]:[wat_sur_u]])</f>
        <v>27</v>
      </c>
      <c r="AC91">
        <f>COUNT(Estimates_on_the_use_of_water__2020__a_3712[[#This Row],[name]:[wat_sur_u]])</f>
        <v>13</v>
      </c>
    </row>
    <row r="92" spans="1:29" x14ac:dyDescent="0.25">
      <c r="A92" t="s">
        <v>596</v>
      </c>
      <c r="B92" t="s">
        <v>29</v>
      </c>
      <c r="C92">
        <v>4937.7958980000003</v>
      </c>
      <c r="D92" s="3">
        <f>Estimates_on_the_use_of_water__2020__a_3712[[#This Row],[pop_n]]*1000</f>
        <v>4937795.898</v>
      </c>
      <c r="E92" s="15">
        <f>Estimates_on_the_use_of_water__2020__a_3712[[#This Row],[pop_n]]/1000</f>
        <v>4.9377958980000001</v>
      </c>
      <c r="F92" s="15">
        <f>Estimates_on_the_use_of_water__2020__a_3712[[#This Row],[pop_n (m)]]*1000000</f>
        <v>4937795.898</v>
      </c>
      <c r="G92" s="14">
        <f>ROUND(Estimates_on_the_use_of_water__2020__a_3712[[#This Row],[pop_n (m)]],3)</f>
        <v>4.9379999999999997</v>
      </c>
      <c r="H92" s="14">
        <f>ROUNDUP(Estimates_on_the_use_of_water__2020__a_3712[[#This Row],[pop_n (m)]],3)</f>
        <v>4.9380000000000006</v>
      </c>
      <c r="I92" s="9" t="s">
        <v>597</v>
      </c>
      <c r="J92" s="1">
        <v>0.63652999880000005</v>
      </c>
      <c r="K92" s="2">
        <v>3143055.2170285853</v>
      </c>
      <c r="L92" s="1">
        <v>3143.0552170285855</v>
      </c>
      <c r="M92" s="2">
        <v>36.347000119999997</v>
      </c>
      <c r="N92" s="18" t="s">
        <v>598</v>
      </c>
      <c r="O92" s="19">
        <v>0</v>
      </c>
      <c r="P92" s="20" t="s">
        <v>599</v>
      </c>
      <c r="Q92" s="20">
        <f>ROUND(Estimates_on_the_use_of_water__2020__a_3712[[#This Row],[wat_unimp_n]],2)</f>
        <v>2.6</v>
      </c>
      <c r="R92" s="20" t="s">
        <v>2</v>
      </c>
      <c r="S92">
        <f>ROUND(Estimates_on_the_use_of_water__2020__a_3712[[#This Row],[wat_sur_n]],2)</f>
        <v>0</v>
      </c>
      <c r="T92" t="s">
        <v>600</v>
      </c>
      <c r="U92" t="s">
        <v>2</v>
      </c>
      <c r="V92" t="s">
        <v>601</v>
      </c>
      <c r="W92" t="s">
        <v>2</v>
      </c>
      <c r="X92" t="s">
        <v>602</v>
      </c>
      <c r="Y92" t="s">
        <v>2</v>
      </c>
      <c r="Z92" t="s">
        <v>603</v>
      </c>
      <c r="AA92" t="s">
        <v>2</v>
      </c>
      <c r="AB92">
        <f>COUNTA(Estimates_on_the_use_of_water__2020__a_3712[[#This Row],[name]:[wat_sur_u]])</f>
        <v>27</v>
      </c>
      <c r="AC92">
        <f>COUNT(Estimates_on_the_use_of_water__2020__a_3712[[#This Row],[name]:[wat_sur_u]])</f>
        <v>13</v>
      </c>
    </row>
    <row r="93" spans="1:29" x14ac:dyDescent="0.25">
      <c r="A93" t="s">
        <v>604</v>
      </c>
      <c r="B93" t="s">
        <v>375</v>
      </c>
      <c r="C93">
        <v>5057.6767579999996</v>
      </c>
      <c r="D93" s="3">
        <f>Estimates_on_the_use_of_water__2020__a_3712[[#This Row],[pop_n]]*1000</f>
        <v>5057676.7579999994</v>
      </c>
      <c r="E93" s="15">
        <f>Estimates_on_the_use_of_water__2020__a_3712[[#This Row],[pop_n]]/1000</f>
        <v>5.0576767579999995</v>
      </c>
      <c r="F93" s="15">
        <f>Estimates_on_the_use_of_water__2020__a_3712[[#This Row],[pop_n (m)]]*1000000</f>
        <v>5057676.7579999994</v>
      </c>
      <c r="G93" s="14">
        <f>ROUND(Estimates_on_the_use_of_water__2020__a_3712[[#This Row],[pop_n (m)]],3)</f>
        <v>5.0579999999999998</v>
      </c>
      <c r="H93" s="14">
        <f>ROUNDUP(Estimates_on_the_use_of_water__2020__a_3712[[#This Row],[pop_n (m)]],3)</f>
        <v>5.0580000000000007</v>
      </c>
      <c r="I93" s="9" t="s">
        <v>605</v>
      </c>
      <c r="J93" s="1">
        <v>0.52088996889999994</v>
      </c>
      <c r="K93" s="2">
        <v>2634493.0891808723</v>
      </c>
      <c r="L93" s="1">
        <v>2634.4930891808722</v>
      </c>
      <c r="M93" s="2">
        <v>47.911003110000003</v>
      </c>
      <c r="N93" s="18" t="s">
        <v>606</v>
      </c>
      <c r="O93" s="19">
        <v>8.6999999999999993</v>
      </c>
      <c r="P93" s="20" t="s">
        <v>607</v>
      </c>
      <c r="Q93" s="20">
        <f>ROUND(Estimates_on_the_use_of_water__2020__a_3712[[#This Row],[wat_unimp_n]],2)</f>
        <v>3.49</v>
      </c>
      <c r="R93" s="20" t="s">
        <v>608</v>
      </c>
      <c r="S93">
        <f>ROUND(Estimates_on_the_use_of_water__2020__a_3712[[#This Row],[wat_sur_n]],2)</f>
        <v>12.55</v>
      </c>
      <c r="T93" t="s">
        <v>609</v>
      </c>
      <c r="U93" t="s">
        <v>610</v>
      </c>
      <c r="V93" t="s">
        <v>611</v>
      </c>
      <c r="W93" t="s">
        <v>612</v>
      </c>
      <c r="X93" t="s">
        <v>613</v>
      </c>
      <c r="Y93" t="s">
        <v>614</v>
      </c>
      <c r="Z93" t="s">
        <v>615</v>
      </c>
      <c r="AA93" t="s">
        <v>616</v>
      </c>
      <c r="AB93">
        <f>COUNTA(Estimates_on_the_use_of_water__2020__a_3712[[#This Row],[name]:[wat_sur_u]])</f>
        <v>27</v>
      </c>
      <c r="AC93">
        <f>COUNT(Estimates_on_the_use_of_water__2020__a_3712[[#This Row],[name]:[wat_sur_u]])</f>
        <v>13</v>
      </c>
    </row>
    <row r="94" spans="1:29" x14ac:dyDescent="0.25">
      <c r="A94" t="s">
        <v>617</v>
      </c>
      <c r="B94" t="s">
        <v>34</v>
      </c>
      <c r="C94">
        <v>5094.1137699999999</v>
      </c>
      <c r="D94" s="3">
        <f>Estimates_on_the_use_of_water__2020__a_3712[[#This Row],[pop_n]]*1000</f>
        <v>5094113.7699999996</v>
      </c>
      <c r="E94" s="15">
        <f>Estimates_on_the_use_of_water__2020__a_3712[[#This Row],[pop_n]]/1000</f>
        <v>5.0941137699999999</v>
      </c>
      <c r="F94" s="15">
        <f>Estimates_on_the_use_of_water__2020__a_3712[[#This Row],[pop_n (m)]]*1000000</f>
        <v>5094113.7699999996</v>
      </c>
      <c r="G94" s="14">
        <f>ROUND(Estimates_on_the_use_of_water__2020__a_3712[[#This Row],[pop_n (m)]],3)</f>
        <v>5.0940000000000003</v>
      </c>
      <c r="H94" s="14">
        <f>ROUNDUP(Estimates_on_the_use_of_water__2020__a_3712[[#This Row],[pop_n (m)]],3)</f>
        <v>5.0950000000000006</v>
      </c>
      <c r="I94" s="9" t="s">
        <v>618</v>
      </c>
      <c r="J94" s="1">
        <v>0.80770996090000002</v>
      </c>
      <c r="K94" s="2">
        <v>4114566.4339868515</v>
      </c>
      <c r="L94" s="1">
        <v>4114.5664339868517</v>
      </c>
      <c r="M94" s="2">
        <v>19.229003910000003</v>
      </c>
      <c r="N94" s="18" t="s">
        <v>619</v>
      </c>
      <c r="O94" s="19">
        <v>0.19</v>
      </c>
      <c r="P94" s="20" t="s">
        <v>620</v>
      </c>
      <c r="Q94" s="20">
        <f>ROUND(Estimates_on_the_use_of_water__2020__a_3712[[#This Row],[wat_unimp_n]],2)</f>
        <v>0</v>
      </c>
      <c r="R94" s="20" t="s">
        <v>2</v>
      </c>
      <c r="S94">
        <f>ROUND(Estimates_on_the_use_of_water__2020__a_3712[[#This Row],[wat_sur_n]],2)</f>
        <v>0</v>
      </c>
      <c r="T94" t="s">
        <v>621</v>
      </c>
      <c r="U94" t="s">
        <v>622</v>
      </c>
      <c r="V94" t="s">
        <v>2</v>
      </c>
      <c r="W94" t="s">
        <v>2</v>
      </c>
      <c r="X94" t="s">
        <v>623</v>
      </c>
      <c r="Y94" t="s">
        <v>624</v>
      </c>
      <c r="Z94" t="s">
        <v>2</v>
      </c>
      <c r="AA94" t="s">
        <v>2</v>
      </c>
      <c r="AB94">
        <f>COUNTA(Estimates_on_the_use_of_water__2020__a_3712[[#This Row],[name]:[wat_sur_u]])</f>
        <v>27</v>
      </c>
      <c r="AC94">
        <f>COUNT(Estimates_on_the_use_of_water__2020__a_3712[[#This Row],[name]:[wat_sur_u]])</f>
        <v>13</v>
      </c>
    </row>
    <row r="95" spans="1:29" x14ac:dyDescent="0.25">
      <c r="A95" t="s">
        <v>625</v>
      </c>
      <c r="B95" t="s">
        <v>106</v>
      </c>
      <c r="C95">
        <v>5101.4160160000001</v>
      </c>
      <c r="D95" s="3">
        <f>Estimates_on_the_use_of_water__2020__a_3712[[#This Row],[pop_n]]*1000</f>
        <v>5101416.0159999998</v>
      </c>
      <c r="E95" s="15">
        <f>Estimates_on_the_use_of_water__2020__a_3712[[#This Row],[pop_n]]/1000</f>
        <v>5.1014160159999999</v>
      </c>
      <c r="F95" s="15">
        <f>Estimates_on_the_use_of_water__2020__a_3712[[#This Row],[pop_n (m)]]*1000000</f>
        <v>5101416.0159999998</v>
      </c>
      <c r="G95" s="14">
        <f>ROUND(Estimates_on_the_use_of_water__2020__a_3712[[#This Row],[pop_n (m)]],3)</f>
        <v>5.101</v>
      </c>
      <c r="H95" s="14">
        <f>ROUNDUP(Estimates_on_the_use_of_water__2020__a_3712[[#This Row],[pop_n (m)]],3)</f>
        <v>5.1020000000000003</v>
      </c>
      <c r="I95" s="9" t="s">
        <v>626</v>
      </c>
      <c r="J95" s="1">
        <v>0.76718994140000007</v>
      </c>
      <c r="K95" s="2">
        <v>3913755.0543720615</v>
      </c>
      <c r="L95" s="1">
        <v>3913.7550543720617</v>
      </c>
      <c r="M95" s="2">
        <v>23.281005859999993</v>
      </c>
      <c r="N95" s="18" t="s">
        <v>627</v>
      </c>
      <c r="O95" s="19">
        <v>1.03</v>
      </c>
      <c r="P95" s="20" t="s">
        <v>628</v>
      </c>
      <c r="Q95" s="20">
        <f>ROUND(Estimates_on_the_use_of_water__2020__a_3712[[#This Row],[wat_unimp_n]],2)</f>
        <v>1.0900000000000001</v>
      </c>
      <c r="R95" s="20">
        <v>0</v>
      </c>
      <c r="S95">
        <f>ROUND(Estimates_on_the_use_of_water__2020__a_3712[[#This Row],[wat_sur_n]],2)</f>
        <v>0</v>
      </c>
      <c r="T95" t="s">
        <v>629</v>
      </c>
      <c r="U95" t="s">
        <v>630</v>
      </c>
      <c r="V95" t="s">
        <v>631</v>
      </c>
      <c r="W95" t="s">
        <v>1</v>
      </c>
      <c r="X95" t="s">
        <v>632</v>
      </c>
      <c r="Y95" t="s">
        <v>633</v>
      </c>
      <c r="Z95" t="s">
        <v>634</v>
      </c>
      <c r="AA95" t="s">
        <v>1</v>
      </c>
      <c r="AB95">
        <f>COUNTA(Estimates_on_the_use_of_water__2020__a_3712[[#This Row],[name]:[wat_sur_u]])</f>
        <v>27</v>
      </c>
      <c r="AC95">
        <f>COUNT(Estimates_on_the_use_of_water__2020__a_3712[[#This Row],[name]:[wat_sur_u]])</f>
        <v>14</v>
      </c>
    </row>
    <row r="96" spans="1:29" x14ac:dyDescent="0.25">
      <c r="A96" t="s">
        <v>635</v>
      </c>
      <c r="B96" t="s">
        <v>29</v>
      </c>
      <c r="C96">
        <v>5106.6220700000003</v>
      </c>
      <c r="D96" s="3">
        <f>Estimates_on_the_use_of_water__2020__a_3712[[#This Row],[pop_n]]*1000</f>
        <v>5106622.07</v>
      </c>
      <c r="E96" s="15">
        <f>Estimates_on_the_use_of_water__2020__a_3712[[#This Row],[pop_n]]/1000</f>
        <v>5.1066220700000002</v>
      </c>
      <c r="F96" s="15">
        <f>Estimates_on_the_use_of_water__2020__a_3712[[#This Row],[pop_n (m)]]*1000000</f>
        <v>5106622.07</v>
      </c>
      <c r="G96" s="14">
        <f>ROUND(Estimates_on_the_use_of_water__2020__a_3712[[#This Row],[pop_n (m)]],3)</f>
        <v>5.1070000000000002</v>
      </c>
      <c r="H96" s="14">
        <f>ROUNDUP(Estimates_on_the_use_of_water__2020__a_3712[[#This Row],[pop_n (m)]],3)</f>
        <v>5.1070000000000002</v>
      </c>
      <c r="I96" s="9" t="s">
        <v>636</v>
      </c>
      <c r="J96" s="1">
        <v>0.86275993349999991</v>
      </c>
      <c r="K96" s="2">
        <v>4405788.9175228318</v>
      </c>
      <c r="L96" s="1">
        <v>4405.788917522832</v>
      </c>
      <c r="M96" s="2">
        <v>13.724006650000007</v>
      </c>
      <c r="N96" s="18" t="s">
        <v>637</v>
      </c>
      <c r="O96" s="19">
        <v>7.54</v>
      </c>
      <c r="P96" s="20" t="s">
        <v>638</v>
      </c>
      <c r="Q96" s="20">
        <f>ROUND(Estimates_on_the_use_of_water__2020__a_3712[[#This Row],[wat_unimp_n]],2)</f>
        <v>0.26</v>
      </c>
      <c r="R96" s="20" t="s">
        <v>639</v>
      </c>
      <c r="S96">
        <f>ROUND(Estimates_on_the_use_of_water__2020__a_3712[[#This Row],[wat_sur_n]],2)</f>
        <v>0.03</v>
      </c>
      <c r="T96" t="s">
        <v>640</v>
      </c>
      <c r="U96" t="s">
        <v>641</v>
      </c>
      <c r="V96" t="s">
        <v>642</v>
      </c>
      <c r="W96" t="s">
        <v>643</v>
      </c>
      <c r="X96" t="s">
        <v>644</v>
      </c>
      <c r="Y96" t="s">
        <v>645</v>
      </c>
      <c r="Z96" t="s">
        <v>2</v>
      </c>
      <c r="AA96" t="s">
        <v>2</v>
      </c>
      <c r="AB96">
        <f>COUNTA(Estimates_on_the_use_of_water__2020__a_3712[[#This Row],[name]:[wat_sur_u]])</f>
        <v>27</v>
      </c>
      <c r="AC96">
        <f>COUNT(Estimates_on_the_use_of_water__2020__a_3712[[#This Row],[name]:[wat_sur_u]])</f>
        <v>13</v>
      </c>
    </row>
    <row r="97" spans="1:29" x14ac:dyDescent="0.25">
      <c r="A97" t="s">
        <v>646</v>
      </c>
      <c r="B97" t="s">
        <v>29</v>
      </c>
      <c r="C97">
        <v>5421.2421880000002</v>
      </c>
      <c r="D97" s="3">
        <f>Estimates_on_the_use_of_water__2020__a_3712[[#This Row],[pop_n]]*1000</f>
        <v>5421242.1880000001</v>
      </c>
      <c r="E97" s="15">
        <f>Estimates_on_the_use_of_water__2020__a_3712[[#This Row],[pop_n]]/1000</f>
        <v>5.4212421879999999</v>
      </c>
      <c r="F97" s="15">
        <f>Estimates_on_the_use_of_water__2020__a_3712[[#This Row],[pop_n (m)]]*1000000</f>
        <v>5421242.1880000001</v>
      </c>
      <c r="G97" s="14">
        <f>ROUND(Estimates_on_the_use_of_water__2020__a_3712[[#This Row],[pop_n (m)]],3)</f>
        <v>5.4210000000000003</v>
      </c>
      <c r="H97" s="14">
        <f>ROUNDUP(Estimates_on_the_use_of_water__2020__a_3712[[#This Row],[pop_n (m)]],3)</f>
        <v>5.4220000000000006</v>
      </c>
      <c r="I97" s="9" t="s">
        <v>647</v>
      </c>
      <c r="J97" s="1">
        <v>0.8297399138999999</v>
      </c>
      <c r="K97" s="2">
        <v>4498221.0263021672</v>
      </c>
      <c r="L97" s="1">
        <v>4498.221026302167</v>
      </c>
      <c r="M97" s="2">
        <v>17.026008610000005</v>
      </c>
      <c r="N97" s="18" t="s">
        <v>648</v>
      </c>
      <c r="O97" s="19">
        <v>0</v>
      </c>
      <c r="P97" s="20" t="s">
        <v>649</v>
      </c>
      <c r="Q97" s="20">
        <f>ROUND(Estimates_on_the_use_of_water__2020__a_3712[[#This Row],[wat_unimp_n]],2)</f>
        <v>0</v>
      </c>
      <c r="R97" s="20" t="s">
        <v>2</v>
      </c>
      <c r="S97">
        <f>ROUND(Estimates_on_the_use_of_water__2020__a_3712[[#This Row],[wat_sur_n]],2)</f>
        <v>0</v>
      </c>
      <c r="T97" t="s">
        <v>15</v>
      </c>
      <c r="U97" t="s">
        <v>2</v>
      </c>
      <c r="V97" t="s">
        <v>2</v>
      </c>
      <c r="W97" t="s">
        <v>2</v>
      </c>
      <c r="X97" t="s">
        <v>15</v>
      </c>
      <c r="Y97" t="s">
        <v>2</v>
      </c>
      <c r="Z97" t="s">
        <v>2</v>
      </c>
      <c r="AA97" t="s">
        <v>2</v>
      </c>
      <c r="AB97">
        <f>COUNTA(Estimates_on_the_use_of_water__2020__a_3712[[#This Row],[name]:[wat_sur_u]])</f>
        <v>27</v>
      </c>
      <c r="AC97">
        <f>COUNT(Estimates_on_the_use_of_water__2020__a_3712[[#This Row],[name]:[wat_sur_u]])</f>
        <v>13</v>
      </c>
    </row>
    <row r="98" spans="1:29" x14ac:dyDescent="0.25">
      <c r="A98" t="s">
        <v>650</v>
      </c>
      <c r="B98" t="s">
        <v>29</v>
      </c>
      <c r="C98">
        <v>5459.6430659999996</v>
      </c>
      <c r="D98" s="3">
        <f>Estimates_on_the_use_of_water__2020__a_3712[[#This Row],[pop_n]]*1000</f>
        <v>5459643.0659999996</v>
      </c>
      <c r="E98" s="15">
        <f>Estimates_on_the_use_of_water__2020__a_3712[[#This Row],[pop_n]]/1000</f>
        <v>5.4596430659999999</v>
      </c>
      <c r="F98" s="15">
        <f>Estimates_on_the_use_of_water__2020__a_3712[[#This Row],[pop_n (m)]]*1000000</f>
        <v>5459643.0659999996</v>
      </c>
      <c r="G98" s="14">
        <f>ROUND(Estimates_on_the_use_of_water__2020__a_3712[[#This Row],[pop_n (m)]],3)</f>
        <v>5.46</v>
      </c>
      <c r="H98" s="14">
        <f>ROUNDUP(Estimates_on_the_use_of_water__2020__a_3712[[#This Row],[pop_n (m)]],3)</f>
        <v>5.46</v>
      </c>
      <c r="I98" s="9" t="s">
        <v>651</v>
      </c>
      <c r="J98" s="1">
        <v>0.53759998320000002</v>
      </c>
      <c r="K98" s="2">
        <v>2935104.0205595964</v>
      </c>
      <c r="L98" s="1">
        <v>2935.1040205595964</v>
      </c>
      <c r="M98" s="2">
        <v>46.240001679999999</v>
      </c>
      <c r="N98" s="18" t="s">
        <v>652</v>
      </c>
      <c r="O98" s="19">
        <v>0.21</v>
      </c>
      <c r="P98" s="20" t="s">
        <v>2</v>
      </c>
      <c r="Q98" s="20">
        <f>ROUND(Estimates_on_the_use_of_water__2020__a_3712[[#This Row],[wat_unimp_n]],2)</f>
        <v>0</v>
      </c>
      <c r="R98" s="20" t="s">
        <v>2</v>
      </c>
      <c r="S98">
        <f>ROUND(Estimates_on_the_use_of_water__2020__a_3712[[#This Row],[wat_sur_n]],2)</f>
        <v>0</v>
      </c>
      <c r="T98" t="s">
        <v>15</v>
      </c>
      <c r="U98" t="s">
        <v>2</v>
      </c>
      <c r="V98" t="s">
        <v>2</v>
      </c>
      <c r="W98" t="s">
        <v>2</v>
      </c>
      <c r="X98" t="s">
        <v>653</v>
      </c>
      <c r="Y98" t="s">
        <v>654</v>
      </c>
      <c r="Z98" t="s">
        <v>2</v>
      </c>
      <c r="AA98" t="s">
        <v>2</v>
      </c>
      <c r="AB98">
        <f>COUNTA(Estimates_on_the_use_of_water__2020__a_3712[[#This Row],[name]:[wat_sur_u]])</f>
        <v>27</v>
      </c>
      <c r="AC98">
        <f>COUNT(Estimates_on_the_use_of_water__2020__a_3712[[#This Row],[name]:[wat_sur_u]])</f>
        <v>13</v>
      </c>
    </row>
    <row r="99" spans="1:29" x14ac:dyDescent="0.25">
      <c r="A99" t="s">
        <v>655</v>
      </c>
      <c r="B99" t="s">
        <v>106</v>
      </c>
      <c r="C99">
        <v>5518.091797</v>
      </c>
      <c r="D99" s="3">
        <f>Estimates_on_the_use_of_water__2020__a_3712[[#This Row],[pop_n]]*1000</f>
        <v>5518091.7970000003</v>
      </c>
      <c r="E99" s="15">
        <f>Estimates_on_the_use_of_water__2020__a_3712[[#This Row],[pop_n]]/1000</f>
        <v>5.5180917970000003</v>
      </c>
      <c r="F99" s="15">
        <f>Estimates_on_the_use_of_water__2020__a_3712[[#This Row],[pop_n (m)]]*1000000</f>
        <v>5518091.7970000003</v>
      </c>
      <c r="G99" s="14">
        <f>ROUND(Estimates_on_the_use_of_water__2020__a_3712[[#This Row],[pop_n (m)]],3)</f>
        <v>5.5179999999999998</v>
      </c>
      <c r="H99" s="14">
        <f>ROUNDUP(Estimates_on_the_use_of_water__2020__a_3712[[#This Row],[pop_n (m)]],3)</f>
        <v>5.5190000000000001</v>
      </c>
      <c r="I99" s="9" t="s">
        <v>656</v>
      </c>
      <c r="J99" s="1">
        <v>0.67829002380000003</v>
      </c>
      <c r="K99" s="2">
        <v>3742866.616317715</v>
      </c>
      <c r="L99" s="1">
        <v>3742.8666163177149</v>
      </c>
      <c r="M99" s="2">
        <v>32.170997619999994</v>
      </c>
      <c r="N99" s="18" t="s">
        <v>657</v>
      </c>
      <c r="O99" s="19">
        <v>10.46</v>
      </c>
      <c r="P99" s="20" t="s">
        <v>658</v>
      </c>
      <c r="Q99" s="20">
        <f>ROUND(Estimates_on_the_use_of_water__2020__a_3712[[#This Row],[wat_unimp_n]],2)</f>
        <v>9.56</v>
      </c>
      <c r="R99" s="20" t="s">
        <v>659</v>
      </c>
      <c r="S99">
        <f>ROUND(Estimates_on_the_use_of_water__2020__a_3712[[#This Row],[wat_sur_n]],2)</f>
        <v>6.2</v>
      </c>
      <c r="T99" t="s">
        <v>660</v>
      </c>
      <c r="U99" t="s">
        <v>661</v>
      </c>
      <c r="V99" t="s">
        <v>662</v>
      </c>
      <c r="W99" t="s">
        <v>663</v>
      </c>
      <c r="X99" t="s">
        <v>664</v>
      </c>
      <c r="Y99" t="s">
        <v>665</v>
      </c>
      <c r="Z99" t="s">
        <v>666</v>
      </c>
      <c r="AA99" t="s">
        <v>667</v>
      </c>
      <c r="AB99">
        <f>COUNTA(Estimates_on_the_use_of_water__2020__a_3712[[#This Row],[name]:[wat_sur_u]])</f>
        <v>27</v>
      </c>
      <c r="AC99">
        <f>COUNT(Estimates_on_the_use_of_water__2020__a_3712[[#This Row],[name]:[wat_sur_u]])</f>
        <v>13</v>
      </c>
    </row>
    <row r="100" spans="1:29" x14ac:dyDescent="0.25">
      <c r="A100" t="s">
        <v>668</v>
      </c>
      <c r="B100" t="s">
        <v>29</v>
      </c>
      <c r="C100">
        <v>5540.7177730000003</v>
      </c>
      <c r="D100" s="3">
        <f>Estimates_on_the_use_of_water__2020__a_3712[[#This Row],[pop_n]]*1000</f>
        <v>5540717.773</v>
      </c>
      <c r="E100" s="15">
        <f>Estimates_on_the_use_of_water__2020__a_3712[[#This Row],[pop_n]]/1000</f>
        <v>5.5407177729999999</v>
      </c>
      <c r="F100" s="15">
        <f>Estimates_on_the_use_of_water__2020__a_3712[[#This Row],[pop_n (m)]]*1000000</f>
        <v>5540717.773</v>
      </c>
      <c r="G100" s="14">
        <f>ROUND(Estimates_on_the_use_of_water__2020__a_3712[[#This Row],[pop_n (m)]],3)</f>
        <v>5.5410000000000004</v>
      </c>
      <c r="H100" s="14">
        <f>ROUNDUP(Estimates_on_the_use_of_water__2020__a_3712[[#This Row],[pop_n (m)]],3)</f>
        <v>5.5410000000000004</v>
      </c>
      <c r="I100" s="9" t="s">
        <v>669</v>
      </c>
      <c r="J100" s="1">
        <v>0.8551700592</v>
      </c>
      <c r="K100" s="2">
        <v>4738255.945946902</v>
      </c>
      <c r="L100" s="1">
        <v>4738.2559459469021</v>
      </c>
      <c r="M100" s="2">
        <v>14.482994079999997</v>
      </c>
      <c r="N100" s="18" t="s">
        <v>670</v>
      </c>
      <c r="O100" s="19">
        <v>0</v>
      </c>
      <c r="P100" s="20" t="s">
        <v>2</v>
      </c>
      <c r="Q100" s="20">
        <f>ROUND(Estimates_on_the_use_of_water__2020__a_3712[[#This Row],[wat_unimp_n]],2)</f>
        <v>0</v>
      </c>
      <c r="R100" s="20" t="s">
        <v>2</v>
      </c>
      <c r="S100">
        <f>ROUND(Estimates_on_the_use_of_water__2020__a_3712[[#This Row],[wat_sur_n]],2)</f>
        <v>0</v>
      </c>
      <c r="T100" t="s">
        <v>15</v>
      </c>
      <c r="U100" t="s">
        <v>2</v>
      </c>
      <c r="V100" t="s">
        <v>2</v>
      </c>
      <c r="W100" t="s">
        <v>2</v>
      </c>
      <c r="X100" t="s">
        <v>15</v>
      </c>
      <c r="Y100" t="s">
        <v>2</v>
      </c>
      <c r="Z100" t="s">
        <v>2</v>
      </c>
      <c r="AA100" t="s">
        <v>2</v>
      </c>
      <c r="AB100">
        <f>COUNTA(Estimates_on_the_use_of_water__2020__a_3712[[#This Row],[name]:[wat_sur_u]])</f>
        <v>27</v>
      </c>
      <c r="AC100">
        <f>COUNT(Estimates_on_the_use_of_water__2020__a_3712[[#This Row],[name]:[wat_sur_u]])</f>
        <v>13</v>
      </c>
    </row>
    <row r="101" spans="1:29" x14ac:dyDescent="0.25">
      <c r="A101" t="s">
        <v>671</v>
      </c>
      <c r="B101" t="s">
        <v>29</v>
      </c>
      <c r="C101">
        <v>5792.203125</v>
      </c>
      <c r="D101" s="3">
        <f>Estimates_on_the_use_of_water__2020__a_3712[[#This Row],[pop_n]]*1000</f>
        <v>5792203.125</v>
      </c>
      <c r="E101" s="15">
        <f>Estimates_on_the_use_of_water__2020__a_3712[[#This Row],[pop_n]]/1000</f>
        <v>5.7922031250000003</v>
      </c>
      <c r="F101" s="15">
        <f>Estimates_on_the_use_of_water__2020__a_3712[[#This Row],[pop_n (m)]]*1000000</f>
        <v>5792203.125</v>
      </c>
      <c r="G101" s="14">
        <f>ROUND(Estimates_on_the_use_of_water__2020__a_3712[[#This Row],[pop_n (m)]],3)</f>
        <v>5.7919999999999998</v>
      </c>
      <c r="H101" s="14">
        <f>ROUNDUP(Estimates_on_the_use_of_water__2020__a_3712[[#This Row],[pop_n (m)]],3)</f>
        <v>5.7930000000000001</v>
      </c>
      <c r="I101" s="9" t="s">
        <v>672</v>
      </c>
      <c r="J101" s="1">
        <v>0.88116004939999992</v>
      </c>
      <c r="K101" s="2">
        <v>5103857.9917598339</v>
      </c>
      <c r="L101" s="1">
        <v>5103.8579917598336</v>
      </c>
      <c r="M101" s="2">
        <v>11.883995060000004</v>
      </c>
      <c r="N101" s="18" t="s">
        <v>673</v>
      </c>
      <c r="O101" s="19">
        <v>0</v>
      </c>
      <c r="P101" s="20" t="s">
        <v>2</v>
      </c>
      <c r="Q101" s="20">
        <f>ROUND(Estimates_on_the_use_of_water__2020__a_3712[[#This Row],[wat_unimp_n]],2)</f>
        <v>0</v>
      </c>
      <c r="R101" s="20" t="s">
        <v>2</v>
      </c>
      <c r="S101">
        <f>ROUND(Estimates_on_the_use_of_water__2020__a_3712[[#This Row],[wat_sur_n]],2)</f>
        <v>0</v>
      </c>
      <c r="T101" t="s">
        <v>15</v>
      </c>
      <c r="U101" t="s">
        <v>2</v>
      </c>
      <c r="V101" t="s">
        <v>2</v>
      </c>
      <c r="W101" t="s">
        <v>2</v>
      </c>
      <c r="X101" t="s">
        <v>15</v>
      </c>
      <c r="Y101" t="s">
        <v>2</v>
      </c>
      <c r="Z101" t="s">
        <v>2</v>
      </c>
      <c r="AA101" t="s">
        <v>2</v>
      </c>
      <c r="AB101">
        <f>COUNTA(Estimates_on_the_use_of_water__2020__a_3712[[#This Row],[name]:[wat_sur_u]])</f>
        <v>27</v>
      </c>
      <c r="AC101">
        <f>COUNT(Estimates_on_the_use_of_water__2020__a_3712[[#This Row],[name]:[wat_sur_u]])</f>
        <v>13</v>
      </c>
    </row>
    <row r="102" spans="1:29" x14ac:dyDescent="0.25">
      <c r="A102" t="s">
        <v>674</v>
      </c>
      <c r="B102" t="s">
        <v>29</v>
      </c>
      <c r="C102">
        <v>5850.3427730000003</v>
      </c>
      <c r="D102" s="3">
        <f>Estimates_on_the_use_of_water__2020__a_3712[[#This Row],[pop_n]]*1000</f>
        <v>5850342.773</v>
      </c>
      <c r="E102" s="15">
        <f>Estimates_on_the_use_of_water__2020__a_3712[[#This Row],[pop_n]]/1000</f>
        <v>5.8503427730000004</v>
      </c>
      <c r="F102" s="15">
        <f>Estimates_on_the_use_of_water__2020__a_3712[[#This Row],[pop_n (m)]]*1000000</f>
        <v>5850342.773</v>
      </c>
      <c r="G102" s="14">
        <f>ROUND(Estimates_on_the_use_of_water__2020__a_3712[[#This Row],[pop_n (m)]],3)</f>
        <v>5.85</v>
      </c>
      <c r="H102" s="14">
        <f>ROUNDUP(Estimates_on_the_use_of_water__2020__a_3712[[#This Row],[pop_n (m)]],3)</f>
        <v>5.851</v>
      </c>
      <c r="I102" s="9" t="s">
        <v>15</v>
      </c>
      <c r="J102" s="1">
        <v>1</v>
      </c>
      <c r="K102" s="2">
        <v>5850342.773</v>
      </c>
      <c r="L102" s="1">
        <v>5850.3427730000003</v>
      </c>
      <c r="M102" s="2">
        <v>0</v>
      </c>
      <c r="N102" s="18" t="s">
        <v>15</v>
      </c>
      <c r="O102" s="19">
        <v>0</v>
      </c>
      <c r="P102" s="20" t="s">
        <v>2</v>
      </c>
      <c r="Q102" s="20">
        <f>ROUND(Estimates_on_the_use_of_water__2020__a_3712[[#This Row],[wat_unimp_n]],2)</f>
        <v>0</v>
      </c>
      <c r="R102" s="20" t="s">
        <v>2</v>
      </c>
      <c r="S102">
        <f>ROUND(Estimates_on_the_use_of_water__2020__a_3712[[#This Row],[wat_sur_n]],2)</f>
        <v>0</v>
      </c>
      <c r="T102">
        <v>0</v>
      </c>
      <c r="U102">
        <v>0</v>
      </c>
      <c r="V102">
        <v>0</v>
      </c>
      <c r="W102" t="s">
        <v>1</v>
      </c>
      <c r="X102" t="s">
        <v>15</v>
      </c>
      <c r="Y102" t="s">
        <v>2</v>
      </c>
      <c r="Z102" t="s">
        <v>2</v>
      </c>
      <c r="AA102" t="s">
        <v>2</v>
      </c>
      <c r="AB102">
        <f>COUNTA(Estimates_on_the_use_of_water__2020__a_3712[[#This Row],[name]:[wat_sur_u]])</f>
        <v>27</v>
      </c>
      <c r="AC102">
        <f>COUNT(Estimates_on_the_use_of_water__2020__a_3712[[#This Row],[name]:[wat_sur_u]])</f>
        <v>16</v>
      </c>
    </row>
    <row r="103" spans="1:29" x14ac:dyDescent="0.25">
      <c r="A103" t="s">
        <v>675</v>
      </c>
      <c r="B103" t="s">
        <v>34</v>
      </c>
      <c r="C103">
        <v>6031.1870120000003</v>
      </c>
      <c r="D103" s="3">
        <f>Estimates_on_the_use_of_water__2020__a_3712[[#This Row],[pop_n]]*1000</f>
        <v>6031187.0120000001</v>
      </c>
      <c r="E103" s="15">
        <f>Estimates_on_the_use_of_water__2020__a_3712[[#This Row],[pop_n]]/1000</f>
        <v>6.0311870120000002</v>
      </c>
      <c r="F103" s="15">
        <f>Estimates_on_the_use_of_water__2020__a_3712[[#This Row],[pop_n (m)]]*1000000</f>
        <v>6031187.0120000001</v>
      </c>
      <c r="G103" s="14">
        <f>ROUND(Estimates_on_the_use_of_water__2020__a_3712[[#This Row],[pop_n (m)]],3)</f>
        <v>6.0309999999999997</v>
      </c>
      <c r="H103" s="14">
        <f>ROUNDUP(Estimates_on_the_use_of_water__2020__a_3712[[#This Row],[pop_n (m)]],3)</f>
        <v>6.032</v>
      </c>
      <c r="I103" s="9" t="s">
        <v>676</v>
      </c>
      <c r="J103" s="1">
        <v>0.52516002659999994</v>
      </c>
      <c r="K103" s="2">
        <v>3167338.3316514944</v>
      </c>
      <c r="L103" s="1">
        <v>3167.3383316514942</v>
      </c>
      <c r="M103" s="2">
        <v>47.483997340000002</v>
      </c>
      <c r="N103" s="18" t="s">
        <v>15</v>
      </c>
      <c r="O103" s="19">
        <v>0</v>
      </c>
      <c r="P103" s="20" t="s">
        <v>2</v>
      </c>
      <c r="Q103" s="20">
        <f>ROUND(Estimates_on_the_use_of_water__2020__a_3712[[#This Row],[wat_unimp_n]],2)</f>
        <v>0</v>
      </c>
      <c r="R103" s="20" t="s">
        <v>2</v>
      </c>
      <c r="S103">
        <f>ROUND(Estimates_on_the_use_of_water__2020__a_3712[[#This Row],[wat_sur_n]],2)</f>
        <v>0</v>
      </c>
      <c r="T103" t="s">
        <v>15</v>
      </c>
      <c r="U103" t="s">
        <v>2</v>
      </c>
      <c r="V103" t="s">
        <v>2</v>
      </c>
      <c r="W103" t="s">
        <v>2</v>
      </c>
      <c r="X103" t="s">
        <v>15</v>
      </c>
      <c r="Y103" t="s">
        <v>2</v>
      </c>
      <c r="Z103" t="s">
        <v>2</v>
      </c>
      <c r="AA103" t="s">
        <v>2</v>
      </c>
      <c r="AB103">
        <f>COUNTA(Estimates_on_the_use_of_water__2020__a_3712[[#This Row],[name]:[wat_sur_u]])</f>
        <v>27</v>
      </c>
      <c r="AC103">
        <f>COUNT(Estimates_on_the_use_of_water__2020__a_3712[[#This Row],[name]:[wat_sur_u]])</f>
        <v>13</v>
      </c>
    </row>
    <row r="104" spans="1:29" x14ac:dyDescent="0.25">
      <c r="A104" t="s">
        <v>677</v>
      </c>
      <c r="B104" t="s">
        <v>106</v>
      </c>
      <c r="C104">
        <v>6486.201172</v>
      </c>
      <c r="D104" s="3">
        <f>Estimates_on_the_use_of_water__2020__a_3712[[#This Row],[pop_n]]*1000</f>
        <v>6486201.1720000003</v>
      </c>
      <c r="E104" s="15">
        <f>Estimates_on_the_use_of_water__2020__a_3712[[#This Row],[pop_n]]/1000</f>
        <v>6.4862011720000003</v>
      </c>
      <c r="F104" s="15">
        <f>Estimates_on_the_use_of_water__2020__a_3712[[#This Row],[pop_n (m)]]*1000000</f>
        <v>6486201.1720000003</v>
      </c>
      <c r="G104" s="14">
        <f>ROUND(Estimates_on_the_use_of_water__2020__a_3712[[#This Row],[pop_n (m)]],3)</f>
        <v>6.4859999999999998</v>
      </c>
      <c r="H104" s="14">
        <f>ROUNDUP(Estimates_on_the_use_of_water__2020__a_3712[[#This Row],[pop_n (m)]],3)</f>
        <v>6.4870000000000001</v>
      </c>
      <c r="I104" s="9" t="s">
        <v>678</v>
      </c>
      <c r="J104" s="1">
        <v>0.73444000239999996</v>
      </c>
      <c r="K104" s="2">
        <v>4763725.604330563</v>
      </c>
      <c r="L104" s="1">
        <v>4763.7256043305624</v>
      </c>
      <c r="M104" s="2">
        <v>26.555999760000006</v>
      </c>
      <c r="N104" s="18" t="s">
        <v>679</v>
      </c>
      <c r="O104" s="19">
        <v>0.21</v>
      </c>
      <c r="P104" s="20" t="s">
        <v>680</v>
      </c>
      <c r="Q104" s="20">
        <f>ROUND(Estimates_on_the_use_of_water__2020__a_3712[[#This Row],[wat_unimp_n]],2)</f>
        <v>0.32</v>
      </c>
      <c r="R104" s="20" t="s">
        <v>681</v>
      </c>
      <c r="S104">
        <f>ROUND(Estimates_on_the_use_of_water__2020__a_3712[[#This Row],[wat_sur_n]],2)</f>
        <v>1.53</v>
      </c>
      <c r="T104" t="s">
        <v>682</v>
      </c>
      <c r="U104" t="s">
        <v>683</v>
      </c>
      <c r="V104" t="s">
        <v>2</v>
      </c>
      <c r="W104" t="s">
        <v>684</v>
      </c>
      <c r="X104" t="s">
        <v>685</v>
      </c>
      <c r="Y104" t="s">
        <v>2</v>
      </c>
      <c r="Z104" t="s">
        <v>686</v>
      </c>
      <c r="AA104" t="s">
        <v>2</v>
      </c>
      <c r="AB104">
        <f>COUNTA(Estimates_on_the_use_of_water__2020__a_3712[[#This Row],[name]:[wat_sur_u]])</f>
        <v>27</v>
      </c>
      <c r="AC104">
        <f>COUNT(Estimates_on_the_use_of_water__2020__a_3712[[#This Row],[name]:[wat_sur_u]])</f>
        <v>13</v>
      </c>
    </row>
    <row r="105" spans="1:29" x14ac:dyDescent="0.25">
      <c r="A105" t="s">
        <v>687</v>
      </c>
      <c r="B105" t="s">
        <v>1</v>
      </c>
      <c r="C105">
        <v>6524.1909180000002</v>
      </c>
      <c r="D105" s="3">
        <f>Estimates_on_the_use_of_water__2020__a_3712[[#This Row],[pop_n]]*1000</f>
        <v>6524190.9180000005</v>
      </c>
      <c r="E105" s="15">
        <f>Estimates_on_the_use_of_water__2020__a_3712[[#This Row],[pop_n]]/1000</f>
        <v>6.5241909180000004</v>
      </c>
      <c r="F105" s="15">
        <f>Estimates_on_the_use_of_water__2020__a_3712[[#This Row],[pop_n (m)]]*1000000</f>
        <v>6524190.9180000005</v>
      </c>
      <c r="G105" s="14">
        <f>ROUND(Estimates_on_the_use_of_water__2020__a_3712[[#This Row],[pop_n (m)]],3)</f>
        <v>6.524</v>
      </c>
      <c r="H105" s="14">
        <f>ROUNDUP(Estimates_on_the_use_of_water__2020__a_3712[[#This Row],[pop_n (m)]],3)</f>
        <v>6.5250000000000004</v>
      </c>
      <c r="I105" s="9" t="s">
        <v>688</v>
      </c>
      <c r="J105" s="1">
        <v>0.36855998990000005</v>
      </c>
      <c r="K105" s="2">
        <v>2404555.7388437521</v>
      </c>
      <c r="L105" s="1">
        <v>2404.5557388437524</v>
      </c>
      <c r="M105" s="2">
        <v>63.144001009999997</v>
      </c>
      <c r="N105" s="18" t="s">
        <v>689</v>
      </c>
      <c r="O105" s="19">
        <v>1.9</v>
      </c>
      <c r="P105" s="20" t="s">
        <v>690</v>
      </c>
      <c r="Q105" s="20">
        <f>ROUND(Estimates_on_the_use_of_water__2020__a_3712[[#This Row],[wat_unimp_n]],2)</f>
        <v>1.87</v>
      </c>
      <c r="R105" s="20" t="s">
        <v>691</v>
      </c>
      <c r="S105">
        <f>ROUND(Estimates_on_the_use_of_water__2020__a_3712[[#This Row],[wat_sur_n]],2)</f>
        <v>4.53</v>
      </c>
      <c r="T105" t="s">
        <v>692</v>
      </c>
      <c r="U105" t="s">
        <v>693</v>
      </c>
      <c r="V105" t="s">
        <v>694</v>
      </c>
      <c r="W105" t="s">
        <v>695</v>
      </c>
      <c r="X105" t="s">
        <v>696</v>
      </c>
      <c r="Y105" t="s">
        <v>697</v>
      </c>
      <c r="Z105" t="s">
        <v>2</v>
      </c>
      <c r="AA105" t="s">
        <v>2</v>
      </c>
      <c r="AB105">
        <f>COUNTA(Estimates_on_the_use_of_water__2020__a_3712[[#This Row],[name]:[wat_sur_u]])</f>
        <v>27</v>
      </c>
      <c r="AC105">
        <f>COUNT(Estimates_on_the_use_of_water__2020__a_3712[[#This Row],[name]:[wat_sur_u]])</f>
        <v>13</v>
      </c>
    </row>
    <row r="106" spans="1:29" x14ac:dyDescent="0.25">
      <c r="A106" t="s">
        <v>698</v>
      </c>
      <c r="B106" t="s">
        <v>106</v>
      </c>
      <c r="C106">
        <v>6624.5541990000002</v>
      </c>
      <c r="D106" s="3">
        <f>Estimates_on_the_use_of_water__2020__a_3712[[#This Row],[pop_n]]*1000</f>
        <v>6624554.199</v>
      </c>
      <c r="E106" s="15">
        <f>Estimates_on_the_use_of_water__2020__a_3712[[#This Row],[pop_n]]/1000</f>
        <v>6.6245541990000003</v>
      </c>
      <c r="F106" s="15">
        <f>Estimates_on_the_use_of_water__2020__a_3712[[#This Row],[pop_n (m)]]*1000000</f>
        <v>6624554.199</v>
      </c>
      <c r="G106" s="14">
        <f>ROUND(Estimates_on_the_use_of_water__2020__a_3712[[#This Row],[pop_n (m)]],3)</f>
        <v>6.625</v>
      </c>
      <c r="H106" s="14">
        <f>ROUNDUP(Estimates_on_the_use_of_water__2020__a_3712[[#This Row],[pop_n (m)]],3)</f>
        <v>6.625</v>
      </c>
      <c r="I106" s="9" t="s">
        <v>699</v>
      </c>
      <c r="J106" s="1">
        <v>0.59012001040000006</v>
      </c>
      <c r="K106" s="2">
        <v>3909281.992809244</v>
      </c>
      <c r="L106" s="1">
        <v>3909.281992809244</v>
      </c>
      <c r="M106" s="2">
        <v>40.987998959999999</v>
      </c>
      <c r="N106" s="18" t="s">
        <v>700</v>
      </c>
      <c r="O106" s="19">
        <v>1.51</v>
      </c>
      <c r="P106" s="20" t="s">
        <v>701</v>
      </c>
      <c r="Q106" s="20">
        <f>ROUND(Estimates_on_the_use_of_water__2020__a_3712[[#This Row],[wat_unimp_n]],2)</f>
        <v>13.53</v>
      </c>
      <c r="R106" s="20" t="s">
        <v>702</v>
      </c>
      <c r="S106">
        <f>ROUND(Estimates_on_the_use_of_water__2020__a_3712[[#This Row],[wat_sur_n]],2)</f>
        <v>3.25</v>
      </c>
      <c r="T106" t="s">
        <v>703</v>
      </c>
      <c r="U106" t="s">
        <v>704</v>
      </c>
      <c r="V106" t="s">
        <v>705</v>
      </c>
      <c r="W106" t="s">
        <v>706</v>
      </c>
      <c r="X106" t="s">
        <v>707</v>
      </c>
      <c r="Y106" t="s">
        <v>708</v>
      </c>
      <c r="Z106" t="s">
        <v>709</v>
      </c>
      <c r="AA106" t="s">
        <v>710</v>
      </c>
      <c r="AB106">
        <f>COUNTA(Estimates_on_the_use_of_water__2020__a_3712[[#This Row],[name]:[wat_sur_u]])</f>
        <v>27</v>
      </c>
      <c r="AC106">
        <f>COUNT(Estimates_on_the_use_of_water__2020__a_3712[[#This Row],[name]:[wat_sur_u]])</f>
        <v>13</v>
      </c>
    </row>
    <row r="107" spans="1:29" x14ac:dyDescent="0.25">
      <c r="A107" t="s">
        <v>711</v>
      </c>
      <c r="B107" t="s">
        <v>106</v>
      </c>
      <c r="C107">
        <v>6825.4418949999999</v>
      </c>
      <c r="D107" s="3">
        <f>Estimates_on_the_use_of_water__2020__a_3712[[#This Row],[pop_n]]*1000</f>
        <v>6825441.8949999996</v>
      </c>
      <c r="E107" s="15">
        <f>Estimates_on_the_use_of_water__2020__a_3712[[#This Row],[pop_n]]/1000</f>
        <v>6.825441895</v>
      </c>
      <c r="F107" s="15">
        <f>Estimates_on_the_use_of_water__2020__a_3712[[#This Row],[pop_n (m)]]*1000000</f>
        <v>6825441.8949999996</v>
      </c>
      <c r="G107" s="14">
        <f>ROUND(Estimates_on_the_use_of_water__2020__a_3712[[#This Row],[pop_n (m)]],3)</f>
        <v>6.8250000000000002</v>
      </c>
      <c r="H107" s="14">
        <f>ROUNDUP(Estimates_on_the_use_of_water__2020__a_3712[[#This Row],[pop_n (m)]],3)</f>
        <v>6.8260000000000005</v>
      </c>
      <c r="I107" s="9" t="s">
        <v>712</v>
      </c>
      <c r="J107" s="1">
        <v>0.88924995419999997</v>
      </c>
      <c r="K107" s="2">
        <v>6069523.8925235104</v>
      </c>
      <c r="L107" s="1">
        <v>6069.5238925235108</v>
      </c>
      <c r="M107" s="2">
        <v>11.075004579999998</v>
      </c>
      <c r="N107" s="18" t="s">
        <v>713</v>
      </c>
      <c r="O107" s="19">
        <v>7.4</v>
      </c>
      <c r="P107" s="20" t="s">
        <v>2</v>
      </c>
      <c r="Q107" s="20">
        <f>ROUND(Estimates_on_the_use_of_water__2020__a_3712[[#This Row],[wat_unimp_n]],2)</f>
        <v>0</v>
      </c>
      <c r="R107" s="20" t="s">
        <v>2</v>
      </c>
      <c r="S107">
        <f>ROUND(Estimates_on_the_use_of_water__2020__a_3712[[#This Row],[wat_sur_n]],2)</f>
        <v>0</v>
      </c>
      <c r="T107">
        <v>0</v>
      </c>
      <c r="U107">
        <v>0</v>
      </c>
      <c r="V107">
        <v>0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>
        <f>COUNTA(Estimates_on_the_use_of_water__2020__a_3712[[#This Row],[name]:[wat_sur_u]])</f>
        <v>27</v>
      </c>
      <c r="AC107">
        <f>COUNT(Estimates_on_the_use_of_water__2020__a_3712[[#This Row],[name]:[wat_sur_u]])</f>
        <v>16</v>
      </c>
    </row>
    <row r="108" spans="1:29" x14ac:dyDescent="0.25">
      <c r="A108" t="s">
        <v>714</v>
      </c>
      <c r="B108" t="s">
        <v>34</v>
      </c>
      <c r="C108">
        <v>6871.2871089999999</v>
      </c>
      <c r="D108" s="3">
        <f>Estimates_on_the_use_of_water__2020__a_3712[[#This Row],[pop_n]]*1000</f>
        <v>6871287.1090000002</v>
      </c>
      <c r="E108" s="15">
        <f>Estimates_on_the_use_of_water__2020__a_3712[[#This Row],[pop_n]]/1000</f>
        <v>6.8712871089999998</v>
      </c>
      <c r="F108" s="15">
        <f>Estimates_on_the_use_of_water__2020__a_3712[[#This Row],[pop_n (m)]]*1000000</f>
        <v>6871287.1090000002</v>
      </c>
      <c r="G108" s="14">
        <f>ROUND(Estimates_on_the_use_of_water__2020__a_3712[[#This Row],[pop_n (m)]],3)</f>
        <v>6.8710000000000004</v>
      </c>
      <c r="H108" s="14">
        <f>ROUNDUP(Estimates_on_the_use_of_water__2020__a_3712[[#This Row],[pop_n (m)]],3)</f>
        <v>6.8720000000000008</v>
      </c>
      <c r="I108" s="9" t="s">
        <v>715</v>
      </c>
      <c r="J108" s="1">
        <v>0.80691001889999991</v>
      </c>
      <c r="K108" s="2">
        <v>5544510.4109905157</v>
      </c>
      <c r="L108" s="1">
        <v>5544.510410990516</v>
      </c>
      <c r="M108" s="2">
        <v>19.308998110000005</v>
      </c>
      <c r="N108" s="18" t="s">
        <v>716</v>
      </c>
      <c r="O108" s="19">
        <v>0</v>
      </c>
      <c r="P108" s="20" t="s">
        <v>717</v>
      </c>
      <c r="Q108" s="20">
        <f>ROUND(Estimates_on_the_use_of_water__2020__a_3712[[#This Row],[wat_unimp_n]],2)</f>
        <v>0.11</v>
      </c>
      <c r="R108" s="20" t="s">
        <v>2</v>
      </c>
      <c r="S108">
        <f>ROUND(Estimates_on_the_use_of_water__2020__a_3712[[#This Row],[wat_sur_n]],2)</f>
        <v>0</v>
      </c>
      <c r="T108">
        <v>0</v>
      </c>
      <c r="U108">
        <v>0</v>
      </c>
      <c r="V108">
        <v>0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>
        <f>COUNTA(Estimates_on_the_use_of_water__2020__a_3712[[#This Row],[name]:[wat_sur_u]])</f>
        <v>27</v>
      </c>
      <c r="AC108">
        <f>COUNT(Estimates_on_the_use_of_water__2020__a_3712[[#This Row],[name]:[wat_sur_u]])</f>
        <v>16</v>
      </c>
    </row>
    <row r="109" spans="1:29" x14ac:dyDescent="0.25">
      <c r="A109" t="s">
        <v>718</v>
      </c>
      <c r="B109" t="s">
        <v>34</v>
      </c>
      <c r="C109">
        <v>6948.4448240000002</v>
      </c>
      <c r="D109" s="3">
        <f>Estimates_on_the_use_of_water__2020__a_3712[[#This Row],[pop_n]]*1000</f>
        <v>6948444.824</v>
      </c>
      <c r="E109" s="15">
        <f>Estimates_on_the_use_of_water__2020__a_3712[[#This Row],[pop_n]]/1000</f>
        <v>6.9484448240000001</v>
      </c>
      <c r="F109" s="15">
        <f>Estimates_on_the_use_of_water__2020__a_3712[[#This Row],[pop_n (m)]]*1000000</f>
        <v>6948444.824</v>
      </c>
      <c r="G109" s="14">
        <f>ROUND(Estimates_on_the_use_of_water__2020__a_3712[[#This Row],[pop_n (m)]],3)</f>
        <v>6.9480000000000004</v>
      </c>
      <c r="H109" s="14">
        <f>ROUNDUP(Estimates_on_the_use_of_water__2020__a_3712[[#This Row],[pop_n (m)]],3)</f>
        <v>6.9490000000000007</v>
      </c>
      <c r="I109" s="9" t="s">
        <v>719</v>
      </c>
      <c r="J109" s="1">
        <v>0.75685997009999995</v>
      </c>
      <c r="K109" s="2">
        <v>5258999.7417341396</v>
      </c>
      <c r="L109" s="1">
        <v>5258.9997417341392</v>
      </c>
      <c r="M109" s="2">
        <v>24.314002990000006</v>
      </c>
      <c r="N109" s="18" t="s">
        <v>720</v>
      </c>
      <c r="O109" s="19">
        <v>0</v>
      </c>
      <c r="P109" s="20" t="s">
        <v>721</v>
      </c>
      <c r="Q109" s="20">
        <f>ROUND(Estimates_on_the_use_of_water__2020__a_3712[[#This Row],[wat_unimp_n]],2)</f>
        <v>0.99</v>
      </c>
      <c r="R109" s="20" t="s">
        <v>2</v>
      </c>
      <c r="S109">
        <f>ROUND(Estimates_on_the_use_of_water__2020__a_3712[[#This Row],[wat_sur_n]],2)</f>
        <v>0</v>
      </c>
      <c r="T109" t="s">
        <v>722</v>
      </c>
      <c r="U109" t="s">
        <v>2</v>
      </c>
      <c r="V109" t="s">
        <v>723</v>
      </c>
      <c r="W109" t="s">
        <v>2</v>
      </c>
      <c r="X109" t="s">
        <v>724</v>
      </c>
      <c r="Y109" t="s">
        <v>2</v>
      </c>
      <c r="Z109" t="s">
        <v>725</v>
      </c>
      <c r="AA109" t="s">
        <v>2</v>
      </c>
      <c r="AB109">
        <f>COUNTA(Estimates_on_the_use_of_water__2020__a_3712[[#This Row],[name]:[wat_sur_u]])</f>
        <v>27</v>
      </c>
      <c r="AC109">
        <f>COUNT(Estimates_on_the_use_of_water__2020__a_3712[[#This Row],[name]:[wat_sur_u]])</f>
        <v>13</v>
      </c>
    </row>
    <row r="110" spans="1:29" x14ac:dyDescent="0.25">
      <c r="A110" t="s">
        <v>726</v>
      </c>
      <c r="B110" t="s">
        <v>34</v>
      </c>
      <c r="C110">
        <v>7132.5297849999997</v>
      </c>
      <c r="D110" s="3">
        <f>Estimates_on_the_use_of_water__2020__a_3712[[#This Row],[pop_n]]*1000</f>
        <v>7132529.7850000001</v>
      </c>
      <c r="E110" s="15">
        <f>Estimates_on_the_use_of_water__2020__a_3712[[#This Row],[pop_n]]/1000</f>
        <v>7.132529785</v>
      </c>
      <c r="F110" s="15">
        <f>Estimates_on_the_use_of_water__2020__a_3712[[#This Row],[pop_n (m)]]*1000000</f>
        <v>7132529.7850000001</v>
      </c>
      <c r="G110" s="14">
        <f>ROUND(Estimates_on_the_use_of_water__2020__a_3712[[#This Row],[pop_n (m)]],3)</f>
        <v>7.133</v>
      </c>
      <c r="H110" s="14">
        <f>ROUNDUP(Estimates_on_the_use_of_water__2020__a_3712[[#This Row],[pop_n (m)]],3)</f>
        <v>7.133</v>
      </c>
      <c r="I110" s="9" t="s">
        <v>727</v>
      </c>
      <c r="J110" s="1">
        <v>0.62182994839999994</v>
      </c>
      <c r="K110" s="2">
        <v>4435220.6281680129</v>
      </c>
      <c r="L110" s="1">
        <v>4435.2206281680128</v>
      </c>
      <c r="M110" s="2">
        <v>37.817005160000001</v>
      </c>
      <c r="N110" s="18" t="s">
        <v>728</v>
      </c>
      <c r="O110" s="19">
        <v>0.41</v>
      </c>
      <c r="P110" s="20" t="s">
        <v>729</v>
      </c>
      <c r="Q110" s="20">
        <f>ROUND(Estimates_on_the_use_of_water__2020__a_3712[[#This Row],[wat_unimp_n]],2)</f>
        <v>0</v>
      </c>
      <c r="R110" s="20" t="s">
        <v>2</v>
      </c>
      <c r="S110">
        <f>ROUND(Estimates_on_the_use_of_water__2020__a_3712[[#This Row],[wat_sur_n]],2)</f>
        <v>0</v>
      </c>
      <c r="T110" t="s">
        <v>730</v>
      </c>
      <c r="U110" t="s">
        <v>731</v>
      </c>
      <c r="V110" t="s">
        <v>2</v>
      </c>
      <c r="W110" t="s">
        <v>2</v>
      </c>
      <c r="X110" t="s">
        <v>732</v>
      </c>
      <c r="Y110" t="s">
        <v>733</v>
      </c>
      <c r="Z110" t="s">
        <v>2</v>
      </c>
      <c r="AA110" t="s">
        <v>2</v>
      </c>
      <c r="AB110">
        <f>COUNTA(Estimates_on_the_use_of_water__2020__a_3712[[#This Row],[name]:[wat_sur_u]])</f>
        <v>27</v>
      </c>
      <c r="AC110">
        <f>COUNT(Estimates_on_the_use_of_water__2020__a_3712[[#This Row],[name]:[wat_sur_u]])</f>
        <v>13</v>
      </c>
    </row>
    <row r="111" spans="1:29" x14ac:dyDescent="0.25">
      <c r="A111" t="s">
        <v>734</v>
      </c>
      <c r="B111" t="s">
        <v>106</v>
      </c>
      <c r="C111">
        <v>7275.5561520000001</v>
      </c>
      <c r="D111" s="3">
        <f>Estimates_on_the_use_of_water__2020__a_3712[[#This Row],[pop_n]]*1000</f>
        <v>7275556.1519999998</v>
      </c>
      <c r="E111" s="15">
        <f>Estimates_on_the_use_of_water__2020__a_3712[[#This Row],[pop_n]]/1000</f>
        <v>7.2755561520000001</v>
      </c>
      <c r="F111" s="15">
        <f>Estimates_on_the_use_of_water__2020__a_3712[[#This Row],[pop_n (m)]]*1000000</f>
        <v>7275556.1519999998</v>
      </c>
      <c r="G111" s="14">
        <f>ROUND(Estimates_on_the_use_of_water__2020__a_3712[[#This Row],[pop_n (m)]],3)</f>
        <v>7.2759999999999998</v>
      </c>
      <c r="H111" s="14">
        <f>ROUNDUP(Estimates_on_the_use_of_water__2020__a_3712[[#This Row],[pop_n (m)]],3)</f>
        <v>7.2760000000000007</v>
      </c>
      <c r="I111" s="9" t="s">
        <v>735</v>
      </c>
      <c r="J111" s="1">
        <v>0.36290000919999998</v>
      </c>
      <c r="K111" s="2">
        <v>2640299.3944959166</v>
      </c>
      <c r="L111" s="1">
        <v>2640.2993944959167</v>
      </c>
      <c r="M111" s="2">
        <v>63.709999080000003</v>
      </c>
      <c r="N111" s="18" t="s">
        <v>736</v>
      </c>
      <c r="O111" s="19">
        <v>3.57</v>
      </c>
      <c r="P111" s="20" t="s">
        <v>737</v>
      </c>
      <c r="Q111" s="20">
        <f>ROUND(Estimates_on_the_use_of_water__2020__a_3712[[#This Row],[wat_unimp_n]],2)</f>
        <v>10.63</v>
      </c>
      <c r="R111" s="20" t="s">
        <v>738</v>
      </c>
      <c r="S111">
        <f>ROUND(Estimates_on_the_use_of_water__2020__a_3712[[#This Row],[wat_sur_n]],2)</f>
        <v>0.57999999999999996</v>
      </c>
      <c r="T111" t="s">
        <v>739</v>
      </c>
      <c r="U111" t="s">
        <v>740</v>
      </c>
      <c r="V111" t="s">
        <v>741</v>
      </c>
      <c r="W111" t="s">
        <v>742</v>
      </c>
      <c r="X111" t="s">
        <v>743</v>
      </c>
      <c r="Y111" t="s">
        <v>2</v>
      </c>
      <c r="Z111" t="s">
        <v>744</v>
      </c>
      <c r="AA111" t="s">
        <v>2</v>
      </c>
      <c r="AB111">
        <f>COUNTA(Estimates_on_the_use_of_water__2020__a_3712[[#This Row],[name]:[wat_sur_u]])</f>
        <v>27</v>
      </c>
      <c r="AC111">
        <f>COUNT(Estimates_on_the_use_of_water__2020__a_3712[[#This Row],[name]:[wat_sur_u]])</f>
        <v>13</v>
      </c>
    </row>
    <row r="112" spans="1:29" x14ac:dyDescent="0.25">
      <c r="A112" t="s">
        <v>745</v>
      </c>
      <c r="B112" t="s">
        <v>29</v>
      </c>
      <c r="C112">
        <v>7496.9877930000002</v>
      </c>
      <c r="D112" s="3">
        <f>Estimates_on_the_use_of_water__2020__a_3712[[#This Row],[pop_n]]*1000</f>
        <v>7496987.7930000005</v>
      </c>
      <c r="E112" s="15">
        <f>Estimates_on_the_use_of_water__2020__a_3712[[#This Row],[pop_n]]/1000</f>
        <v>7.4969877930000006</v>
      </c>
      <c r="F112" s="15">
        <f>Estimates_on_the_use_of_water__2020__a_3712[[#This Row],[pop_n (m)]]*1000000</f>
        <v>7496987.7930000005</v>
      </c>
      <c r="G112" s="14">
        <f>ROUND(Estimates_on_the_use_of_water__2020__a_3712[[#This Row],[pop_n (m)]],3)</f>
        <v>7.4969999999999999</v>
      </c>
      <c r="H112" s="14">
        <f>ROUNDUP(Estimates_on_the_use_of_water__2020__a_3712[[#This Row],[pop_n (m)]],3)</f>
        <v>7.4970000000000008</v>
      </c>
      <c r="I112" s="9" t="s">
        <v>15</v>
      </c>
      <c r="J112" s="1">
        <v>1</v>
      </c>
      <c r="K112" s="2">
        <v>7496987.7930000005</v>
      </c>
      <c r="L112" s="1">
        <v>7496.9877930000002</v>
      </c>
      <c r="M112" s="2">
        <v>0</v>
      </c>
      <c r="N112" s="18" t="s">
        <v>15</v>
      </c>
      <c r="O112" s="19">
        <v>0</v>
      </c>
      <c r="P112" s="20" t="s">
        <v>2</v>
      </c>
      <c r="Q112" s="20">
        <f>ROUND(Estimates_on_the_use_of_water__2020__a_3712[[#This Row],[wat_unimp_n]],2)</f>
        <v>0</v>
      </c>
      <c r="R112" s="20" t="s">
        <v>2</v>
      </c>
      <c r="S112">
        <f>ROUND(Estimates_on_the_use_of_water__2020__a_3712[[#This Row],[wat_sur_n]],2)</f>
        <v>0</v>
      </c>
      <c r="T112">
        <v>0</v>
      </c>
      <c r="U112">
        <v>0</v>
      </c>
      <c r="V112">
        <v>0</v>
      </c>
      <c r="W112" t="s">
        <v>1</v>
      </c>
      <c r="X112" t="s">
        <v>15</v>
      </c>
      <c r="Y112" t="s">
        <v>2</v>
      </c>
      <c r="Z112" t="s">
        <v>2</v>
      </c>
      <c r="AA112" t="s">
        <v>2</v>
      </c>
      <c r="AB112">
        <f>COUNTA(Estimates_on_the_use_of_water__2020__a_3712[[#This Row],[name]:[wat_sur_u]])</f>
        <v>27</v>
      </c>
      <c r="AC112">
        <f>COUNT(Estimates_on_the_use_of_water__2020__a_3712[[#This Row],[name]:[wat_sur_u]])</f>
        <v>16</v>
      </c>
    </row>
    <row r="113" spans="1:29" x14ac:dyDescent="0.25">
      <c r="A113" t="s">
        <v>746</v>
      </c>
      <c r="B113" t="s">
        <v>375</v>
      </c>
      <c r="C113">
        <v>7976.9848629999997</v>
      </c>
      <c r="D113" s="3">
        <f>Estimates_on_the_use_of_water__2020__a_3712[[#This Row],[pop_n]]*1000</f>
        <v>7976984.8629999999</v>
      </c>
      <c r="E113" s="15">
        <f>Estimates_on_the_use_of_water__2020__a_3712[[#This Row],[pop_n]]/1000</f>
        <v>7.9769848629999993</v>
      </c>
      <c r="F113" s="15">
        <f>Estimates_on_the_use_of_water__2020__a_3712[[#This Row],[pop_n (m)]]*1000000</f>
        <v>7976984.862999999</v>
      </c>
      <c r="G113" s="14">
        <f>ROUND(Estimates_on_the_use_of_water__2020__a_3712[[#This Row],[pop_n (m)]],3)</f>
        <v>7.9770000000000003</v>
      </c>
      <c r="H113" s="14">
        <f>ROUNDUP(Estimates_on_the_use_of_water__2020__a_3712[[#This Row],[pop_n (m)]],3)</f>
        <v>7.9770000000000003</v>
      </c>
      <c r="I113" s="9" t="s">
        <v>747</v>
      </c>
      <c r="J113" s="1">
        <v>0.4292300034</v>
      </c>
      <c r="K113" s="2">
        <v>3423961.2398672383</v>
      </c>
      <c r="L113" s="1">
        <v>3423.9612398672384</v>
      </c>
      <c r="M113" s="2">
        <v>57.076999659999998</v>
      </c>
      <c r="N113" s="18" t="s">
        <v>748</v>
      </c>
      <c r="O113" s="19">
        <v>9.02</v>
      </c>
      <c r="P113" s="20" t="s">
        <v>749</v>
      </c>
      <c r="Q113" s="20">
        <v>0</v>
      </c>
      <c r="R113" s="20" t="s">
        <v>750</v>
      </c>
      <c r="S113">
        <f>ROUND(Estimates_on_the_use_of_water__2020__a_3712[[#This Row],[wat_sur_n]],2)</f>
        <v>52.75</v>
      </c>
      <c r="T113" t="s">
        <v>751</v>
      </c>
      <c r="U113" t="s">
        <v>752</v>
      </c>
      <c r="V113" t="s">
        <v>753</v>
      </c>
      <c r="W113" t="s">
        <v>754</v>
      </c>
      <c r="X113" t="s">
        <v>755</v>
      </c>
      <c r="Y113" t="s">
        <v>756</v>
      </c>
      <c r="Z113" t="s">
        <v>757</v>
      </c>
      <c r="AA113" t="s">
        <v>80</v>
      </c>
      <c r="AB113">
        <f>COUNTA(Estimates_on_the_use_of_water__2020__a_3712[[#This Row],[name]:[wat_sur_u]])</f>
        <v>27</v>
      </c>
      <c r="AC113">
        <f>COUNT(Estimates_on_the_use_of_water__2020__a_3712[[#This Row],[name]:[wat_sur_u]])</f>
        <v>13</v>
      </c>
    </row>
    <row r="114" spans="1:29" x14ac:dyDescent="0.25">
      <c r="A114" t="s">
        <v>758</v>
      </c>
      <c r="B114" t="s">
        <v>375</v>
      </c>
      <c r="C114">
        <v>8278.7373050000006</v>
      </c>
      <c r="D114" s="3">
        <f>Estimates_on_the_use_of_water__2020__a_3712[[#This Row],[pop_n]]*1000</f>
        <v>8278737.3050000006</v>
      </c>
      <c r="E114" s="15">
        <f>Estimates_on_the_use_of_water__2020__a_3712[[#This Row],[pop_n]]/1000</f>
        <v>8.2787373049999999</v>
      </c>
      <c r="F114" s="15">
        <f>Estimates_on_the_use_of_water__2020__a_3712[[#This Row],[pop_n (m)]]*1000000</f>
        <v>8278737.3049999997</v>
      </c>
      <c r="G114" s="14">
        <f>ROUND(Estimates_on_the_use_of_water__2020__a_3712[[#This Row],[pop_n (m)]],3)</f>
        <v>8.2789999999999999</v>
      </c>
      <c r="H114" s="14">
        <f>ROUNDUP(Estimates_on_the_use_of_water__2020__a_3712[[#This Row],[pop_n (m)]],3)</f>
        <v>8.2789999999999999</v>
      </c>
      <c r="I114" s="9" t="s">
        <v>759</v>
      </c>
      <c r="J114" s="1">
        <v>0.42799999239999997</v>
      </c>
      <c r="K114" s="2">
        <v>3543299.5036215964</v>
      </c>
      <c r="L114" s="1">
        <v>3543.2995036215966</v>
      </c>
      <c r="M114" s="2">
        <v>57.200000760000002</v>
      </c>
      <c r="N114" s="18" t="s">
        <v>760</v>
      </c>
      <c r="O114" s="19">
        <v>6.07</v>
      </c>
      <c r="P114" s="20" t="s">
        <v>761</v>
      </c>
      <c r="Q114" s="20">
        <f>ROUND(Estimates_on_the_use_of_water__2020__a_3712[[#This Row],[wat_unimp_n]],2)</f>
        <v>14.16</v>
      </c>
      <c r="R114" s="20" t="s">
        <v>762</v>
      </c>
      <c r="S114">
        <f>ROUND(Estimates_on_the_use_of_water__2020__a_3712[[#This Row],[wat_sur_n]],2)</f>
        <v>11.19</v>
      </c>
      <c r="T114" t="s">
        <v>763</v>
      </c>
      <c r="U114" t="s">
        <v>764</v>
      </c>
      <c r="V114" t="s">
        <v>765</v>
      </c>
      <c r="W114" t="s">
        <v>766</v>
      </c>
      <c r="X114" t="s">
        <v>767</v>
      </c>
      <c r="Y114" t="s">
        <v>768</v>
      </c>
      <c r="Z114" t="s">
        <v>769</v>
      </c>
      <c r="AA114" t="s">
        <v>770</v>
      </c>
      <c r="AB114">
        <f>COUNTA(Estimates_on_the_use_of_water__2020__a_3712[[#This Row],[name]:[wat_sur_u]])</f>
        <v>27</v>
      </c>
      <c r="AC114">
        <f>COUNT(Estimates_on_the_use_of_water__2020__a_3712[[#This Row],[name]:[wat_sur_u]])</f>
        <v>13</v>
      </c>
    </row>
    <row r="115" spans="1:29" x14ac:dyDescent="0.25">
      <c r="A115" t="s">
        <v>771</v>
      </c>
      <c r="B115" t="s">
        <v>29</v>
      </c>
      <c r="C115">
        <v>8654.6181639999995</v>
      </c>
      <c r="D115" s="3">
        <f>Estimates_on_the_use_of_water__2020__a_3712[[#This Row],[pop_n]]*1000</f>
        <v>8654618.1639999989</v>
      </c>
      <c r="E115" s="15">
        <f>Estimates_on_the_use_of_water__2020__a_3712[[#This Row],[pop_n]]/1000</f>
        <v>8.6546181640000004</v>
      </c>
      <c r="F115" s="15">
        <f>Estimates_on_the_use_of_water__2020__a_3712[[#This Row],[pop_n (m)]]*1000000</f>
        <v>8654618.1640000008</v>
      </c>
      <c r="G115" s="14">
        <f>ROUND(Estimates_on_the_use_of_water__2020__a_3712[[#This Row],[pop_n (m)]],3)</f>
        <v>8.6549999999999994</v>
      </c>
      <c r="H115" s="14">
        <f>ROUNDUP(Estimates_on_the_use_of_water__2020__a_3712[[#This Row],[pop_n (m)]],3)</f>
        <v>8.6549999999999994</v>
      </c>
      <c r="I115" s="9" t="s">
        <v>772</v>
      </c>
      <c r="J115" s="1">
        <v>0.73915000919999996</v>
      </c>
      <c r="K115" s="2">
        <v>6397061.0955430856</v>
      </c>
      <c r="L115" s="1">
        <v>6397.0610955430866</v>
      </c>
      <c r="M115" s="2">
        <v>26.084999080000003</v>
      </c>
      <c r="N115" s="18" t="s">
        <v>773</v>
      </c>
      <c r="O115" s="19">
        <v>0</v>
      </c>
      <c r="P115" s="20" t="s">
        <v>2</v>
      </c>
      <c r="Q115" s="20">
        <f>ROUND(Estimates_on_the_use_of_water__2020__a_3712[[#This Row],[wat_unimp_n]],2)</f>
        <v>0</v>
      </c>
      <c r="R115" s="20" t="s">
        <v>2</v>
      </c>
      <c r="S115">
        <f>ROUND(Estimates_on_the_use_of_water__2020__a_3712[[#This Row],[wat_sur_n]],2)</f>
        <v>0</v>
      </c>
      <c r="T115" t="s">
        <v>15</v>
      </c>
      <c r="U115" t="s">
        <v>2</v>
      </c>
      <c r="V115" t="s">
        <v>2</v>
      </c>
      <c r="W115" t="s">
        <v>2</v>
      </c>
      <c r="X115" t="s">
        <v>15</v>
      </c>
      <c r="Y115" t="s">
        <v>2</v>
      </c>
      <c r="Z115" t="s">
        <v>2</v>
      </c>
      <c r="AA115" t="s">
        <v>2</v>
      </c>
      <c r="AB115">
        <f>COUNTA(Estimates_on_the_use_of_water__2020__a_3712[[#This Row],[name]:[wat_sur_u]])</f>
        <v>27</v>
      </c>
      <c r="AC115">
        <f>COUNT(Estimates_on_the_use_of_water__2020__a_3712[[#This Row],[name]:[wat_sur_u]])</f>
        <v>13</v>
      </c>
    </row>
    <row r="116" spans="1:29" x14ac:dyDescent="0.25">
      <c r="A116" t="s">
        <v>774</v>
      </c>
      <c r="B116" t="s">
        <v>29</v>
      </c>
      <c r="C116">
        <v>8655.5410159999992</v>
      </c>
      <c r="D116" s="3">
        <f>Estimates_on_the_use_of_water__2020__a_3712[[#This Row],[pop_n]]*1000</f>
        <v>8655541.0159999989</v>
      </c>
      <c r="E116" s="15">
        <f>Estimates_on_the_use_of_water__2020__a_3712[[#This Row],[pop_n]]/1000</f>
        <v>8.655541015999999</v>
      </c>
      <c r="F116" s="15">
        <f>Estimates_on_the_use_of_water__2020__a_3712[[#This Row],[pop_n (m)]]*1000000</f>
        <v>8655541.0159999989</v>
      </c>
      <c r="G116" s="14">
        <f>ROUND(Estimates_on_the_use_of_water__2020__a_3712[[#This Row],[pop_n (m)]],3)</f>
        <v>8.6560000000000006</v>
      </c>
      <c r="H116" s="14">
        <f>ROUNDUP(Estimates_on_the_use_of_water__2020__a_3712[[#This Row],[pop_n (m)]],3)</f>
        <v>8.6559999999999988</v>
      </c>
      <c r="I116" s="9" t="s">
        <v>775</v>
      </c>
      <c r="J116" s="1">
        <v>0.92586997989999997</v>
      </c>
      <c r="K116" s="2">
        <v>8013905.5865075439</v>
      </c>
      <c r="L116" s="1">
        <v>8013.9055865075443</v>
      </c>
      <c r="M116" s="2">
        <v>7.4130020099999996</v>
      </c>
      <c r="N116" s="18" t="s">
        <v>15</v>
      </c>
      <c r="O116" s="19">
        <v>0</v>
      </c>
      <c r="P116" s="20" t="s">
        <v>2</v>
      </c>
      <c r="Q116" s="20">
        <f>ROUND(Estimates_on_the_use_of_water__2020__a_3712[[#This Row],[wat_unimp_n]],2)</f>
        <v>0</v>
      </c>
      <c r="R116" s="20" t="s">
        <v>2</v>
      </c>
      <c r="S116">
        <f>ROUND(Estimates_on_the_use_of_water__2020__a_3712[[#This Row],[wat_sur_n]],2)</f>
        <v>0</v>
      </c>
      <c r="T116" t="s">
        <v>15</v>
      </c>
      <c r="U116" t="s">
        <v>2</v>
      </c>
      <c r="V116" t="s">
        <v>2</v>
      </c>
      <c r="W116" t="s">
        <v>2</v>
      </c>
      <c r="X116" t="s">
        <v>15</v>
      </c>
      <c r="Y116" t="s">
        <v>2</v>
      </c>
      <c r="Z116" t="s">
        <v>2</v>
      </c>
      <c r="AA116" t="s">
        <v>2</v>
      </c>
      <c r="AB116">
        <f>COUNTA(Estimates_on_the_use_of_water__2020__a_3712[[#This Row],[name]:[wat_sur_u]])</f>
        <v>27</v>
      </c>
      <c r="AC116">
        <f>COUNT(Estimates_on_the_use_of_water__2020__a_3712[[#This Row],[name]:[wat_sur_u]])</f>
        <v>13</v>
      </c>
    </row>
    <row r="117" spans="1:29" x14ac:dyDescent="0.25">
      <c r="A117" t="s">
        <v>776</v>
      </c>
      <c r="B117" t="s">
        <v>34</v>
      </c>
      <c r="C117">
        <v>8737.3701170000004</v>
      </c>
      <c r="D117" s="3">
        <f>Estimates_on_the_use_of_water__2020__a_3712[[#This Row],[pop_n]]*1000</f>
        <v>8737370.1170000006</v>
      </c>
      <c r="E117" s="15">
        <f>Estimates_on_the_use_of_water__2020__a_3712[[#This Row],[pop_n]]/1000</f>
        <v>8.7373701170000011</v>
      </c>
      <c r="F117" s="15">
        <f>Estimates_on_the_use_of_water__2020__a_3712[[#This Row],[pop_n (m)]]*1000000</f>
        <v>8737370.1170000006</v>
      </c>
      <c r="G117" s="14">
        <f>ROUND(Estimates_on_the_use_of_water__2020__a_3712[[#This Row],[pop_n (m)]],3)</f>
        <v>8.7370000000000001</v>
      </c>
      <c r="H117" s="14">
        <f>ROUNDUP(Estimates_on_the_use_of_water__2020__a_3712[[#This Row],[pop_n (m)]],3)</f>
        <v>8.7379999999999995</v>
      </c>
      <c r="I117" s="9" t="s">
        <v>777</v>
      </c>
      <c r="J117" s="1">
        <v>0.56445999150000004</v>
      </c>
      <c r="K117" s="2">
        <v>4931895.8619741751</v>
      </c>
      <c r="L117" s="1">
        <v>4931.8958619741743</v>
      </c>
      <c r="M117" s="2">
        <v>43.554000850000001</v>
      </c>
      <c r="N117" s="18" t="s">
        <v>778</v>
      </c>
      <c r="O117" s="19">
        <v>4.24</v>
      </c>
      <c r="P117" s="20" t="s">
        <v>779</v>
      </c>
      <c r="Q117" s="20">
        <f>ROUND(Estimates_on_the_use_of_water__2020__a_3712[[#This Row],[wat_unimp_n]],2)</f>
        <v>0.44</v>
      </c>
      <c r="R117" s="20" t="s">
        <v>780</v>
      </c>
      <c r="S117">
        <f>ROUND(Estimates_on_the_use_of_water__2020__a_3712[[#This Row],[wat_sur_n]],2)</f>
        <v>0.02</v>
      </c>
      <c r="T117" t="s">
        <v>781</v>
      </c>
      <c r="U117" t="s">
        <v>782</v>
      </c>
      <c r="V117" t="s">
        <v>783</v>
      </c>
      <c r="W117" t="s">
        <v>784</v>
      </c>
      <c r="X117" t="s">
        <v>785</v>
      </c>
      <c r="Y117" t="s">
        <v>786</v>
      </c>
      <c r="Z117" t="s">
        <v>787</v>
      </c>
      <c r="AA117" t="s">
        <v>2</v>
      </c>
      <c r="AB117">
        <f>COUNTA(Estimates_on_the_use_of_water__2020__a_3712[[#This Row],[name]:[wat_sur_u]])</f>
        <v>27</v>
      </c>
      <c r="AC117">
        <f>COUNT(Estimates_on_the_use_of_water__2020__a_3712[[#This Row],[name]:[wat_sur_u]])</f>
        <v>13</v>
      </c>
    </row>
    <row r="118" spans="1:29" x14ac:dyDescent="0.25">
      <c r="A118" t="s">
        <v>788</v>
      </c>
      <c r="B118" t="s">
        <v>106</v>
      </c>
      <c r="C118">
        <v>8947.0273440000001</v>
      </c>
      <c r="D118" s="3">
        <f>Estimates_on_the_use_of_water__2020__a_3712[[#This Row],[pop_n]]*1000</f>
        <v>8947027.3440000005</v>
      </c>
      <c r="E118" s="15">
        <f>Estimates_on_the_use_of_water__2020__a_3712[[#This Row],[pop_n]]/1000</f>
        <v>8.9470273440000003</v>
      </c>
      <c r="F118" s="15">
        <f>Estimates_on_the_use_of_water__2020__a_3712[[#This Row],[pop_n (m)]]*1000000</f>
        <v>8947027.3440000005</v>
      </c>
      <c r="G118" s="14">
        <f>ROUND(Estimates_on_the_use_of_water__2020__a_3712[[#This Row],[pop_n (m)]],3)</f>
        <v>8.9469999999999992</v>
      </c>
      <c r="H118" s="14">
        <f>ROUNDUP(Estimates_on_the_use_of_water__2020__a_3712[[#This Row],[pop_n (m)]],3)</f>
        <v>8.9479999999999986</v>
      </c>
      <c r="I118" s="9" t="s">
        <v>789</v>
      </c>
      <c r="J118" s="1">
        <v>0.13345000269999999</v>
      </c>
      <c r="K118" s="2">
        <v>1193980.8232137738</v>
      </c>
      <c r="L118" s="1">
        <v>1193.9808232137736</v>
      </c>
      <c r="M118" s="2">
        <v>86.65499973</v>
      </c>
      <c r="N118" s="18" t="s">
        <v>790</v>
      </c>
      <c r="O118" s="19">
        <v>2.13</v>
      </c>
      <c r="P118" s="20" t="s">
        <v>791</v>
      </c>
      <c r="Q118" s="20">
        <f>ROUND(Estimates_on_the_use_of_water__2020__a_3712[[#This Row],[wat_unimp_n]],2)</f>
        <v>22.16</v>
      </c>
      <c r="R118" s="20" t="s">
        <v>792</v>
      </c>
      <c r="S118">
        <f>ROUND(Estimates_on_the_use_of_water__2020__a_3712[[#This Row],[wat_sur_n]],2)</f>
        <v>30.37</v>
      </c>
      <c r="T118" t="s">
        <v>793</v>
      </c>
      <c r="U118" t="s">
        <v>794</v>
      </c>
      <c r="V118" t="s">
        <v>795</v>
      </c>
      <c r="W118" t="s">
        <v>796</v>
      </c>
      <c r="X118" t="s">
        <v>797</v>
      </c>
      <c r="Y118" t="s">
        <v>798</v>
      </c>
      <c r="Z118" t="s">
        <v>799</v>
      </c>
      <c r="AA118" t="s">
        <v>800</v>
      </c>
      <c r="AB118">
        <f>COUNTA(Estimates_on_the_use_of_water__2020__a_3712[[#This Row],[name]:[wat_sur_u]])</f>
        <v>27</v>
      </c>
      <c r="AC118">
        <f>COUNT(Estimates_on_the_use_of_water__2020__a_3712[[#This Row],[name]:[wat_sur_u]])</f>
        <v>13</v>
      </c>
    </row>
    <row r="119" spans="1:29" x14ac:dyDescent="0.25">
      <c r="A119" t="s">
        <v>801</v>
      </c>
      <c r="B119" t="s">
        <v>29</v>
      </c>
      <c r="C119">
        <v>9006.4003909999992</v>
      </c>
      <c r="D119" s="3">
        <f>Estimates_on_the_use_of_water__2020__a_3712[[#This Row],[pop_n]]*1000</f>
        <v>9006400.3909999989</v>
      </c>
      <c r="E119" s="15">
        <f>Estimates_on_the_use_of_water__2020__a_3712[[#This Row],[pop_n]]/1000</f>
        <v>9.0064003909999997</v>
      </c>
      <c r="F119" s="15">
        <f>Estimates_on_the_use_of_water__2020__a_3712[[#This Row],[pop_n (m)]]*1000000</f>
        <v>9006400.3909999989</v>
      </c>
      <c r="G119" s="14">
        <f>ROUND(Estimates_on_the_use_of_water__2020__a_3712[[#This Row],[pop_n (m)]],3)</f>
        <v>9.0060000000000002</v>
      </c>
      <c r="H119" s="14">
        <f>ROUNDUP(Estimates_on_the_use_of_water__2020__a_3712[[#This Row],[pop_n (m)]],3)</f>
        <v>9.0069999999999997</v>
      </c>
      <c r="I119" s="9" t="s">
        <v>802</v>
      </c>
      <c r="J119" s="1">
        <v>0.58748001100000002</v>
      </c>
      <c r="K119" s="2">
        <v>5291080.2007750841</v>
      </c>
      <c r="L119" s="1">
        <v>5291.0802007750844</v>
      </c>
      <c r="M119" s="2">
        <v>41.251998899999997</v>
      </c>
      <c r="N119" s="18" t="s">
        <v>15</v>
      </c>
      <c r="O119" s="19">
        <v>0</v>
      </c>
      <c r="P119" s="20" t="s">
        <v>2</v>
      </c>
      <c r="Q119" s="20">
        <f>ROUND(Estimates_on_the_use_of_water__2020__a_3712[[#This Row],[wat_unimp_n]],2)</f>
        <v>0</v>
      </c>
      <c r="R119" s="20" t="s">
        <v>2</v>
      </c>
      <c r="S119">
        <f>ROUND(Estimates_on_the_use_of_water__2020__a_3712[[#This Row],[wat_sur_n]],2)</f>
        <v>0</v>
      </c>
      <c r="T119" t="s">
        <v>15</v>
      </c>
      <c r="U119" t="s">
        <v>2</v>
      </c>
      <c r="V119" t="s">
        <v>2</v>
      </c>
      <c r="W119" t="s">
        <v>2</v>
      </c>
      <c r="X119" t="s">
        <v>15</v>
      </c>
      <c r="Y119" t="s">
        <v>2</v>
      </c>
      <c r="Z119" t="s">
        <v>2</v>
      </c>
      <c r="AA119" t="s">
        <v>2</v>
      </c>
      <c r="AB119">
        <f>COUNTA(Estimates_on_the_use_of_water__2020__a_3712[[#This Row],[name]:[wat_sur_u]])</f>
        <v>27</v>
      </c>
      <c r="AC119">
        <f>COUNT(Estimates_on_the_use_of_water__2020__a_3712[[#This Row],[name]:[wat_sur_u]])</f>
        <v>13</v>
      </c>
    </row>
    <row r="120" spans="1:29" x14ac:dyDescent="0.25">
      <c r="A120" t="s">
        <v>803</v>
      </c>
      <c r="B120" t="s">
        <v>34</v>
      </c>
      <c r="C120">
        <v>9449.3212889999995</v>
      </c>
      <c r="D120" s="3">
        <f>Estimates_on_the_use_of_water__2020__a_3712[[#This Row],[pop_n]]*1000</f>
        <v>9449321.2889999989</v>
      </c>
      <c r="E120" s="15">
        <f>Estimates_on_the_use_of_water__2020__a_3712[[#This Row],[pop_n]]/1000</f>
        <v>9.4493212890000002</v>
      </c>
      <c r="F120" s="15">
        <f>Estimates_on_the_use_of_water__2020__a_3712[[#This Row],[pop_n (m)]]*1000000</f>
        <v>9449321.2890000008</v>
      </c>
      <c r="G120" s="14">
        <f>ROUND(Estimates_on_the_use_of_water__2020__a_3712[[#This Row],[pop_n (m)]],3)</f>
        <v>9.4489999999999998</v>
      </c>
      <c r="H120" s="14">
        <f>ROUNDUP(Estimates_on_the_use_of_water__2020__a_3712[[#This Row],[pop_n (m)]],3)</f>
        <v>9.4499999999999993</v>
      </c>
      <c r="I120" s="9" t="s">
        <v>804</v>
      </c>
      <c r="J120" s="1">
        <v>0.79483001710000001</v>
      </c>
      <c r="K120" s="2">
        <v>7510604.2017192636</v>
      </c>
      <c r="L120" s="1">
        <v>7510.604201719264</v>
      </c>
      <c r="M120" s="2">
        <v>20.516998290000004</v>
      </c>
      <c r="N120" s="18" t="s">
        <v>805</v>
      </c>
      <c r="O120" s="19">
        <v>3.37</v>
      </c>
      <c r="P120" s="20" t="s">
        <v>806</v>
      </c>
      <c r="Q120" s="20">
        <f>ROUND(Estimates_on_the_use_of_water__2020__a_3712[[#This Row],[wat_unimp_n]],2)</f>
        <v>0.09</v>
      </c>
      <c r="R120" s="20" t="s">
        <v>2</v>
      </c>
      <c r="S120">
        <f>ROUND(Estimates_on_the_use_of_water__2020__a_3712[[#This Row],[wat_sur_n]],2)</f>
        <v>0</v>
      </c>
      <c r="T120" t="s">
        <v>807</v>
      </c>
      <c r="U120" t="s">
        <v>808</v>
      </c>
      <c r="V120" t="s">
        <v>809</v>
      </c>
      <c r="W120" t="s">
        <v>2</v>
      </c>
      <c r="X120" t="s">
        <v>810</v>
      </c>
      <c r="Y120" t="s">
        <v>811</v>
      </c>
      <c r="Z120" t="s">
        <v>812</v>
      </c>
      <c r="AA120" t="s">
        <v>2</v>
      </c>
      <c r="AB120">
        <f>COUNTA(Estimates_on_the_use_of_water__2020__a_3712[[#This Row],[name]:[wat_sur_u]])</f>
        <v>27</v>
      </c>
      <c r="AC120">
        <f>COUNT(Estimates_on_the_use_of_water__2020__a_3712[[#This Row],[name]:[wat_sur_u]])</f>
        <v>13</v>
      </c>
    </row>
    <row r="121" spans="1:29" x14ac:dyDescent="0.25">
      <c r="A121" t="s">
        <v>813</v>
      </c>
      <c r="B121" t="s">
        <v>106</v>
      </c>
      <c r="C121">
        <v>9537.6416019999997</v>
      </c>
      <c r="D121" s="3">
        <f>Estimates_on_the_use_of_water__2020__a_3712[[#This Row],[pop_n]]*1000</f>
        <v>9537641.602</v>
      </c>
      <c r="E121" s="15">
        <f>Estimates_on_the_use_of_water__2020__a_3712[[#This Row],[pop_n]]/1000</f>
        <v>9.537641601999999</v>
      </c>
      <c r="F121" s="15">
        <f>Estimates_on_the_use_of_water__2020__a_3712[[#This Row],[pop_n (m)]]*1000000</f>
        <v>9537641.6019999981</v>
      </c>
      <c r="G121" s="14">
        <f>ROUND(Estimates_on_the_use_of_water__2020__a_3712[[#This Row],[pop_n (m)]],3)</f>
        <v>9.5380000000000003</v>
      </c>
      <c r="H121" s="14">
        <f>ROUNDUP(Estimates_on_the_use_of_water__2020__a_3712[[#This Row],[pop_n (m)]],3)</f>
        <v>9.5380000000000003</v>
      </c>
      <c r="I121" s="9" t="s">
        <v>814</v>
      </c>
      <c r="J121" s="1">
        <v>0.27505998609999999</v>
      </c>
      <c r="K121" s="2">
        <v>2623423.5664729015</v>
      </c>
      <c r="L121" s="1">
        <v>2623.4235664729017</v>
      </c>
      <c r="M121" s="2">
        <v>72.494001389999994</v>
      </c>
      <c r="N121" s="18" t="s">
        <v>815</v>
      </c>
      <c r="O121" s="19">
        <v>2.57</v>
      </c>
      <c r="P121" s="20" t="s">
        <v>816</v>
      </c>
      <c r="Q121" s="20">
        <f>ROUND(Estimates_on_the_use_of_water__2020__a_3712[[#This Row],[wat_unimp_n]],2)</f>
        <v>3.42</v>
      </c>
      <c r="R121" s="20" t="s">
        <v>817</v>
      </c>
      <c r="S121">
        <f>ROUND(Estimates_on_the_use_of_water__2020__a_3712[[#This Row],[wat_sur_n]],2)</f>
        <v>12.16</v>
      </c>
      <c r="T121" t="s">
        <v>818</v>
      </c>
      <c r="U121" t="s">
        <v>819</v>
      </c>
      <c r="V121" t="s">
        <v>820</v>
      </c>
      <c r="W121" t="s">
        <v>821</v>
      </c>
      <c r="X121" t="s">
        <v>822</v>
      </c>
      <c r="Y121" t="s">
        <v>823</v>
      </c>
      <c r="Z121" t="s">
        <v>824</v>
      </c>
      <c r="AA121" t="s">
        <v>825</v>
      </c>
      <c r="AB121">
        <f>COUNTA(Estimates_on_the_use_of_water__2020__a_3712[[#This Row],[name]:[wat_sur_u]])</f>
        <v>27</v>
      </c>
      <c r="AC121">
        <f>COUNT(Estimates_on_the_use_of_water__2020__a_3712[[#This Row],[name]:[wat_sur_u]])</f>
        <v>13</v>
      </c>
    </row>
    <row r="122" spans="1:29" x14ac:dyDescent="0.25">
      <c r="A122" t="s">
        <v>826</v>
      </c>
      <c r="B122" t="s">
        <v>29</v>
      </c>
      <c r="C122">
        <v>9660.3496090000008</v>
      </c>
      <c r="D122" s="3">
        <f>Estimates_on_the_use_of_water__2020__a_3712[[#This Row],[pop_n]]*1000</f>
        <v>9660349.6090000011</v>
      </c>
      <c r="E122" s="15">
        <f>Estimates_on_the_use_of_water__2020__a_3712[[#This Row],[pop_n]]/1000</f>
        <v>9.6603496090000007</v>
      </c>
      <c r="F122" s="15">
        <f>Estimates_on_the_use_of_water__2020__a_3712[[#This Row],[pop_n (m)]]*1000000</f>
        <v>9660349.6090000011</v>
      </c>
      <c r="G122" s="14">
        <f>ROUND(Estimates_on_the_use_of_water__2020__a_3712[[#This Row],[pop_n (m)]],3)</f>
        <v>9.66</v>
      </c>
      <c r="H122" s="14">
        <f>ROUNDUP(Estimates_on_the_use_of_water__2020__a_3712[[#This Row],[pop_n (m)]],3)</f>
        <v>9.6609999999999996</v>
      </c>
      <c r="I122" s="9" t="s">
        <v>827</v>
      </c>
      <c r="J122" s="1">
        <v>0.71942001340000006</v>
      </c>
      <c r="K122" s="2">
        <v>6949848.8451554663</v>
      </c>
      <c r="L122" s="1">
        <v>6949.8488451554658</v>
      </c>
      <c r="M122" s="2">
        <v>28.057998659999996</v>
      </c>
      <c r="N122" s="18" t="s">
        <v>828</v>
      </c>
      <c r="O122" s="19">
        <v>0</v>
      </c>
      <c r="P122" s="20" t="s">
        <v>829</v>
      </c>
      <c r="Q122" s="20">
        <f>ROUND(Estimates_on_the_use_of_water__2020__a_3712[[#This Row],[wat_unimp_n]],2)</f>
        <v>0</v>
      </c>
      <c r="R122" s="20" t="s">
        <v>2</v>
      </c>
      <c r="S122">
        <f>ROUND(Estimates_on_the_use_of_water__2020__a_3712[[#This Row],[wat_sur_n]],2)</f>
        <v>0</v>
      </c>
      <c r="T122" t="s">
        <v>15</v>
      </c>
      <c r="U122" t="s">
        <v>2</v>
      </c>
      <c r="V122" t="s">
        <v>2</v>
      </c>
      <c r="W122" t="s">
        <v>2</v>
      </c>
      <c r="X122" t="s">
        <v>15</v>
      </c>
      <c r="Y122" t="s">
        <v>2</v>
      </c>
      <c r="Z122" t="s">
        <v>2</v>
      </c>
      <c r="AA122" t="s">
        <v>2</v>
      </c>
      <c r="AB122">
        <f>COUNTA(Estimates_on_the_use_of_water__2020__a_3712[[#This Row],[name]:[wat_sur_u]])</f>
        <v>27</v>
      </c>
      <c r="AC122">
        <f>COUNT(Estimates_on_the_use_of_water__2020__a_3712[[#This Row],[name]:[wat_sur_u]])</f>
        <v>13</v>
      </c>
    </row>
    <row r="123" spans="1:29" x14ac:dyDescent="0.25">
      <c r="A123" t="s">
        <v>830</v>
      </c>
      <c r="B123" t="s">
        <v>29</v>
      </c>
      <c r="C123">
        <v>9890.4003909999992</v>
      </c>
      <c r="D123" s="3">
        <f>Estimates_on_the_use_of_water__2020__a_3712[[#This Row],[pop_n]]*1000</f>
        <v>9890400.3909999989</v>
      </c>
      <c r="E123" s="15">
        <f>Estimates_on_the_use_of_water__2020__a_3712[[#This Row],[pop_n]]/1000</f>
        <v>9.890400391</v>
      </c>
      <c r="F123" s="15">
        <f>Estimates_on_the_use_of_water__2020__a_3712[[#This Row],[pop_n (m)]]*1000000</f>
        <v>9890400.3910000008</v>
      </c>
      <c r="G123" s="14">
        <f>ROUND(Estimates_on_the_use_of_water__2020__a_3712[[#This Row],[pop_n (m)]],3)</f>
        <v>9.89</v>
      </c>
      <c r="H123" s="14">
        <f>ROUNDUP(Estimates_on_the_use_of_water__2020__a_3712[[#This Row],[pop_n (m)]],3)</f>
        <v>9.891</v>
      </c>
      <c r="I123" s="9" t="s">
        <v>831</v>
      </c>
      <c r="J123" s="1">
        <v>0.87047996519999993</v>
      </c>
      <c r="K123" s="2">
        <v>8609395.3881717455</v>
      </c>
      <c r="L123" s="1">
        <v>8609.3953881717443</v>
      </c>
      <c r="M123" s="2">
        <v>12.952003480000002</v>
      </c>
      <c r="N123" s="18" t="s">
        <v>832</v>
      </c>
      <c r="O123" s="19">
        <v>0</v>
      </c>
      <c r="P123" s="20" t="s">
        <v>833</v>
      </c>
      <c r="Q123" s="20">
        <f>ROUND(Estimates_on_the_use_of_water__2020__a_3712[[#This Row],[wat_unimp_n]],2)</f>
        <v>0.03</v>
      </c>
      <c r="R123" s="20" t="s">
        <v>2</v>
      </c>
      <c r="S123">
        <f>ROUND(Estimates_on_the_use_of_water__2020__a_3712[[#This Row],[wat_sur_n]],2)</f>
        <v>0</v>
      </c>
      <c r="T123">
        <v>0</v>
      </c>
      <c r="U123">
        <v>0</v>
      </c>
      <c r="V123">
        <v>0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>
        <f>COUNTA(Estimates_on_the_use_of_water__2020__a_3712[[#This Row],[name]:[wat_sur_u]])</f>
        <v>27</v>
      </c>
      <c r="AC123">
        <f>COUNT(Estimates_on_the_use_of_water__2020__a_3712[[#This Row],[name]:[wat_sur_u]])</f>
        <v>16</v>
      </c>
    </row>
    <row r="124" spans="1:29" x14ac:dyDescent="0.25">
      <c r="A124" t="s">
        <v>834</v>
      </c>
      <c r="B124" t="s">
        <v>106</v>
      </c>
      <c r="C124">
        <v>9904.6083980000003</v>
      </c>
      <c r="D124" s="3">
        <f>Estimates_on_the_use_of_water__2020__a_3712[[#This Row],[pop_n]]*1000</f>
        <v>9904608.398</v>
      </c>
      <c r="E124" s="15">
        <f>Estimates_on_the_use_of_water__2020__a_3712[[#This Row],[pop_n]]/1000</f>
        <v>9.9046083980000006</v>
      </c>
      <c r="F124" s="15">
        <f>Estimates_on_the_use_of_water__2020__a_3712[[#This Row],[pop_n (m)]]*1000000</f>
        <v>9904608.398</v>
      </c>
      <c r="G124" s="14">
        <f>ROUND(Estimates_on_the_use_of_water__2020__a_3712[[#This Row],[pop_n (m)]],3)</f>
        <v>9.9049999999999994</v>
      </c>
      <c r="H124" s="14">
        <f>ROUNDUP(Estimates_on_the_use_of_water__2020__a_3712[[#This Row],[pop_n (m)]],3)</f>
        <v>9.9049999999999994</v>
      </c>
      <c r="I124" s="9" t="s">
        <v>835</v>
      </c>
      <c r="J124" s="1">
        <v>0.58358997340000007</v>
      </c>
      <c r="K124" s="2">
        <v>5780230.1515262369</v>
      </c>
      <c r="L124" s="1">
        <v>5780.2301515262379</v>
      </c>
      <c r="M124" s="2">
        <v>41.641002659999998</v>
      </c>
      <c r="N124" s="18" t="s">
        <v>836</v>
      </c>
      <c r="O124" s="19">
        <v>0.43</v>
      </c>
      <c r="P124" s="20" t="s">
        <v>837</v>
      </c>
      <c r="Q124" s="20">
        <f>ROUND(Estimates_on_the_use_of_water__2020__a_3712[[#This Row],[wat_unimp_n]],2)</f>
        <v>3.89</v>
      </c>
      <c r="R124" s="20" t="s">
        <v>2</v>
      </c>
      <c r="S124">
        <f>ROUND(Estimates_on_the_use_of_water__2020__a_3712[[#This Row],[wat_sur_n]],2)</f>
        <v>0</v>
      </c>
      <c r="T124" t="s">
        <v>838</v>
      </c>
      <c r="U124" t="s">
        <v>839</v>
      </c>
      <c r="V124" t="s">
        <v>840</v>
      </c>
      <c r="W124" t="s">
        <v>2</v>
      </c>
      <c r="X124" t="s">
        <v>841</v>
      </c>
      <c r="Y124" t="s">
        <v>842</v>
      </c>
      <c r="Z124" t="s">
        <v>843</v>
      </c>
      <c r="AA124" t="s">
        <v>2</v>
      </c>
      <c r="AB124">
        <f>COUNTA(Estimates_on_the_use_of_water__2020__a_3712[[#This Row],[name]:[wat_sur_u]])</f>
        <v>27</v>
      </c>
      <c r="AC124">
        <f>COUNT(Estimates_on_the_use_of_water__2020__a_3712[[#This Row],[name]:[wat_sur_u]])</f>
        <v>13</v>
      </c>
    </row>
    <row r="125" spans="1:29" x14ac:dyDescent="0.25">
      <c r="A125" t="s">
        <v>844</v>
      </c>
      <c r="B125" t="s">
        <v>29</v>
      </c>
      <c r="C125">
        <v>10099.26953</v>
      </c>
      <c r="D125" s="3">
        <f>Estimates_on_the_use_of_water__2020__a_3712[[#This Row],[pop_n]]*1000</f>
        <v>10099269.529999999</v>
      </c>
      <c r="E125" s="15">
        <f>Estimates_on_the_use_of_water__2020__a_3712[[#This Row],[pop_n]]/1000</f>
        <v>10.099269529999999</v>
      </c>
      <c r="F125" s="15">
        <f>Estimates_on_the_use_of_water__2020__a_3712[[#This Row],[pop_n (m)]]*1000000</f>
        <v>10099269.529999999</v>
      </c>
      <c r="G125" s="14">
        <f>ROUND(Estimates_on_the_use_of_water__2020__a_3712[[#This Row],[pop_n (m)]],3)</f>
        <v>10.099</v>
      </c>
      <c r="H125" s="14">
        <f>ROUNDUP(Estimates_on_the_use_of_water__2020__a_3712[[#This Row],[pop_n (m)]],3)</f>
        <v>10.1</v>
      </c>
      <c r="I125" s="9" t="s">
        <v>845</v>
      </c>
      <c r="J125" s="1">
        <v>0.87976997379999999</v>
      </c>
      <c r="K125" s="2">
        <v>8885034.0898072384</v>
      </c>
      <c r="L125" s="1">
        <v>8885.0340898072373</v>
      </c>
      <c r="M125" s="2">
        <v>12.02300262</v>
      </c>
      <c r="N125" s="18" t="s">
        <v>846</v>
      </c>
      <c r="O125" s="19">
        <v>0</v>
      </c>
      <c r="P125" s="20" t="s">
        <v>847</v>
      </c>
      <c r="Q125" s="20">
        <f>ROUND(Estimates_on_the_use_of_water__2020__a_3712[[#This Row],[wat_unimp_n]],2)</f>
        <v>0.17</v>
      </c>
      <c r="R125" s="20" t="s">
        <v>2</v>
      </c>
      <c r="S125">
        <f>ROUND(Estimates_on_the_use_of_water__2020__a_3712[[#This Row],[wat_sur_n]],2)</f>
        <v>0</v>
      </c>
      <c r="T125" t="s">
        <v>848</v>
      </c>
      <c r="U125" t="s">
        <v>2</v>
      </c>
      <c r="V125" t="s">
        <v>849</v>
      </c>
      <c r="W125" t="s">
        <v>2</v>
      </c>
      <c r="X125" t="s">
        <v>850</v>
      </c>
      <c r="Y125" t="s">
        <v>2</v>
      </c>
      <c r="Z125" t="s">
        <v>851</v>
      </c>
      <c r="AA125" t="s">
        <v>2</v>
      </c>
      <c r="AB125">
        <f>COUNTA(Estimates_on_the_use_of_water__2020__a_3712[[#This Row],[name]:[wat_sur_u]])</f>
        <v>27</v>
      </c>
      <c r="AC125">
        <f>COUNT(Estimates_on_the_use_of_water__2020__a_3712[[#This Row],[name]:[wat_sur_u]])</f>
        <v>13</v>
      </c>
    </row>
    <row r="126" spans="1:29" x14ac:dyDescent="0.25">
      <c r="A126" t="s">
        <v>852</v>
      </c>
      <c r="B126" t="s">
        <v>34</v>
      </c>
      <c r="C126">
        <v>10139.174800000001</v>
      </c>
      <c r="D126" s="3">
        <f>Estimates_on_the_use_of_water__2020__a_3712[[#This Row],[pop_n]]*1000</f>
        <v>10139174.800000001</v>
      </c>
      <c r="E126" s="15">
        <f>Estimates_on_the_use_of_water__2020__a_3712[[#This Row],[pop_n]]/1000</f>
        <v>10.139174800000001</v>
      </c>
      <c r="F126" s="15">
        <f>Estimates_on_the_use_of_water__2020__a_3712[[#This Row],[pop_n (m)]]*1000000</f>
        <v>10139174.800000001</v>
      </c>
      <c r="G126" s="14">
        <f>ROUND(Estimates_on_the_use_of_water__2020__a_3712[[#This Row],[pop_n (m)]],3)</f>
        <v>10.138999999999999</v>
      </c>
      <c r="H126" s="14">
        <f>ROUNDUP(Estimates_on_the_use_of_water__2020__a_3712[[#This Row],[pop_n (m)]],3)</f>
        <v>10.139999999999999</v>
      </c>
      <c r="I126" s="9" t="s">
        <v>853</v>
      </c>
      <c r="J126" s="1">
        <v>0.56397003169999993</v>
      </c>
      <c r="K126" s="2">
        <v>5718190.7333678408</v>
      </c>
      <c r="L126" s="1">
        <v>5718.1907333678409</v>
      </c>
      <c r="M126" s="2">
        <v>43.602996830000002</v>
      </c>
      <c r="N126" s="18" t="s">
        <v>854</v>
      </c>
      <c r="O126" s="19">
        <v>1.04</v>
      </c>
      <c r="P126" s="20" t="s">
        <v>855</v>
      </c>
      <c r="Q126" s="20">
        <f>ROUND(Estimates_on_the_use_of_water__2020__a_3712[[#This Row],[wat_unimp_n]],2)</f>
        <v>2.91</v>
      </c>
      <c r="R126" s="20" t="s">
        <v>2</v>
      </c>
      <c r="S126">
        <f>ROUND(Estimates_on_the_use_of_water__2020__a_3712[[#This Row],[wat_sur_n]],2)</f>
        <v>0</v>
      </c>
      <c r="T126" t="s">
        <v>856</v>
      </c>
      <c r="U126" t="s">
        <v>857</v>
      </c>
      <c r="V126" t="s">
        <v>858</v>
      </c>
      <c r="W126" t="s">
        <v>2</v>
      </c>
      <c r="X126" t="s">
        <v>15</v>
      </c>
      <c r="Y126" t="s">
        <v>2</v>
      </c>
      <c r="Z126" t="s">
        <v>2</v>
      </c>
      <c r="AA126" t="s">
        <v>2</v>
      </c>
      <c r="AB126">
        <f>COUNTA(Estimates_on_the_use_of_water__2020__a_3712[[#This Row],[name]:[wat_sur_u]])</f>
        <v>27</v>
      </c>
      <c r="AC126">
        <f>COUNT(Estimates_on_the_use_of_water__2020__a_3712[[#This Row],[name]:[wat_sur_u]])</f>
        <v>13</v>
      </c>
    </row>
    <row r="127" spans="1:29" x14ac:dyDescent="0.25">
      <c r="A127" t="s">
        <v>859</v>
      </c>
      <c r="B127" t="s">
        <v>29</v>
      </c>
      <c r="C127">
        <v>10196.70703</v>
      </c>
      <c r="D127" s="3">
        <f>Estimates_on_the_use_of_water__2020__a_3712[[#This Row],[pop_n]]*1000</f>
        <v>10196707.029999999</v>
      </c>
      <c r="E127" s="15">
        <f>Estimates_on_the_use_of_water__2020__a_3712[[#This Row],[pop_n]]/1000</f>
        <v>10.196707029999999</v>
      </c>
      <c r="F127" s="15">
        <f>Estimates_on_the_use_of_water__2020__a_3712[[#This Row],[pop_n (m)]]*1000000</f>
        <v>10196707.029999999</v>
      </c>
      <c r="G127" s="14">
        <f>ROUND(Estimates_on_the_use_of_water__2020__a_3712[[#This Row],[pop_n (m)]],3)</f>
        <v>10.196999999999999</v>
      </c>
      <c r="H127" s="14">
        <f>ROUNDUP(Estimates_on_the_use_of_water__2020__a_3712[[#This Row],[pop_n (m)]],3)</f>
        <v>10.196999999999999</v>
      </c>
      <c r="I127" s="9" t="s">
        <v>860</v>
      </c>
      <c r="J127" s="1">
        <v>0.6630999756</v>
      </c>
      <c r="K127" s="2">
        <v>6761436.1827933481</v>
      </c>
      <c r="L127" s="1">
        <v>6761.4361827933481</v>
      </c>
      <c r="M127" s="2">
        <v>33.690002440000001</v>
      </c>
      <c r="N127" s="18" t="s">
        <v>861</v>
      </c>
      <c r="O127" s="19">
        <v>0</v>
      </c>
      <c r="P127" s="20" t="s">
        <v>862</v>
      </c>
      <c r="Q127" s="20">
        <f>ROUND(Estimates_on_the_use_of_water__2020__a_3712[[#This Row],[wat_unimp_n]],2)</f>
        <v>0.09</v>
      </c>
      <c r="R127" s="20" t="s">
        <v>2</v>
      </c>
      <c r="S127">
        <f>ROUND(Estimates_on_the_use_of_water__2020__a_3712[[#This Row],[wat_sur_n]],2)</f>
        <v>0</v>
      </c>
      <c r="T127" t="s">
        <v>863</v>
      </c>
      <c r="U127" t="s">
        <v>2</v>
      </c>
      <c r="V127" t="s">
        <v>864</v>
      </c>
      <c r="W127" t="s">
        <v>2</v>
      </c>
      <c r="X127" t="s">
        <v>15</v>
      </c>
      <c r="Y127" t="s">
        <v>2</v>
      </c>
      <c r="Z127" t="s">
        <v>2</v>
      </c>
      <c r="AA127" t="s">
        <v>2</v>
      </c>
      <c r="AB127">
        <f>COUNTA(Estimates_on_the_use_of_water__2020__a_3712[[#This Row],[name]:[wat_sur_u]])</f>
        <v>27</v>
      </c>
      <c r="AC127">
        <f>COUNT(Estimates_on_the_use_of_water__2020__a_3712[[#This Row],[name]:[wat_sur_u]])</f>
        <v>13</v>
      </c>
    </row>
    <row r="128" spans="1:29" x14ac:dyDescent="0.25">
      <c r="A128" t="s">
        <v>865</v>
      </c>
      <c r="B128" t="s">
        <v>34</v>
      </c>
      <c r="C128">
        <v>10203.139649999999</v>
      </c>
      <c r="D128" s="3">
        <f>Estimates_on_the_use_of_water__2020__a_3712[[#This Row],[pop_n]]*1000</f>
        <v>10203139.649999999</v>
      </c>
      <c r="E128" s="15">
        <f>Estimates_on_the_use_of_water__2020__a_3712[[#This Row],[pop_n]]/1000</f>
        <v>10.203139649999999</v>
      </c>
      <c r="F128" s="15">
        <f>Estimates_on_the_use_of_water__2020__a_3712[[#This Row],[pop_n (m)]]*1000000</f>
        <v>10203139.649999999</v>
      </c>
      <c r="G128" s="14">
        <f>ROUND(Estimates_on_the_use_of_water__2020__a_3712[[#This Row],[pop_n (m)]],3)</f>
        <v>10.202999999999999</v>
      </c>
      <c r="H128" s="14">
        <f>ROUNDUP(Estimates_on_the_use_of_water__2020__a_3712[[#This Row],[pop_n (m)]],3)</f>
        <v>10.203999999999999</v>
      </c>
      <c r="I128" s="9" t="s">
        <v>866</v>
      </c>
      <c r="J128" s="1">
        <v>0.91417999269999994</v>
      </c>
      <c r="K128" s="2">
        <v>9327506.1307540778</v>
      </c>
      <c r="L128" s="1">
        <v>9327.50613075408</v>
      </c>
      <c r="M128" s="2">
        <v>8.5820007300000043</v>
      </c>
      <c r="N128" s="18" t="s">
        <v>867</v>
      </c>
      <c r="O128" s="19">
        <v>0.15</v>
      </c>
      <c r="P128" s="20" t="s">
        <v>868</v>
      </c>
      <c r="Q128" s="20">
        <f>ROUND(Estimates_on_the_use_of_water__2020__a_3712[[#This Row],[wat_unimp_n]],2)</f>
        <v>0.85</v>
      </c>
      <c r="R128" s="20" t="s">
        <v>869</v>
      </c>
      <c r="S128">
        <f>ROUND(Estimates_on_the_use_of_water__2020__a_3712[[#This Row],[wat_sur_n]],2)</f>
        <v>0.06</v>
      </c>
      <c r="T128" t="s">
        <v>870</v>
      </c>
      <c r="U128" t="s">
        <v>871</v>
      </c>
      <c r="V128" t="s">
        <v>872</v>
      </c>
      <c r="W128" t="s">
        <v>873</v>
      </c>
      <c r="X128" t="s">
        <v>874</v>
      </c>
      <c r="Y128" t="s">
        <v>875</v>
      </c>
      <c r="Z128" t="s">
        <v>876</v>
      </c>
      <c r="AA128" t="s">
        <v>877</v>
      </c>
      <c r="AB128">
        <f>COUNTA(Estimates_on_the_use_of_water__2020__a_3712[[#This Row],[name]:[wat_sur_u]])</f>
        <v>27</v>
      </c>
      <c r="AC128">
        <f>COUNT(Estimates_on_the_use_of_water__2020__a_3712[[#This Row],[name]:[wat_sur_u]])</f>
        <v>13</v>
      </c>
    </row>
    <row r="129" spans="1:29" x14ac:dyDescent="0.25">
      <c r="A129" t="s">
        <v>878</v>
      </c>
      <c r="B129" t="s">
        <v>29</v>
      </c>
      <c r="C129">
        <v>10423.05566</v>
      </c>
      <c r="D129" s="3">
        <f>Estimates_on_the_use_of_water__2020__a_3712[[#This Row],[pop_n]]*1000</f>
        <v>10423055.66</v>
      </c>
      <c r="E129" s="15">
        <f>Estimates_on_the_use_of_water__2020__a_3712[[#This Row],[pop_n]]/1000</f>
        <v>10.423055659999999</v>
      </c>
      <c r="F129" s="15">
        <f>Estimates_on_the_use_of_water__2020__a_3712[[#This Row],[pop_n (m)]]*1000000</f>
        <v>10423055.66</v>
      </c>
      <c r="G129" s="14">
        <f>ROUND(Estimates_on_the_use_of_water__2020__a_3712[[#This Row],[pop_n (m)]],3)</f>
        <v>10.423</v>
      </c>
      <c r="H129" s="14">
        <f>ROUNDUP(Estimates_on_the_use_of_water__2020__a_3712[[#This Row],[pop_n (m)]],3)</f>
        <v>10.423999999999999</v>
      </c>
      <c r="I129" s="9" t="s">
        <v>879</v>
      </c>
      <c r="J129" s="1">
        <v>0.79715003969999998</v>
      </c>
      <c r="K129" s="2">
        <v>8308739.2331643095</v>
      </c>
      <c r="L129" s="1">
        <v>8308.7392331643096</v>
      </c>
      <c r="M129" s="2">
        <v>20.284996030000002</v>
      </c>
      <c r="N129" s="18" t="s">
        <v>880</v>
      </c>
      <c r="O129" s="19">
        <v>0</v>
      </c>
      <c r="P129" s="20" t="s">
        <v>2</v>
      </c>
      <c r="Q129" s="20">
        <f>ROUND(Estimates_on_the_use_of_water__2020__a_3712[[#This Row],[wat_unimp_n]],2)</f>
        <v>0</v>
      </c>
      <c r="R129" s="20" t="s">
        <v>2</v>
      </c>
      <c r="S129">
        <f>ROUND(Estimates_on_the_use_of_water__2020__a_3712[[#This Row],[wat_sur_n]],2)</f>
        <v>0</v>
      </c>
      <c r="T129" t="s">
        <v>15</v>
      </c>
      <c r="U129" t="s">
        <v>2</v>
      </c>
      <c r="V129" t="s">
        <v>2</v>
      </c>
      <c r="W129" t="s">
        <v>2</v>
      </c>
      <c r="X129" t="s">
        <v>15</v>
      </c>
      <c r="Y129" t="s">
        <v>2</v>
      </c>
      <c r="Z129" t="s">
        <v>2</v>
      </c>
      <c r="AA129" t="s">
        <v>2</v>
      </c>
      <c r="AB129">
        <f>COUNTA(Estimates_on_the_use_of_water__2020__a_3712[[#This Row],[name]:[wat_sur_u]])</f>
        <v>27</v>
      </c>
      <c r="AC129">
        <f>COUNT(Estimates_on_the_use_of_water__2020__a_3712[[#This Row],[name]:[wat_sur_u]])</f>
        <v>13</v>
      </c>
    </row>
    <row r="130" spans="1:29" x14ac:dyDescent="0.25">
      <c r="A130" t="s">
        <v>881</v>
      </c>
      <c r="B130" t="s">
        <v>29</v>
      </c>
      <c r="C130">
        <v>10708.98242</v>
      </c>
      <c r="D130" s="3">
        <f>Estimates_on_the_use_of_water__2020__a_3712[[#This Row],[pop_n]]*1000</f>
        <v>10708982.42</v>
      </c>
      <c r="E130" s="15">
        <f>Estimates_on_the_use_of_water__2020__a_3712[[#This Row],[pop_n]]/1000</f>
        <v>10.70898242</v>
      </c>
      <c r="F130" s="15">
        <f>Estimates_on_the_use_of_water__2020__a_3712[[#This Row],[pop_n (m)]]*1000000</f>
        <v>10708982.42</v>
      </c>
      <c r="G130" s="14">
        <f>ROUND(Estimates_on_the_use_of_water__2020__a_3712[[#This Row],[pop_n (m)]],3)</f>
        <v>10.709</v>
      </c>
      <c r="H130" s="14">
        <f>ROUNDUP(Estimates_on_the_use_of_water__2020__a_3712[[#This Row],[pop_n (m)]],3)</f>
        <v>10.709</v>
      </c>
      <c r="I130" s="9" t="s">
        <v>882</v>
      </c>
      <c r="J130" s="1">
        <v>0.74061004639999994</v>
      </c>
      <c r="K130" s="2">
        <v>7931179.9669729834</v>
      </c>
      <c r="L130" s="1">
        <v>7931.1799669729835</v>
      </c>
      <c r="M130" s="2">
        <v>25.938995360000007</v>
      </c>
      <c r="N130" s="18" t="s">
        <v>883</v>
      </c>
      <c r="O130" s="19">
        <v>0</v>
      </c>
      <c r="P130" s="20" t="s">
        <v>884</v>
      </c>
      <c r="Q130" s="20">
        <f>ROUND(Estimates_on_the_use_of_water__2020__a_3712[[#This Row],[wat_unimp_n]],2)</f>
        <v>0.12</v>
      </c>
      <c r="R130" s="20" t="s">
        <v>2</v>
      </c>
      <c r="S130">
        <f>ROUND(Estimates_on_the_use_of_water__2020__a_3712[[#This Row],[wat_sur_n]],2)</f>
        <v>0</v>
      </c>
      <c r="T130" t="s">
        <v>885</v>
      </c>
      <c r="U130" t="s">
        <v>2</v>
      </c>
      <c r="V130" t="s">
        <v>886</v>
      </c>
      <c r="W130" t="s">
        <v>2</v>
      </c>
      <c r="X130" t="s">
        <v>887</v>
      </c>
      <c r="Y130" t="s">
        <v>2</v>
      </c>
      <c r="Z130" t="s">
        <v>888</v>
      </c>
      <c r="AA130" t="s">
        <v>2</v>
      </c>
      <c r="AB130">
        <f>COUNTA(Estimates_on_the_use_of_water__2020__a_3712[[#This Row],[name]:[wat_sur_u]])</f>
        <v>27</v>
      </c>
      <c r="AC130">
        <f>COUNT(Estimates_on_the_use_of_water__2020__a_3712[[#This Row],[name]:[wat_sur_u]])</f>
        <v>13</v>
      </c>
    </row>
    <row r="131" spans="1:29" x14ac:dyDescent="0.25">
      <c r="A131" t="s">
        <v>889</v>
      </c>
      <c r="B131" t="s">
        <v>34</v>
      </c>
      <c r="C131">
        <v>10847.9043</v>
      </c>
      <c r="D131" s="3">
        <f>Estimates_on_the_use_of_water__2020__a_3712[[#This Row],[pop_n]]*1000</f>
        <v>10847904.300000001</v>
      </c>
      <c r="E131" s="15">
        <f>Estimates_on_the_use_of_water__2020__a_3712[[#This Row],[pop_n]]/1000</f>
        <v>10.8479043</v>
      </c>
      <c r="F131" s="15">
        <f>Estimates_on_the_use_of_water__2020__a_3712[[#This Row],[pop_n (m)]]*1000000</f>
        <v>10847904.299999999</v>
      </c>
      <c r="G131" s="14">
        <f>ROUND(Estimates_on_the_use_of_water__2020__a_3712[[#This Row],[pop_n (m)]],3)</f>
        <v>10.848000000000001</v>
      </c>
      <c r="H131" s="14">
        <f>ROUNDUP(Estimates_on_the_use_of_water__2020__a_3712[[#This Row],[pop_n (m)]],3)</f>
        <v>10.847999999999999</v>
      </c>
      <c r="I131" s="9" t="s">
        <v>890</v>
      </c>
      <c r="J131" s="1">
        <v>0.82540000920000001</v>
      </c>
      <c r="K131" s="2">
        <v>8953860.3090207204</v>
      </c>
      <c r="L131" s="1">
        <v>8953.8603090207198</v>
      </c>
      <c r="M131" s="2">
        <v>17.459999080000003</v>
      </c>
      <c r="N131" s="18" t="s">
        <v>891</v>
      </c>
      <c r="O131" s="19">
        <v>0.47</v>
      </c>
      <c r="P131" s="20" t="s">
        <v>892</v>
      </c>
      <c r="Q131" s="20">
        <f>ROUND(Estimates_on_the_use_of_water__2020__a_3712[[#This Row],[wat_unimp_n]],2)</f>
        <v>1.27</v>
      </c>
      <c r="R131" s="20" t="s">
        <v>893</v>
      </c>
      <c r="S131">
        <f>ROUND(Estimates_on_the_use_of_water__2020__a_3712[[#This Row],[wat_sur_n]],2)</f>
        <v>1.58</v>
      </c>
      <c r="T131" t="s">
        <v>894</v>
      </c>
      <c r="U131" t="s">
        <v>895</v>
      </c>
      <c r="V131" t="s">
        <v>896</v>
      </c>
      <c r="W131" t="s">
        <v>897</v>
      </c>
      <c r="X131" t="s">
        <v>898</v>
      </c>
      <c r="Y131" t="s">
        <v>899</v>
      </c>
      <c r="Z131" t="s">
        <v>900</v>
      </c>
      <c r="AA131" t="s">
        <v>901</v>
      </c>
      <c r="AB131">
        <f>COUNTA(Estimates_on_the_use_of_water__2020__a_3712[[#This Row],[name]:[wat_sur_u]])</f>
        <v>27</v>
      </c>
      <c r="AC131">
        <f>COUNT(Estimates_on_the_use_of_water__2020__a_3712[[#This Row],[name]:[wat_sur_u]])</f>
        <v>13</v>
      </c>
    </row>
    <row r="132" spans="1:29" x14ac:dyDescent="0.25">
      <c r="A132" t="s">
        <v>902</v>
      </c>
      <c r="B132" t="s">
        <v>375</v>
      </c>
      <c r="C132">
        <v>11193.728520000001</v>
      </c>
      <c r="D132" s="3">
        <f>Estimates_on_the_use_of_water__2020__a_3712[[#This Row],[pop_n]]*1000</f>
        <v>11193728.520000001</v>
      </c>
      <c r="E132" s="15">
        <f>Estimates_on_the_use_of_water__2020__a_3712[[#This Row],[pop_n]]/1000</f>
        <v>11.193728520000001</v>
      </c>
      <c r="F132" s="15">
        <f>Estimates_on_the_use_of_water__2020__a_3712[[#This Row],[pop_n (m)]]*1000000</f>
        <v>11193728.520000001</v>
      </c>
      <c r="G132" s="14">
        <f>ROUND(Estimates_on_the_use_of_water__2020__a_3712[[#This Row],[pop_n (m)]],3)</f>
        <v>11.194000000000001</v>
      </c>
      <c r="H132" s="14">
        <f>ROUNDUP(Estimates_on_the_use_of_water__2020__a_3712[[#This Row],[pop_n (m)]],3)</f>
        <v>11.193999999999999</v>
      </c>
      <c r="I132" s="9" t="s">
        <v>903</v>
      </c>
      <c r="J132" s="1">
        <v>0.20198999400000001</v>
      </c>
      <c r="K132" s="2">
        <v>2261021.1565924291</v>
      </c>
      <c r="L132" s="1">
        <v>2261.0211565924292</v>
      </c>
      <c r="M132" s="2">
        <v>79.801000599999995</v>
      </c>
      <c r="N132" s="18" t="s">
        <v>904</v>
      </c>
      <c r="O132" s="19">
        <v>37.43</v>
      </c>
      <c r="P132" s="20" t="s">
        <v>905</v>
      </c>
      <c r="Q132" s="20">
        <f>ROUND(Estimates_on_the_use_of_water__2020__a_3712[[#This Row],[wat_unimp_n]],2)</f>
        <v>13.54</v>
      </c>
      <c r="R132" s="20" t="s">
        <v>906</v>
      </c>
      <c r="S132">
        <f>ROUND(Estimates_on_the_use_of_water__2020__a_3712[[#This Row],[wat_sur_n]],2)</f>
        <v>8.08</v>
      </c>
      <c r="T132" t="s">
        <v>907</v>
      </c>
      <c r="U132" t="s">
        <v>908</v>
      </c>
      <c r="V132" t="s">
        <v>909</v>
      </c>
      <c r="W132" t="s">
        <v>910</v>
      </c>
      <c r="X132" t="s">
        <v>911</v>
      </c>
      <c r="Y132" t="s">
        <v>912</v>
      </c>
      <c r="Z132" t="s">
        <v>913</v>
      </c>
      <c r="AA132" t="s">
        <v>2</v>
      </c>
      <c r="AB132">
        <f>COUNTA(Estimates_on_the_use_of_water__2020__a_3712[[#This Row],[name]:[wat_sur_u]])</f>
        <v>27</v>
      </c>
      <c r="AC132">
        <f>COUNT(Estimates_on_the_use_of_water__2020__a_3712[[#This Row],[name]:[wat_sur_u]])</f>
        <v>13</v>
      </c>
    </row>
    <row r="133" spans="1:29" x14ac:dyDescent="0.25">
      <c r="A133" t="s">
        <v>914</v>
      </c>
      <c r="B133" t="s">
        <v>34</v>
      </c>
      <c r="C133">
        <v>11326.61621</v>
      </c>
      <c r="D133" s="3">
        <f>Estimates_on_the_use_of_water__2020__a_3712[[#This Row],[pop_n]]*1000</f>
        <v>11326616.210000001</v>
      </c>
      <c r="E133" s="15">
        <f>Estimates_on_the_use_of_water__2020__a_3712[[#This Row],[pop_n]]/1000</f>
        <v>11.326616210000001</v>
      </c>
      <c r="F133" s="15">
        <f>Estimates_on_the_use_of_water__2020__a_3712[[#This Row],[pop_n (m)]]*1000000</f>
        <v>11326616.210000001</v>
      </c>
      <c r="G133" s="14">
        <f>ROUND(Estimates_on_the_use_of_water__2020__a_3712[[#This Row],[pop_n (m)]],3)</f>
        <v>11.327</v>
      </c>
      <c r="H133" s="14">
        <f>ROUNDUP(Estimates_on_the_use_of_water__2020__a_3712[[#This Row],[pop_n (m)]],3)</f>
        <v>11.327</v>
      </c>
      <c r="I133" s="9" t="s">
        <v>915</v>
      </c>
      <c r="J133" s="1">
        <v>0.77194000239999994</v>
      </c>
      <c r="K133" s="2">
        <v>8743468.1443312783</v>
      </c>
      <c r="L133" s="1">
        <v>8743.4681443312784</v>
      </c>
      <c r="M133" s="2">
        <v>22.805999760000006</v>
      </c>
      <c r="N133" s="18" t="s">
        <v>916</v>
      </c>
      <c r="O133" s="19">
        <v>1.47</v>
      </c>
      <c r="P133" s="20" t="s">
        <v>917</v>
      </c>
      <c r="Q133" s="20">
        <f>ROUND(Estimates_on_the_use_of_water__2020__a_3712[[#This Row],[wat_unimp_n]],2)</f>
        <v>1.25</v>
      </c>
      <c r="R133" s="20" t="s">
        <v>918</v>
      </c>
      <c r="S133">
        <f>ROUND(Estimates_on_the_use_of_water__2020__a_3712[[#This Row],[wat_sur_n]],2)</f>
        <v>0.27</v>
      </c>
      <c r="T133" t="s">
        <v>919</v>
      </c>
      <c r="U133" t="s">
        <v>920</v>
      </c>
      <c r="V133" t="s">
        <v>921</v>
      </c>
      <c r="W133" t="s">
        <v>922</v>
      </c>
      <c r="X133" t="s">
        <v>923</v>
      </c>
      <c r="Y133" t="s">
        <v>924</v>
      </c>
      <c r="Z133" t="s">
        <v>925</v>
      </c>
      <c r="AA133" t="s">
        <v>926</v>
      </c>
      <c r="AB133">
        <f>COUNTA(Estimates_on_the_use_of_water__2020__a_3712[[#This Row],[name]:[wat_sur_u]])</f>
        <v>27</v>
      </c>
      <c r="AC133">
        <f>COUNT(Estimates_on_the_use_of_water__2020__a_3712[[#This Row],[name]:[wat_sur_u]])</f>
        <v>13</v>
      </c>
    </row>
    <row r="134" spans="1:29" x14ac:dyDescent="0.25">
      <c r="A134" t="s">
        <v>927</v>
      </c>
      <c r="B134" t="s">
        <v>106</v>
      </c>
      <c r="C134">
        <v>11402.5332</v>
      </c>
      <c r="D134" s="3">
        <f>Estimates_on_the_use_of_water__2020__a_3712[[#This Row],[pop_n]]*1000</f>
        <v>11402533.199999999</v>
      </c>
      <c r="E134" s="15">
        <f>Estimates_on_the_use_of_water__2020__a_3712[[#This Row],[pop_n]]/1000</f>
        <v>11.402533200000001</v>
      </c>
      <c r="F134" s="15">
        <f>Estimates_on_the_use_of_water__2020__a_3712[[#This Row],[pop_n (m)]]*1000000</f>
        <v>11402533.200000001</v>
      </c>
      <c r="G134" s="14">
        <f>ROUND(Estimates_on_the_use_of_water__2020__a_3712[[#This Row],[pop_n (m)]],3)</f>
        <v>11.403</v>
      </c>
      <c r="H134" s="14">
        <f>ROUNDUP(Estimates_on_the_use_of_water__2020__a_3712[[#This Row],[pop_n (m)]],3)</f>
        <v>11.402999999999999</v>
      </c>
      <c r="I134" s="9" t="s">
        <v>928</v>
      </c>
      <c r="J134" s="1">
        <v>0.57087997440000005</v>
      </c>
      <c r="K134" s="2">
        <v>6509477.8613111498</v>
      </c>
      <c r="L134" s="1">
        <v>6509.4778613111503</v>
      </c>
      <c r="M134" s="2">
        <v>42.912002559999998</v>
      </c>
      <c r="N134" s="18" t="s">
        <v>929</v>
      </c>
      <c r="O134" s="19">
        <v>9.81</v>
      </c>
      <c r="P134" s="20" t="s">
        <v>930</v>
      </c>
      <c r="Q134" s="20">
        <f>ROUND(Estimates_on_the_use_of_water__2020__a_3712[[#This Row],[wat_unimp_n]],2)</f>
        <v>23.49</v>
      </c>
      <c r="R134" s="20" t="s">
        <v>2</v>
      </c>
      <c r="S134">
        <f>ROUND(Estimates_on_the_use_of_water__2020__a_3712[[#This Row],[wat_sur_n]],2)</f>
        <v>0</v>
      </c>
      <c r="T134" t="s">
        <v>931</v>
      </c>
      <c r="U134" t="s">
        <v>932</v>
      </c>
      <c r="V134" t="s">
        <v>933</v>
      </c>
      <c r="W134" t="s">
        <v>2</v>
      </c>
      <c r="X134" t="s">
        <v>934</v>
      </c>
      <c r="Y134" t="s">
        <v>935</v>
      </c>
      <c r="Z134" t="s">
        <v>936</v>
      </c>
      <c r="AA134" t="s">
        <v>2</v>
      </c>
      <c r="AB134">
        <f>COUNTA(Estimates_on_the_use_of_water__2020__a_3712[[#This Row],[name]:[wat_sur_u]])</f>
        <v>27</v>
      </c>
      <c r="AC134">
        <f>COUNT(Estimates_on_the_use_of_water__2020__a_3712[[#This Row],[name]:[wat_sur_u]])</f>
        <v>13</v>
      </c>
    </row>
    <row r="135" spans="1:29" x14ac:dyDescent="0.25">
      <c r="A135" t="s">
        <v>937</v>
      </c>
      <c r="B135" t="s">
        <v>29</v>
      </c>
      <c r="C135">
        <v>11589.61621</v>
      </c>
      <c r="D135" s="3">
        <f>Estimates_on_the_use_of_water__2020__a_3712[[#This Row],[pop_n]]*1000</f>
        <v>11589616.210000001</v>
      </c>
      <c r="E135" s="15">
        <f>Estimates_on_the_use_of_water__2020__a_3712[[#This Row],[pop_n]]/1000</f>
        <v>11.589616210000001</v>
      </c>
      <c r="F135" s="15">
        <f>Estimates_on_the_use_of_water__2020__a_3712[[#This Row],[pop_n (m)]]*1000000</f>
        <v>11589616.210000001</v>
      </c>
      <c r="G135" s="14">
        <f>ROUND(Estimates_on_the_use_of_water__2020__a_3712[[#This Row],[pop_n (m)]],3)</f>
        <v>11.59</v>
      </c>
      <c r="H135" s="14">
        <f>ROUNDUP(Estimates_on_the_use_of_water__2020__a_3712[[#This Row],[pop_n (m)]],3)</f>
        <v>11.59</v>
      </c>
      <c r="I135" s="9" t="s">
        <v>938</v>
      </c>
      <c r="J135" s="1">
        <v>0.98078994750000004</v>
      </c>
      <c r="K135" s="2">
        <v>11366979.07415105</v>
      </c>
      <c r="L135" s="1">
        <v>11366.97907415105</v>
      </c>
      <c r="M135" s="2">
        <v>1.9210052499999932</v>
      </c>
      <c r="N135" s="18" t="s">
        <v>939</v>
      </c>
      <c r="O135" s="19">
        <v>0</v>
      </c>
      <c r="P135" s="20" t="s">
        <v>940</v>
      </c>
      <c r="Q135" s="20">
        <f>ROUND(Estimates_on_the_use_of_water__2020__a_3712[[#This Row],[wat_unimp_n]],2)</f>
        <v>0</v>
      </c>
      <c r="R135" s="20" t="s">
        <v>2</v>
      </c>
      <c r="S135">
        <f>ROUND(Estimates_on_the_use_of_water__2020__a_3712[[#This Row],[wat_sur_n]],2)</f>
        <v>0</v>
      </c>
      <c r="T135" t="s">
        <v>15</v>
      </c>
      <c r="U135" t="s">
        <v>2</v>
      </c>
      <c r="V135" t="s">
        <v>2</v>
      </c>
      <c r="W135" t="s">
        <v>2</v>
      </c>
      <c r="X135" t="s">
        <v>15</v>
      </c>
      <c r="Y135" t="s">
        <v>2</v>
      </c>
      <c r="Z135" t="s">
        <v>2</v>
      </c>
      <c r="AA135" t="s">
        <v>2</v>
      </c>
      <c r="AB135">
        <f>COUNTA(Estimates_on_the_use_of_water__2020__a_3712[[#This Row],[name]:[wat_sur_u]])</f>
        <v>27</v>
      </c>
      <c r="AC135">
        <f>COUNT(Estimates_on_the_use_of_water__2020__a_3712[[#This Row],[name]:[wat_sur_u]])</f>
        <v>13</v>
      </c>
    </row>
    <row r="136" spans="1:29" x14ac:dyDescent="0.25">
      <c r="A136" t="s">
        <v>941</v>
      </c>
      <c r="B136" t="s">
        <v>106</v>
      </c>
      <c r="C136">
        <v>11673.0293</v>
      </c>
      <c r="D136" s="3">
        <f>Estimates_on_the_use_of_water__2020__a_3712[[#This Row],[pop_n]]*1000</f>
        <v>11673029.300000001</v>
      </c>
      <c r="E136" s="15">
        <f>Estimates_on_the_use_of_water__2020__a_3712[[#This Row],[pop_n]]/1000</f>
        <v>11.6730293</v>
      </c>
      <c r="F136" s="15">
        <f>Estimates_on_the_use_of_water__2020__a_3712[[#This Row],[pop_n (m)]]*1000000</f>
        <v>11673029.299999999</v>
      </c>
      <c r="G136" s="14">
        <f>ROUND(Estimates_on_the_use_of_water__2020__a_3712[[#This Row],[pop_n (m)]],3)</f>
        <v>11.673</v>
      </c>
      <c r="H136" s="14">
        <f>ROUNDUP(Estimates_on_the_use_of_water__2020__a_3712[[#This Row],[pop_n (m)]],3)</f>
        <v>11.673999999999999</v>
      </c>
      <c r="I136" s="9" t="s">
        <v>942</v>
      </c>
      <c r="J136" s="1">
        <v>0.70123001099999993</v>
      </c>
      <c r="K136" s="2">
        <v>8185478.464442322</v>
      </c>
      <c r="L136" s="1">
        <v>8185.4784644423216</v>
      </c>
      <c r="M136" s="2">
        <v>29.876998900000004</v>
      </c>
      <c r="N136" s="18" t="s">
        <v>943</v>
      </c>
      <c r="O136" s="19">
        <v>0.14000000000000001</v>
      </c>
      <c r="P136" s="20" t="s">
        <v>944</v>
      </c>
      <c r="Q136" s="20">
        <f>ROUND(Estimates_on_the_use_of_water__2020__a_3712[[#This Row],[wat_unimp_n]],2)</f>
        <v>1.58</v>
      </c>
      <c r="R136" s="20" t="s">
        <v>945</v>
      </c>
      <c r="S136">
        <f>ROUND(Estimates_on_the_use_of_water__2020__a_3712[[#This Row],[wat_sur_n]],2)</f>
        <v>4.9000000000000004</v>
      </c>
      <c r="T136" t="s">
        <v>946</v>
      </c>
      <c r="U136" t="s">
        <v>947</v>
      </c>
      <c r="V136" t="s">
        <v>948</v>
      </c>
      <c r="W136" t="s">
        <v>949</v>
      </c>
      <c r="X136" t="s">
        <v>950</v>
      </c>
      <c r="Y136" t="s">
        <v>951</v>
      </c>
      <c r="Z136" t="s">
        <v>952</v>
      </c>
      <c r="AA136" t="s">
        <v>953</v>
      </c>
      <c r="AB136">
        <f>COUNTA(Estimates_on_the_use_of_water__2020__a_3712[[#This Row],[name]:[wat_sur_u]])</f>
        <v>27</v>
      </c>
      <c r="AC136">
        <f>COUNT(Estimates_on_the_use_of_water__2020__a_3712[[#This Row],[name]:[wat_sur_u]])</f>
        <v>13</v>
      </c>
    </row>
    <row r="137" spans="1:29" x14ac:dyDescent="0.25">
      <c r="A137" t="s">
        <v>954</v>
      </c>
      <c r="B137" t="s">
        <v>106</v>
      </c>
      <c r="C137">
        <v>11818.61816</v>
      </c>
      <c r="D137" s="3">
        <f>Estimates_on_the_use_of_water__2020__a_3712[[#This Row],[pop_n]]*1000</f>
        <v>11818618.16</v>
      </c>
      <c r="E137" s="15">
        <f>Estimates_on_the_use_of_water__2020__a_3712[[#This Row],[pop_n]]/1000</f>
        <v>11.81861816</v>
      </c>
      <c r="F137" s="15">
        <f>Estimates_on_the_use_of_water__2020__a_3712[[#This Row],[pop_n (m)]]*1000000</f>
        <v>11818618.16</v>
      </c>
      <c r="G137" s="14">
        <f>ROUND(Estimates_on_the_use_of_water__2020__a_3712[[#This Row],[pop_n (m)]],3)</f>
        <v>11.819000000000001</v>
      </c>
      <c r="H137" s="14">
        <f>ROUNDUP(Estimates_on_the_use_of_water__2020__a_3712[[#This Row],[pop_n (m)]],3)</f>
        <v>11.818999999999999</v>
      </c>
      <c r="I137" s="9" t="s">
        <v>955</v>
      </c>
      <c r="J137" s="1">
        <v>0.69568000789999995</v>
      </c>
      <c r="K137" s="2">
        <v>8221976.3749158829</v>
      </c>
      <c r="L137" s="1">
        <v>8221.9763749158828</v>
      </c>
      <c r="M137" s="2">
        <v>30.431999210000001</v>
      </c>
      <c r="N137" s="18" t="s">
        <v>956</v>
      </c>
      <c r="O137" s="19">
        <v>1.63</v>
      </c>
      <c r="P137" s="20" t="s">
        <v>957</v>
      </c>
      <c r="Q137" s="20">
        <f>ROUND(Estimates_on_the_use_of_water__2020__a_3712[[#This Row],[wat_unimp_n]],2)</f>
        <v>0.83</v>
      </c>
      <c r="R137" s="20" t="s">
        <v>2</v>
      </c>
      <c r="S137">
        <f>ROUND(Estimates_on_the_use_of_water__2020__a_3712[[#This Row],[wat_sur_n]],2)</f>
        <v>0</v>
      </c>
      <c r="T137" t="s">
        <v>958</v>
      </c>
      <c r="U137" t="s">
        <v>959</v>
      </c>
      <c r="V137" t="s">
        <v>960</v>
      </c>
      <c r="W137" t="s">
        <v>2</v>
      </c>
      <c r="X137" t="s">
        <v>961</v>
      </c>
      <c r="Y137" t="s">
        <v>962</v>
      </c>
      <c r="Z137" t="s">
        <v>2</v>
      </c>
      <c r="AA137" t="s">
        <v>2</v>
      </c>
      <c r="AB137">
        <f>COUNTA(Estimates_on_the_use_of_water__2020__a_3712[[#This Row],[name]:[wat_sur_u]])</f>
        <v>27</v>
      </c>
      <c r="AC137">
        <f>COUNT(Estimates_on_the_use_of_water__2020__a_3712[[#This Row],[name]:[wat_sur_u]])</f>
        <v>13</v>
      </c>
    </row>
    <row r="138" spans="1:29" x14ac:dyDescent="0.25">
      <c r="A138" t="s">
        <v>963</v>
      </c>
      <c r="B138" t="s">
        <v>375</v>
      </c>
      <c r="C138">
        <v>11890.78125</v>
      </c>
      <c r="D138" s="3">
        <f>Estimates_on_the_use_of_water__2020__a_3712[[#This Row],[pop_n]]*1000</f>
        <v>11890781.25</v>
      </c>
      <c r="E138" s="15">
        <f>Estimates_on_the_use_of_water__2020__a_3712[[#This Row],[pop_n]]/1000</f>
        <v>11.89078125</v>
      </c>
      <c r="F138" s="15">
        <f>Estimates_on_the_use_of_water__2020__a_3712[[#This Row],[pop_n (m)]]*1000000</f>
        <v>11890781.25</v>
      </c>
      <c r="G138" s="14">
        <f>ROUND(Estimates_on_the_use_of_water__2020__a_3712[[#This Row],[pop_n (m)]],3)</f>
        <v>11.891</v>
      </c>
      <c r="H138" s="14">
        <f>ROUNDUP(Estimates_on_the_use_of_water__2020__a_3712[[#This Row],[pop_n (m)]],3)</f>
        <v>11.891</v>
      </c>
      <c r="I138" s="9" t="s">
        <v>964</v>
      </c>
      <c r="J138" s="1">
        <v>0.13708000180000002</v>
      </c>
      <c r="K138" s="2">
        <v>1629988.3151534065</v>
      </c>
      <c r="L138" s="1">
        <v>1629.9883151534063</v>
      </c>
      <c r="M138" s="2">
        <v>86.291999820000001</v>
      </c>
      <c r="N138" s="18" t="s">
        <v>965</v>
      </c>
      <c r="O138" s="19">
        <v>19.440000000000001</v>
      </c>
      <c r="P138" s="20" t="s">
        <v>966</v>
      </c>
      <c r="Q138" s="20">
        <f>ROUND(Estimates_on_the_use_of_water__2020__a_3712[[#This Row],[wat_unimp_n]],2)</f>
        <v>14.76</v>
      </c>
      <c r="R138" s="20" t="s">
        <v>967</v>
      </c>
      <c r="S138">
        <f>ROUND(Estimates_on_the_use_of_water__2020__a_3712[[#This Row],[wat_sur_n]],2)</f>
        <v>3.59</v>
      </c>
      <c r="T138" t="s">
        <v>968</v>
      </c>
      <c r="U138" t="s">
        <v>969</v>
      </c>
      <c r="V138" t="s">
        <v>970</v>
      </c>
      <c r="W138" t="s">
        <v>971</v>
      </c>
      <c r="X138" t="s">
        <v>972</v>
      </c>
      <c r="Y138" t="s">
        <v>973</v>
      </c>
      <c r="Z138" t="s">
        <v>974</v>
      </c>
      <c r="AA138" t="s">
        <v>2</v>
      </c>
      <c r="AB138">
        <f>COUNTA(Estimates_on_the_use_of_water__2020__a_3712[[#This Row],[name]:[wat_sur_u]])</f>
        <v>27</v>
      </c>
      <c r="AC138">
        <f>COUNT(Estimates_on_the_use_of_water__2020__a_3712[[#This Row],[name]:[wat_sur_u]])</f>
        <v>13</v>
      </c>
    </row>
    <row r="139" spans="1:29" x14ac:dyDescent="0.25">
      <c r="A139" t="s">
        <v>975</v>
      </c>
      <c r="B139" t="s">
        <v>106</v>
      </c>
      <c r="C139">
        <v>12123.19824</v>
      </c>
      <c r="D139" s="3">
        <f>Estimates_on_the_use_of_water__2020__a_3712[[#This Row],[pop_n]]*1000</f>
        <v>12123198.24</v>
      </c>
      <c r="E139" s="15">
        <f>Estimates_on_the_use_of_water__2020__a_3712[[#This Row],[pop_n]]/1000</f>
        <v>12.123198239999999</v>
      </c>
      <c r="F139" s="15">
        <f>Estimates_on_the_use_of_water__2020__a_3712[[#This Row],[pop_n (m)]]*1000000</f>
        <v>12123198.239999998</v>
      </c>
      <c r="G139" s="14">
        <f>ROUND(Estimates_on_the_use_of_water__2020__a_3712[[#This Row],[pop_n (m)]],3)</f>
        <v>12.122999999999999</v>
      </c>
      <c r="H139" s="14">
        <f>ROUNDUP(Estimates_on_the_use_of_water__2020__a_3712[[#This Row],[pop_n (m)]],3)</f>
        <v>12.123999999999999</v>
      </c>
      <c r="I139" s="9" t="s">
        <v>976</v>
      </c>
      <c r="J139" s="1">
        <v>0.48414997100000001</v>
      </c>
      <c r="K139" s="2">
        <v>5869446.0763232512</v>
      </c>
      <c r="L139" s="1">
        <v>5869.446076323251</v>
      </c>
      <c r="M139" s="2">
        <v>51.585002899999999</v>
      </c>
      <c r="N139" s="18" t="s">
        <v>977</v>
      </c>
      <c r="O139" s="19">
        <v>9.32</v>
      </c>
      <c r="P139" s="20" t="s">
        <v>978</v>
      </c>
      <c r="Q139" s="20">
        <f>ROUND(Estimates_on_the_use_of_water__2020__a_3712[[#This Row],[wat_unimp_n]],2)</f>
        <v>21.97</v>
      </c>
      <c r="R139" s="20" t="s">
        <v>979</v>
      </c>
      <c r="S139">
        <f>ROUND(Estimates_on_the_use_of_water__2020__a_3712[[#This Row],[wat_sur_n]],2)</f>
        <v>3.3</v>
      </c>
      <c r="T139" t="s">
        <v>980</v>
      </c>
      <c r="U139" t="s">
        <v>981</v>
      </c>
      <c r="V139" t="s">
        <v>982</v>
      </c>
      <c r="W139" t="s">
        <v>983</v>
      </c>
      <c r="X139" t="s">
        <v>984</v>
      </c>
      <c r="Y139" t="s">
        <v>985</v>
      </c>
      <c r="Z139" t="s">
        <v>986</v>
      </c>
      <c r="AA139" t="s">
        <v>80</v>
      </c>
      <c r="AB139">
        <f>COUNTA(Estimates_on_the_use_of_water__2020__a_3712[[#This Row],[name]:[wat_sur_u]])</f>
        <v>27</v>
      </c>
      <c r="AC139">
        <f>COUNT(Estimates_on_the_use_of_water__2020__a_3712[[#This Row],[name]:[wat_sur_u]])</f>
        <v>13</v>
      </c>
    </row>
    <row r="140" spans="1:29" x14ac:dyDescent="0.25">
      <c r="A140" t="s">
        <v>987</v>
      </c>
      <c r="B140" t="s">
        <v>375</v>
      </c>
      <c r="C140">
        <v>12952.208979999999</v>
      </c>
      <c r="D140" s="3">
        <f>Estimates_on_the_use_of_water__2020__a_3712[[#This Row],[pop_n]]*1000</f>
        <v>12952208.979999999</v>
      </c>
      <c r="E140" s="15">
        <f>Estimates_on_the_use_of_water__2020__a_3712[[#This Row],[pop_n]]/1000</f>
        <v>12.95220898</v>
      </c>
      <c r="F140" s="15">
        <f>Estimates_on_the_use_of_water__2020__a_3712[[#This Row],[pop_n (m)]]*1000000</f>
        <v>12952208.98</v>
      </c>
      <c r="G140" s="14">
        <f>ROUND(Estimates_on_the_use_of_water__2020__a_3712[[#This Row],[pop_n (m)]],3)</f>
        <v>12.952</v>
      </c>
      <c r="H140" s="14">
        <f>ROUNDUP(Estimates_on_the_use_of_water__2020__a_3712[[#This Row],[pop_n (m)]],3)</f>
        <v>12.952999999999999</v>
      </c>
      <c r="I140" s="9" t="s">
        <v>988</v>
      </c>
      <c r="J140" s="1">
        <v>0.17432001110000001</v>
      </c>
      <c r="K140" s="2">
        <v>2257829.2131631193</v>
      </c>
      <c r="L140" s="1">
        <v>2257.8292131631197</v>
      </c>
      <c r="M140" s="2">
        <v>82.567998889999998</v>
      </c>
      <c r="N140" s="18" t="s">
        <v>989</v>
      </c>
      <c r="O140" s="19">
        <v>22.32</v>
      </c>
      <c r="P140" s="20" t="s">
        <v>990</v>
      </c>
      <c r="Q140" s="20">
        <f>ROUND(Estimates_on_the_use_of_water__2020__a_3712[[#This Row],[wat_unimp_n]],2)</f>
        <v>13.15</v>
      </c>
      <c r="R140" s="20" t="s">
        <v>991</v>
      </c>
      <c r="S140">
        <f>ROUND(Estimates_on_the_use_of_water__2020__a_3712[[#This Row],[wat_sur_n]],2)</f>
        <v>4.1100000000000003</v>
      </c>
      <c r="T140" t="s">
        <v>992</v>
      </c>
      <c r="U140" t="s">
        <v>993</v>
      </c>
      <c r="V140" t="s">
        <v>994</v>
      </c>
      <c r="W140" t="s">
        <v>995</v>
      </c>
      <c r="X140" t="s">
        <v>996</v>
      </c>
      <c r="Y140" t="s">
        <v>997</v>
      </c>
      <c r="Z140" t="s">
        <v>998</v>
      </c>
      <c r="AA140" t="s">
        <v>999</v>
      </c>
      <c r="AB140">
        <f>COUNTA(Estimates_on_the_use_of_water__2020__a_3712[[#This Row],[name]:[wat_sur_u]])</f>
        <v>27</v>
      </c>
      <c r="AC140">
        <f>COUNT(Estimates_on_the_use_of_water__2020__a_3712[[#This Row],[name]:[wat_sur_u]])</f>
        <v>13</v>
      </c>
    </row>
    <row r="141" spans="1:29" x14ac:dyDescent="0.25">
      <c r="A141" t="s">
        <v>1000</v>
      </c>
      <c r="B141" t="s">
        <v>375</v>
      </c>
      <c r="C141">
        <v>13132.79199</v>
      </c>
      <c r="D141" s="3">
        <f>Estimates_on_the_use_of_water__2020__a_3712[[#This Row],[pop_n]]*1000</f>
        <v>13132791.99</v>
      </c>
      <c r="E141" s="15">
        <f>Estimates_on_the_use_of_water__2020__a_3712[[#This Row],[pop_n]]/1000</f>
        <v>13.132791989999999</v>
      </c>
      <c r="F141" s="15">
        <f>Estimates_on_the_use_of_water__2020__a_3712[[#This Row],[pop_n (m)]]*1000000</f>
        <v>13132791.99</v>
      </c>
      <c r="G141" s="14">
        <f>ROUND(Estimates_on_the_use_of_water__2020__a_3712[[#This Row],[pop_n (m)]],3)</f>
        <v>13.132999999999999</v>
      </c>
      <c r="H141" s="14">
        <f>ROUNDUP(Estimates_on_the_use_of_water__2020__a_3712[[#This Row],[pop_n (m)]],3)</f>
        <v>13.132999999999999</v>
      </c>
      <c r="I141" s="9" t="s">
        <v>1001</v>
      </c>
      <c r="J141" s="1">
        <v>0.36875000000000002</v>
      </c>
      <c r="K141" s="2">
        <v>4842717.0463125007</v>
      </c>
      <c r="L141" s="1">
        <v>4842.7170463125003</v>
      </c>
      <c r="M141" s="2">
        <v>63.125</v>
      </c>
      <c r="N141" s="18" t="s">
        <v>1002</v>
      </c>
      <c r="O141" s="19">
        <v>21.28</v>
      </c>
      <c r="P141" s="20" t="s">
        <v>1003</v>
      </c>
      <c r="Q141" s="20">
        <f>ROUND(Estimates_on_the_use_of_water__2020__a_3712[[#This Row],[wat_unimp_n]],2)</f>
        <v>6.3</v>
      </c>
      <c r="R141" s="20" t="s">
        <v>1004</v>
      </c>
      <c r="S141">
        <f>ROUND(Estimates_on_the_use_of_water__2020__a_3712[[#This Row],[wat_sur_n]],2)</f>
        <v>8.4600000000000009</v>
      </c>
      <c r="T141" t="s">
        <v>1005</v>
      </c>
      <c r="U141" t="s">
        <v>1006</v>
      </c>
      <c r="V141" t="s">
        <v>1007</v>
      </c>
      <c r="W141" t="s">
        <v>1008</v>
      </c>
      <c r="X141" t="s">
        <v>1009</v>
      </c>
      <c r="Y141" t="s">
        <v>1010</v>
      </c>
      <c r="Z141" t="s">
        <v>1011</v>
      </c>
      <c r="AA141" t="s">
        <v>2</v>
      </c>
      <c r="AB141">
        <f>COUNTA(Estimates_on_the_use_of_water__2020__a_3712[[#This Row],[name]:[wat_sur_u]])</f>
        <v>27</v>
      </c>
      <c r="AC141">
        <f>COUNT(Estimates_on_the_use_of_water__2020__a_3712[[#This Row],[name]:[wat_sur_u]])</f>
        <v>13</v>
      </c>
    </row>
    <row r="142" spans="1:29" x14ac:dyDescent="0.25">
      <c r="A142" t="s">
        <v>1012</v>
      </c>
      <c r="B142" t="s">
        <v>106</v>
      </c>
      <c r="C142">
        <v>14862.92676</v>
      </c>
      <c r="D142" s="3">
        <f>Estimates_on_the_use_of_water__2020__a_3712[[#This Row],[pop_n]]*1000</f>
        <v>14862926.76</v>
      </c>
      <c r="E142" s="15">
        <f>Estimates_on_the_use_of_water__2020__a_3712[[#This Row],[pop_n]]/1000</f>
        <v>14.862926760000001</v>
      </c>
      <c r="F142" s="15">
        <f>Estimates_on_the_use_of_water__2020__a_3712[[#This Row],[pop_n (m)]]*1000000</f>
        <v>14862926.76</v>
      </c>
      <c r="G142" s="14">
        <f>ROUND(Estimates_on_the_use_of_water__2020__a_3712[[#This Row],[pop_n (m)]],3)</f>
        <v>14.863</v>
      </c>
      <c r="H142" s="14">
        <f>ROUNDUP(Estimates_on_the_use_of_water__2020__a_3712[[#This Row],[pop_n (m)]],3)</f>
        <v>14.863</v>
      </c>
      <c r="I142" s="9" t="s">
        <v>1013</v>
      </c>
      <c r="J142" s="1">
        <v>0.32242000580000002</v>
      </c>
      <c r="K142" s="2">
        <v>4792104.9321641754</v>
      </c>
      <c r="L142" s="1">
        <v>4792.1049321641758</v>
      </c>
      <c r="M142" s="2">
        <v>67.757999420000004</v>
      </c>
      <c r="N142" s="18" t="s">
        <v>1014</v>
      </c>
      <c r="O142" s="19">
        <v>14.2</v>
      </c>
      <c r="P142" s="20" t="s">
        <v>1015</v>
      </c>
      <c r="Q142" s="20">
        <f>ROUND(Estimates_on_the_use_of_water__2020__a_3712[[#This Row],[wat_unimp_n]],2)</f>
        <v>16.28</v>
      </c>
      <c r="R142" s="20" t="s">
        <v>1016</v>
      </c>
      <c r="S142">
        <f>ROUND(Estimates_on_the_use_of_water__2020__a_3712[[#This Row],[wat_sur_n]],2)</f>
        <v>6.86</v>
      </c>
      <c r="T142" t="s">
        <v>1017</v>
      </c>
      <c r="U142" t="s">
        <v>1018</v>
      </c>
      <c r="V142" t="s">
        <v>1019</v>
      </c>
      <c r="W142" t="s">
        <v>1020</v>
      </c>
      <c r="X142" t="s">
        <v>1021</v>
      </c>
      <c r="Y142" t="s">
        <v>1022</v>
      </c>
      <c r="Z142" t="s">
        <v>1023</v>
      </c>
      <c r="AA142" t="s">
        <v>1024</v>
      </c>
      <c r="AB142">
        <f>COUNTA(Estimates_on_the_use_of_water__2020__a_3712[[#This Row],[name]:[wat_sur_u]])</f>
        <v>27</v>
      </c>
      <c r="AC142">
        <f>COUNT(Estimates_on_the_use_of_water__2020__a_3712[[#This Row],[name]:[wat_sur_u]])</f>
        <v>13</v>
      </c>
    </row>
    <row r="143" spans="1:29" x14ac:dyDescent="0.25">
      <c r="A143" t="s">
        <v>1025</v>
      </c>
      <c r="B143" t="s">
        <v>375</v>
      </c>
      <c r="C143">
        <v>15893.21875</v>
      </c>
      <c r="D143" s="3">
        <f>Estimates_on_the_use_of_water__2020__a_3712[[#This Row],[pop_n]]*1000</f>
        <v>15893218.75</v>
      </c>
      <c r="E143" s="15">
        <f>Estimates_on_the_use_of_water__2020__a_3712[[#This Row],[pop_n]]/1000</f>
        <v>15.893218750000001</v>
      </c>
      <c r="F143" s="15">
        <f>Estimates_on_the_use_of_water__2020__a_3712[[#This Row],[pop_n (m)]]*1000000</f>
        <v>15893218.75</v>
      </c>
      <c r="G143" s="14">
        <f>ROUND(Estimates_on_the_use_of_water__2020__a_3712[[#This Row],[pop_n (m)]],3)</f>
        <v>15.893000000000001</v>
      </c>
      <c r="H143" s="14">
        <f>ROUNDUP(Estimates_on_the_use_of_water__2020__a_3712[[#This Row],[pop_n (m)]],3)</f>
        <v>15.894</v>
      </c>
      <c r="I143" s="9" t="s">
        <v>1026</v>
      </c>
      <c r="J143" s="1">
        <v>0.46140998840000003</v>
      </c>
      <c r="K143" s="2">
        <v>7333289.8790761633</v>
      </c>
      <c r="L143" s="1">
        <v>7333.2898790761628</v>
      </c>
      <c r="M143" s="2">
        <v>53.859001159999998</v>
      </c>
      <c r="N143" s="18" t="s">
        <v>1027</v>
      </c>
      <c r="O143" s="19">
        <v>27.7</v>
      </c>
      <c r="P143" s="20" t="s">
        <v>1028</v>
      </c>
      <c r="Q143" s="20">
        <f>ROUND(Estimates_on_the_use_of_water__2020__a_3712[[#This Row],[wat_unimp_n]],2)</f>
        <v>13.42</v>
      </c>
      <c r="R143" s="20" t="s">
        <v>1029</v>
      </c>
      <c r="S143">
        <f>ROUND(Estimates_on_the_use_of_water__2020__a_3712[[#This Row],[wat_sur_n]],2)</f>
        <v>2.4</v>
      </c>
      <c r="T143" t="s">
        <v>1030</v>
      </c>
      <c r="U143" t="s">
        <v>1031</v>
      </c>
      <c r="V143" t="s">
        <v>1032</v>
      </c>
      <c r="W143" t="s">
        <v>1033</v>
      </c>
      <c r="X143" t="s">
        <v>1034</v>
      </c>
      <c r="Y143" t="s">
        <v>1035</v>
      </c>
      <c r="Z143" t="s">
        <v>1036</v>
      </c>
      <c r="AA143" t="s">
        <v>2</v>
      </c>
      <c r="AB143">
        <f>COUNTA(Estimates_on_the_use_of_water__2020__a_3712[[#This Row],[name]:[wat_sur_u]])</f>
        <v>27</v>
      </c>
      <c r="AC143">
        <f>COUNT(Estimates_on_the_use_of_water__2020__a_3712[[#This Row],[name]:[wat_sur_u]])</f>
        <v>13</v>
      </c>
    </row>
    <row r="144" spans="1:29" x14ac:dyDescent="0.25">
      <c r="A144" t="s">
        <v>1037</v>
      </c>
      <c r="B144" t="s">
        <v>375</v>
      </c>
      <c r="C144">
        <v>16425.859380000002</v>
      </c>
      <c r="D144" s="3">
        <f>Estimates_on_the_use_of_water__2020__a_3712[[#This Row],[pop_n]]*1000</f>
        <v>16425859.380000001</v>
      </c>
      <c r="E144" s="15">
        <f>Estimates_on_the_use_of_water__2020__a_3712[[#This Row],[pop_n]]/1000</f>
        <v>16.425859380000002</v>
      </c>
      <c r="F144" s="15">
        <f>Estimates_on_the_use_of_water__2020__a_3712[[#This Row],[pop_n (m)]]*1000000</f>
        <v>16425859.380000003</v>
      </c>
      <c r="G144" s="14">
        <f>ROUND(Estimates_on_the_use_of_water__2020__a_3712[[#This Row],[pop_n (m)]],3)</f>
        <v>16.425999999999998</v>
      </c>
      <c r="H144" s="14">
        <f>ROUNDUP(Estimates_on_the_use_of_water__2020__a_3712[[#This Row],[pop_n (m)]],3)</f>
        <v>16.426000000000002</v>
      </c>
      <c r="I144" s="9" t="s">
        <v>1038</v>
      </c>
      <c r="J144" s="1">
        <v>0.23520000459999998</v>
      </c>
      <c r="K144" s="2">
        <v>3863362.2017349531</v>
      </c>
      <c r="L144" s="1">
        <v>3863.3622017349535</v>
      </c>
      <c r="M144" s="2">
        <v>76.479999539999994</v>
      </c>
      <c r="N144" s="18" t="s">
        <v>1039</v>
      </c>
      <c r="O144" s="19">
        <v>14.74</v>
      </c>
      <c r="P144" s="20" t="s">
        <v>1040</v>
      </c>
      <c r="Q144" s="20">
        <f>ROUND(Estimates_on_the_use_of_water__2020__a_3712[[#This Row],[wat_unimp_n]],2)</f>
        <v>31.56</v>
      </c>
      <c r="R144" s="20" t="s">
        <v>1041</v>
      </c>
      <c r="S144">
        <f>ROUND(Estimates_on_the_use_of_water__2020__a_3712[[#This Row],[wat_sur_n]],2)</f>
        <v>7.51</v>
      </c>
      <c r="T144" t="s">
        <v>1042</v>
      </c>
      <c r="U144" t="s">
        <v>1043</v>
      </c>
      <c r="V144" t="s">
        <v>1044</v>
      </c>
      <c r="W144" t="s">
        <v>1045</v>
      </c>
      <c r="X144" t="s">
        <v>1046</v>
      </c>
      <c r="Y144" t="s">
        <v>1047</v>
      </c>
      <c r="Z144" t="s">
        <v>1048</v>
      </c>
      <c r="AA144" t="s">
        <v>1049</v>
      </c>
      <c r="AB144">
        <f>COUNTA(Estimates_on_the_use_of_water__2020__a_3712[[#This Row],[name]:[wat_sur_u]])</f>
        <v>27</v>
      </c>
      <c r="AC144">
        <f>COUNT(Estimates_on_the_use_of_water__2020__a_3712[[#This Row],[name]:[wat_sur_u]])</f>
        <v>13</v>
      </c>
    </row>
    <row r="145" spans="1:29" x14ac:dyDescent="0.25">
      <c r="A145" t="s">
        <v>1050</v>
      </c>
      <c r="B145" t="s">
        <v>106</v>
      </c>
      <c r="C145">
        <v>16718.970700000002</v>
      </c>
      <c r="D145" s="3">
        <f>Estimates_on_the_use_of_water__2020__a_3712[[#This Row],[pop_n]]*1000</f>
        <v>16718970.700000001</v>
      </c>
      <c r="E145" s="15">
        <f>Estimates_on_the_use_of_water__2020__a_3712[[#This Row],[pop_n]]/1000</f>
        <v>16.718970700000003</v>
      </c>
      <c r="F145" s="15">
        <f>Estimates_on_the_use_of_water__2020__a_3712[[#This Row],[pop_n (m)]]*1000000</f>
        <v>16718970.700000003</v>
      </c>
      <c r="G145" s="14">
        <f>ROUND(Estimates_on_the_use_of_water__2020__a_3712[[#This Row],[pop_n (m)]],3)</f>
        <v>16.719000000000001</v>
      </c>
      <c r="H145" s="14">
        <f>ROUNDUP(Estimates_on_the_use_of_water__2020__a_3712[[#This Row],[pop_n (m)]],3)</f>
        <v>16.719000000000001</v>
      </c>
      <c r="I145" s="9" t="s">
        <v>1051</v>
      </c>
      <c r="J145" s="1">
        <v>0.24232000349999999</v>
      </c>
      <c r="K145" s="2">
        <v>4051341.0385403978</v>
      </c>
      <c r="L145" s="1">
        <v>4051.3410385403977</v>
      </c>
      <c r="M145" s="2">
        <v>75.767999650000007</v>
      </c>
      <c r="N145" s="18" t="s">
        <v>1052</v>
      </c>
      <c r="O145" s="19">
        <v>13.9</v>
      </c>
      <c r="P145" s="20" t="s">
        <v>1053</v>
      </c>
      <c r="Q145" s="20">
        <f>ROUND(Estimates_on_the_use_of_water__2020__a_3712[[#This Row],[wat_unimp_n]],2)</f>
        <v>5.68</v>
      </c>
      <c r="R145" s="20" t="s">
        <v>1054</v>
      </c>
      <c r="S145">
        <f>ROUND(Estimates_on_the_use_of_water__2020__a_3712[[#This Row],[wat_sur_n]],2)</f>
        <v>9.1999999999999993</v>
      </c>
      <c r="T145" t="s">
        <v>1055</v>
      </c>
      <c r="U145" t="s">
        <v>1056</v>
      </c>
      <c r="V145" t="s">
        <v>1057</v>
      </c>
      <c r="W145" t="s">
        <v>1058</v>
      </c>
      <c r="X145" t="s">
        <v>1059</v>
      </c>
      <c r="Y145" t="s">
        <v>1060</v>
      </c>
      <c r="Z145" t="s">
        <v>2</v>
      </c>
      <c r="AA145" t="s">
        <v>1061</v>
      </c>
      <c r="AB145">
        <f>COUNTA(Estimates_on_the_use_of_water__2020__a_3712[[#This Row],[name]:[wat_sur_u]])</f>
        <v>27</v>
      </c>
      <c r="AC145">
        <f>COUNT(Estimates_on_the_use_of_water__2020__a_3712[[#This Row],[name]:[wat_sur_u]])</f>
        <v>13</v>
      </c>
    </row>
    <row r="146" spans="1:29" x14ac:dyDescent="0.25">
      <c r="A146" t="s">
        <v>1062</v>
      </c>
      <c r="B146" t="s">
        <v>106</v>
      </c>
      <c r="C146">
        <v>16743.929690000001</v>
      </c>
      <c r="D146" s="3">
        <f>Estimates_on_the_use_of_water__2020__a_3712[[#This Row],[pop_n]]*1000</f>
        <v>16743929.690000001</v>
      </c>
      <c r="E146" s="15">
        <f>Estimates_on_the_use_of_water__2020__a_3712[[#This Row],[pop_n]]/1000</f>
        <v>16.743929690000002</v>
      </c>
      <c r="F146" s="15">
        <f>Estimates_on_the_use_of_water__2020__a_3712[[#This Row],[pop_n (m)]]*1000000</f>
        <v>16743929.690000001</v>
      </c>
      <c r="G146" s="14">
        <f>ROUND(Estimates_on_the_use_of_water__2020__a_3712[[#This Row],[pop_n (m)]],3)</f>
        <v>16.744</v>
      </c>
      <c r="H146" s="14">
        <f>ROUNDUP(Estimates_on_the_use_of_water__2020__a_3712[[#This Row],[pop_n (m)]],3)</f>
        <v>16.744</v>
      </c>
      <c r="I146" s="9" t="s">
        <v>1063</v>
      </c>
      <c r="J146" s="1">
        <v>0.48122001650000001</v>
      </c>
      <c r="K146" s="2">
        <v>8057514.1216966407</v>
      </c>
      <c r="L146" s="1">
        <v>8057.5141216966404</v>
      </c>
      <c r="M146" s="2">
        <v>51.877998349999999</v>
      </c>
      <c r="N146" s="18" t="s">
        <v>1064</v>
      </c>
      <c r="O146" s="19">
        <v>2.39</v>
      </c>
      <c r="P146" s="20" t="s">
        <v>1065</v>
      </c>
      <c r="Q146" s="20">
        <f>ROUND(Estimates_on_the_use_of_water__2020__a_3712[[#This Row],[wat_unimp_n]],2)</f>
        <v>12.61</v>
      </c>
      <c r="R146" s="20" t="s">
        <v>1066</v>
      </c>
      <c r="S146">
        <f>ROUND(Estimates_on_the_use_of_water__2020__a_3712[[#This Row],[wat_sur_n]],2)</f>
        <v>0.1</v>
      </c>
      <c r="T146" t="s">
        <v>1067</v>
      </c>
      <c r="U146" t="s">
        <v>1068</v>
      </c>
      <c r="V146" t="s">
        <v>1069</v>
      </c>
      <c r="W146" t="s">
        <v>1070</v>
      </c>
      <c r="X146" t="s">
        <v>1071</v>
      </c>
      <c r="Y146" t="s">
        <v>1072</v>
      </c>
      <c r="Z146" t="s">
        <v>1073</v>
      </c>
      <c r="AA146" t="s">
        <v>2</v>
      </c>
      <c r="AB146">
        <f>COUNTA(Estimates_on_the_use_of_water__2020__a_3712[[#This Row],[name]:[wat_sur_u]])</f>
        <v>27</v>
      </c>
      <c r="AC146">
        <f>COUNT(Estimates_on_the_use_of_water__2020__a_3712[[#This Row],[name]:[wat_sur_u]])</f>
        <v>13</v>
      </c>
    </row>
    <row r="147" spans="1:29" x14ac:dyDescent="0.25">
      <c r="A147" t="s">
        <v>1074</v>
      </c>
      <c r="B147" t="s">
        <v>29</v>
      </c>
      <c r="C147">
        <v>17134.873049999998</v>
      </c>
      <c r="D147" s="3">
        <f>Estimates_on_the_use_of_water__2020__a_3712[[#This Row],[pop_n]]*1000</f>
        <v>17134873.049999997</v>
      </c>
      <c r="E147" s="15">
        <f>Estimates_on_the_use_of_water__2020__a_3712[[#This Row],[pop_n]]/1000</f>
        <v>17.134873049999999</v>
      </c>
      <c r="F147" s="15">
        <f>Estimates_on_the_use_of_water__2020__a_3712[[#This Row],[pop_n (m)]]*1000000</f>
        <v>17134873.050000001</v>
      </c>
      <c r="G147" s="14">
        <f>ROUND(Estimates_on_the_use_of_water__2020__a_3712[[#This Row],[pop_n (m)]],3)</f>
        <v>17.135000000000002</v>
      </c>
      <c r="H147" s="14">
        <f>ROUNDUP(Estimates_on_the_use_of_water__2020__a_3712[[#This Row],[pop_n (m)]],3)</f>
        <v>17.135000000000002</v>
      </c>
      <c r="I147" s="9" t="s">
        <v>1075</v>
      </c>
      <c r="J147" s="1">
        <v>0.9223600005999999</v>
      </c>
      <c r="K147" s="2">
        <v>15804521.51667892</v>
      </c>
      <c r="L147" s="1">
        <v>15804.52151667892</v>
      </c>
      <c r="M147" s="2">
        <v>7.763999940000005</v>
      </c>
      <c r="N147" s="18" t="s">
        <v>1076</v>
      </c>
      <c r="O147" s="19">
        <v>0</v>
      </c>
      <c r="P147" s="20" t="s">
        <v>1077</v>
      </c>
      <c r="Q147" s="20">
        <f>ROUND(Estimates_on_the_use_of_water__2020__a_3712[[#This Row],[wat_unimp_n]],2)</f>
        <v>0</v>
      </c>
      <c r="R147" s="20" t="s">
        <v>2</v>
      </c>
      <c r="S147">
        <f>ROUND(Estimates_on_the_use_of_water__2020__a_3712[[#This Row],[wat_sur_n]],2)</f>
        <v>0</v>
      </c>
      <c r="T147" t="s">
        <v>15</v>
      </c>
      <c r="U147" t="s">
        <v>2</v>
      </c>
      <c r="V147" t="s">
        <v>2</v>
      </c>
      <c r="W147" t="s">
        <v>2</v>
      </c>
      <c r="X147" t="s">
        <v>15</v>
      </c>
      <c r="Y147" t="s">
        <v>2</v>
      </c>
      <c r="Z147" t="s">
        <v>2</v>
      </c>
      <c r="AA147" t="s">
        <v>2</v>
      </c>
      <c r="AB147">
        <f>COUNTA(Estimates_on_the_use_of_water__2020__a_3712[[#This Row],[name]:[wat_sur_u]])</f>
        <v>27</v>
      </c>
      <c r="AC147">
        <f>COUNT(Estimates_on_the_use_of_water__2020__a_3712[[#This Row],[name]:[wat_sur_u]])</f>
        <v>13</v>
      </c>
    </row>
    <row r="148" spans="1:29" x14ac:dyDescent="0.25">
      <c r="A148" t="s">
        <v>1078</v>
      </c>
      <c r="B148" t="s">
        <v>375</v>
      </c>
      <c r="C148">
        <v>17500.65625</v>
      </c>
      <c r="D148" s="3">
        <f>Estimates_on_the_use_of_water__2020__a_3712[[#This Row],[pop_n]]*1000</f>
        <v>17500656.25</v>
      </c>
      <c r="E148" s="15">
        <f>Estimates_on_the_use_of_water__2020__a_3712[[#This Row],[pop_n]]/1000</f>
        <v>17.500656249999999</v>
      </c>
      <c r="F148" s="15">
        <f>Estimates_on_the_use_of_water__2020__a_3712[[#This Row],[pop_n (m)]]*1000000</f>
        <v>17500656.25</v>
      </c>
      <c r="G148" s="14">
        <f>ROUND(Estimates_on_the_use_of_water__2020__a_3712[[#This Row],[pop_n (m)]],3)</f>
        <v>17.501000000000001</v>
      </c>
      <c r="H148" s="14">
        <f>ROUNDUP(Estimates_on_the_use_of_water__2020__a_3712[[#This Row],[pop_n (m)]],3)</f>
        <v>17.501000000000001</v>
      </c>
      <c r="I148" s="9" t="s">
        <v>1079</v>
      </c>
      <c r="J148" s="1">
        <v>0.55475002289999997</v>
      </c>
      <c r="K148" s="2">
        <v>9708489.4554525279</v>
      </c>
      <c r="L148" s="1">
        <v>9708.4894554525272</v>
      </c>
      <c r="M148" s="2">
        <v>44.524997710000001</v>
      </c>
      <c r="N148" s="18" t="s">
        <v>1080</v>
      </c>
      <c r="O148" s="19">
        <v>5.87</v>
      </c>
      <c r="P148" s="20" t="s">
        <v>1081</v>
      </c>
      <c r="Q148" s="20">
        <f>ROUND(Estimates_on_the_use_of_water__2020__a_3712[[#This Row],[wat_unimp_n]],2)</f>
        <v>0.2</v>
      </c>
      <c r="R148" s="20" t="s">
        <v>2</v>
      </c>
      <c r="S148">
        <f>ROUND(Estimates_on_the_use_of_water__2020__a_3712[[#This Row],[wat_sur_n]],2)</f>
        <v>0</v>
      </c>
      <c r="T148" t="s">
        <v>1082</v>
      </c>
      <c r="U148" t="s">
        <v>1083</v>
      </c>
      <c r="V148" t="s">
        <v>2</v>
      </c>
      <c r="W148" t="s">
        <v>2</v>
      </c>
      <c r="X148" t="s">
        <v>1084</v>
      </c>
      <c r="Y148" t="s">
        <v>1085</v>
      </c>
      <c r="Z148" t="s">
        <v>1086</v>
      </c>
      <c r="AA148" t="s">
        <v>2</v>
      </c>
      <c r="AB148">
        <f>COUNTA(Estimates_on_the_use_of_water__2020__a_3712[[#This Row],[name]:[wat_sur_u]])</f>
        <v>27</v>
      </c>
      <c r="AC148">
        <f>COUNT(Estimates_on_the_use_of_water__2020__a_3712[[#This Row],[name]:[wat_sur_u]])</f>
        <v>13</v>
      </c>
    </row>
    <row r="149" spans="1:29" x14ac:dyDescent="0.25">
      <c r="A149" t="s">
        <v>1087</v>
      </c>
      <c r="B149" t="s">
        <v>34</v>
      </c>
      <c r="C149">
        <v>17643.060549999998</v>
      </c>
      <c r="D149" s="3">
        <f>Estimates_on_the_use_of_water__2020__a_3712[[#This Row],[pop_n]]*1000</f>
        <v>17643060.549999997</v>
      </c>
      <c r="E149" s="15">
        <f>Estimates_on_the_use_of_water__2020__a_3712[[#This Row],[pop_n]]/1000</f>
        <v>17.643060549999998</v>
      </c>
      <c r="F149" s="15">
        <f>Estimates_on_the_use_of_water__2020__a_3712[[#This Row],[pop_n (m)]]*1000000</f>
        <v>17643060.549999997</v>
      </c>
      <c r="G149" s="14">
        <f>ROUND(Estimates_on_the_use_of_water__2020__a_3712[[#This Row],[pop_n (m)]],3)</f>
        <v>17.643000000000001</v>
      </c>
      <c r="H149" s="14">
        <f>ROUNDUP(Estimates_on_the_use_of_water__2020__a_3712[[#This Row],[pop_n (m)]],3)</f>
        <v>17.644000000000002</v>
      </c>
      <c r="I149" s="9" t="s">
        <v>1088</v>
      </c>
      <c r="J149" s="1">
        <v>0.64166000370000009</v>
      </c>
      <c r="K149" s="2">
        <v>11320846.297792323</v>
      </c>
      <c r="L149" s="1">
        <v>11320.846297792325</v>
      </c>
      <c r="M149" s="2">
        <v>35.833999629999994</v>
      </c>
      <c r="N149" s="18" t="s">
        <v>1089</v>
      </c>
      <c r="O149" s="19">
        <v>0</v>
      </c>
      <c r="P149" s="20" t="s">
        <v>1090</v>
      </c>
      <c r="Q149" s="20">
        <f>ROUND(Estimates_on_the_use_of_water__2020__a_3712[[#This Row],[wat_unimp_n]],2)</f>
        <v>2.6</v>
      </c>
      <c r="R149" s="20" t="s">
        <v>1091</v>
      </c>
      <c r="S149">
        <f>ROUND(Estimates_on_the_use_of_water__2020__a_3712[[#This Row],[wat_sur_n]],2)</f>
        <v>2.0299999999999998</v>
      </c>
      <c r="T149" t="s">
        <v>1092</v>
      </c>
      <c r="U149" t="s">
        <v>1093</v>
      </c>
      <c r="V149" t="s">
        <v>1094</v>
      </c>
      <c r="W149" t="s">
        <v>1095</v>
      </c>
      <c r="X149" t="s">
        <v>15</v>
      </c>
      <c r="Y149" t="s">
        <v>2</v>
      </c>
      <c r="Z149" t="s">
        <v>2</v>
      </c>
      <c r="AA149" t="s">
        <v>2</v>
      </c>
      <c r="AB149">
        <f>COUNTA(Estimates_on_the_use_of_water__2020__a_3712[[#This Row],[name]:[wat_sur_u]])</f>
        <v>27</v>
      </c>
      <c r="AC149">
        <f>COUNT(Estimates_on_the_use_of_water__2020__a_3712[[#This Row],[name]:[wat_sur_u]])</f>
        <v>13</v>
      </c>
    </row>
    <row r="150" spans="1:29" x14ac:dyDescent="0.25">
      <c r="A150" t="s">
        <v>1096</v>
      </c>
      <c r="B150" t="s">
        <v>34</v>
      </c>
      <c r="C150">
        <v>17915.566409999999</v>
      </c>
      <c r="D150" s="3">
        <f>Estimates_on_the_use_of_water__2020__a_3712[[#This Row],[pop_n]]*1000</f>
        <v>17915566.41</v>
      </c>
      <c r="E150" s="15">
        <f>Estimates_on_the_use_of_water__2020__a_3712[[#This Row],[pop_n]]/1000</f>
        <v>17.91556641</v>
      </c>
      <c r="F150" s="15">
        <f>Estimates_on_the_use_of_water__2020__a_3712[[#This Row],[pop_n (m)]]*1000000</f>
        <v>17915566.41</v>
      </c>
      <c r="G150" s="14">
        <f>ROUND(Estimates_on_the_use_of_water__2020__a_3712[[#This Row],[pop_n (m)]],3)</f>
        <v>17.916</v>
      </c>
      <c r="H150" s="14">
        <f>ROUNDUP(Estimates_on_the_use_of_water__2020__a_3712[[#This Row],[pop_n (m)]],3)</f>
        <v>17.916</v>
      </c>
      <c r="I150" s="9" t="s">
        <v>1097</v>
      </c>
      <c r="J150" s="1">
        <v>0.51835998539999995</v>
      </c>
      <c r="K150" s="2">
        <v>9286712.7427203301</v>
      </c>
      <c r="L150" s="1">
        <v>9286.7127427203286</v>
      </c>
      <c r="M150" s="2">
        <v>48.164001460000001</v>
      </c>
      <c r="N150" s="18" t="s">
        <v>1098</v>
      </c>
      <c r="O150" s="19">
        <v>1.03</v>
      </c>
      <c r="P150" s="20" t="s">
        <v>1099</v>
      </c>
      <c r="Q150" s="20">
        <f>ROUND(Estimates_on_the_use_of_water__2020__a_3712[[#This Row],[wat_unimp_n]],2)</f>
        <v>3.22</v>
      </c>
      <c r="R150" s="20" t="s">
        <v>1100</v>
      </c>
      <c r="S150">
        <f>ROUND(Estimates_on_the_use_of_water__2020__a_3712[[#This Row],[wat_sur_n]],2)</f>
        <v>1.74</v>
      </c>
      <c r="T150" t="s">
        <v>1101</v>
      </c>
      <c r="U150" t="s">
        <v>1102</v>
      </c>
      <c r="V150" t="s">
        <v>1103</v>
      </c>
      <c r="W150" t="s">
        <v>1104</v>
      </c>
      <c r="X150" t="s">
        <v>1105</v>
      </c>
      <c r="Y150" t="s">
        <v>1106</v>
      </c>
      <c r="Z150" t="s">
        <v>1107</v>
      </c>
      <c r="AA150" t="s">
        <v>1108</v>
      </c>
      <c r="AB150">
        <f>COUNTA(Estimates_on_the_use_of_water__2020__a_3712[[#This Row],[name]:[wat_sur_u]])</f>
        <v>27</v>
      </c>
      <c r="AC150">
        <f>COUNT(Estimates_on_the_use_of_water__2020__a_3712[[#This Row],[name]:[wat_sur_u]])</f>
        <v>13</v>
      </c>
    </row>
    <row r="151" spans="1:29" x14ac:dyDescent="0.25">
      <c r="A151" t="s">
        <v>1109</v>
      </c>
      <c r="B151" t="s">
        <v>375</v>
      </c>
      <c r="C151">
        <v>18383.95508</v>
      </c>
      <c r="D151" s="3">
        <f>Estimates_on_the_use_of_water__2020__a_3712[[#This Row],[pop_n]]*1000</f>
        <v>18383955.079999998</v>
      </c>
      <c r="E151" s="15">
        <f>Estimates_on_the_use_of_water__2020__a_3712[[#This Row],[pop_n]]/1000</f>
        <v>18.38395508</v>
      </c>
      <c r="F151" s="15">
        <f>Estimates_on_the_use_of_water__2020__a_3712[[#This Row],[pop_n (m)]]*1000000</f>
        <v>18383955.079999998</v>
      </c>
      <c r="G151" s="14">
        <f>ROUND(Estimates_on_the_use_of_water__2020__a_3712[[#This Row],[pop_n (m)]],3)</f>
        <v>18.384</v>
      </c>
      <c r="H151" s="14">
        <f>ROUNDUP(Estimates_on_the_use_of_water__2020__a_3712[[#This Row],[pop_n (m)]],3)</f>
        <v>18.384</v>
      </c>
      <c r="I151" s="9" t="s">
        <v>1110</v>
      </c>
      <c r="J151" s="1">
        <v>0.44628997800000003</v>
      </c>
      <c r="K151" s="2">
        <v>8204574.9082061881</v>
      </c>
      <c r="L151" s="1">
        <v>8204.5749082061884</v>
      </c>
      <c r="M151" s="2">
        <v>55.3710022</v>
      </c>
      <c r="N151" s="18" t="s">
        <v>1111</v>
      </c>
      <c r="O151" s="19">
        <v>6.15</v>
      </c>
      <c r="P151" s="20" t="s">
        <v>1112</v>
      </c>
      <c r="Q151" s="20">
        <f>ROUND(Estimates_on_the_use_of_water__2020__a_3712[[#This Row],[wat_unimp_n]],2)</f>
        <v>21.58</v>
      </c>
      <c r="R151" s="20" t="s">
        <v>1113</v>
      </c>
      <c r="S151">
        <f>ROUND(Estimates_on_the_use_of_water__2020__a_3712[[#This Row],[wat_sur_n]],2)</f>
        <v>6.86</v>
      </c>
      <c r="T151" t="s">
        <v>1114</v>
      </c>
      <c r="U151" t="s">
        <v>1115</v>
      </c>
      <c r="V151" t="s">
        <v>1116</v>
      </c>
      <c r="W151" t="s">
        <v>1117</v>
      </c>
      <c r="X151" t="s">
        <v>1118</v>
      </c>
      <c r="Y151" t="s">
        <v>1119</v>
      </c>
      <c r="Z151" t="s">
        <v>1120</v>
      </c>
      <c r="AA151" t="s">
        <v>1121</v>
      </c>
      <c r="AB151">
        <f>COUNTA(Estimates_on_the_use_of_water__2020__a_3712[[#This Row],[name]:[wat_sur_u]])</f>
        <v>27</v>
      </c>
      <c r="AC151">
        <f>COUNT(Estimates_on_the_use_of_water__2020__a_3712[[#This Row],[name]:[wat_sur_u]])</f>
        <v>13</v>
      </c>
    </row>
    <row r="152" spans="1:29" x14ac:dyDescent="0.25">
      <c r="A152" t="s">
        <v>1122</v>
      </c>
      <c r="B152" t="s">
        <v>34</v>
      </c>
      <c r="C152">
        <v>18776.707030000001</v>
      </c>
      <c r="D152" s="3">
        <f>Estimates_on_the_use_of_water__2020__a_3712[[#This Row],[pop_n]]*1000</f>
        <v>18776707.030000001</v>
      </c>
      <c r="E152" s="15">
        <f>Estimates_on_the_use_of_water__2020__a_3712[[#This Row],[pop_n]]/1000</f>
        <v>18.776707030000001</v>
      </c>
      <c r="F152" s="15">
        <f>Estimates_on_the_use_of_water__2020__a_3712[[#This Row],[pop_n (m)]]*1000000</f>
        <v>18776707.030000001</v>
      </c>
      <c r="G152" s="14">
        <f>ROUND(Estimates_on_the_use_of_water__2020__a_3712[[#This Row],[pop_n (m)]],3)</f>
        <v>18.777000000000001</v>
      </c>
      <c r="H152" s="14">
        <f>ROUNDUP(Estimates_on_the_use_of_water__2020__a_3712[[#This Row],[pop_n (m)]],3)</f>
        <v>18.777000000000001</v>
      </c>
      <c r="I152" s="9" t="s">
        <v>1123</v>
      </c>
      <c r="J152" s="1">
        <v>0.57671001430000002</v>
      </c>
      <c r="K152" s="2">
        <v>10828714.979778212</v>
      </c>
      <c r="L152" s="1">
        <v>10828.714979778211</v>
      </c>
      <c r="M152" s="2">
        <v>42.328998570000003</v>
      </c>
      <c r="N152" s="18" t="s">
        <v>1124</v>
      </c>
      <c r="O152" s="19">
        <v>1.94</v>
      </c>
      <c r="P152" s="20" t="s">
        <v>1125</v>
      </c>
      <c r="Q152" s="20">
        <f>ROUND(Estimates_on_the_use_of_water__2020__a_3712[[#This Row],[wat_unimp_n]],2)</f>
        <v>2.5499999999999998</v>
      </c>
      <c r="R152" s="20" t="s">
        <v>1126</v>
      </c>
      <c r="S152">
        <f>ROUND(Estimates_on_the_use_of_water__2020__a_3712[[#This Row],[wat_sur_n]],2)</f>
        <v>0.08</v>
      </c>
      <c r="T152" t="s">
        <v>1127</v>
      </c>
      <c r="U152" t="s">
        <v>1128</v>
      </c>
      <c r="V152" t="s">
        <v>1129</v>
      </c>
      <c r="W152" t="s">
        <v>1130</v>
      </c>
      <c r="X152" t="s">
        <v>1131</v>
      </c>
      <c r="Y152" t="s">
        <v>1132</v>
      </c>
      <c r="Z152" t="s">
        <v>2</v>
      </c>
      <c r="AA152" t="s">
        <v>2</v>
      </c>
      <c r="AB152">
        <f>COUNTA(Estimates_on_the_use_of_water__2020__a_3712[[#This Row],[name]:[wat_sur_u]])</f>
        <v>27</v>
      </c>
      <c r="AC152">
        <f>COUNT(Estimates_on_the_use_of_water__2020__a_3712[[#This Row],[name]:[wat_sur_u]])</f>
        <v>13</v>
      </c>
    </row>
    <row r="153" spans="1:29" x14ac:dyDescent="0.25">
      <c r="A153" t="s">
        <v>1133</v>
      </c>
      <c r="B153" t="s">
        <v>29</v>
      </c>
      <c r="C153">
        <v>19116.208979999999</v>
      </c>
      <c r="D153" s="3">
        <f>Estimates_on_the_use_of_water__2020__a_3712[[#This Row],[pop_n]]*1000</f>
        <v>19116208.98</v>
      </c>
      <c r="E153" s="15">
        <f>Estimates_on_the_use_of_water__2020__a_3712[[#This Row],[pop_n]]/1000</f>
        <v>19.11620898</v>
      </c>
      <c r="F153" s="15">
        <f>Estimates_on_the_use_of_water__2020__a_3712[[#This Row],[pop_n (m)]]*1000000</f>
        <v>19116208.98</v>
      </c>
      <c r="G153" s="14">
        <f>ROUND(Estimates_on_the_use_of_water__2020__a_3712[[#This Row],[pop_n (m)]],3)</f>
        <v>19.116</v>
      </c>
      <c r="H153" s="14">
        <f>ROUNDUP(Estimates_on_the_use_of_water__2020__a_3712[[#This Row],[pop_n (m)]],3)</f>
        <v>19.117000000000001</v>
      </c>
      <c r="I153" s="9" t="s">
        <v>1134</v>
      </c>
      <c r="J153" s="1">
        <v>0.87726997380000005</v>
      </c>
      <c r="K153" s="2">
        <v>16770076.151039926</v>
      </c>
      <c r="L153" s="1">
        <v>16770.076151039924</v>
      </c>
      <c r="M153" s="2">
        <v>12.27300262</v>
      </c>
      <c r="N153" s="18" t="s">
        <v>1135</v>
      </c>
      <c r="O153" s="19">
        <v>0</v>
      </c>
      <c r="P153" s="20" t="s">
        <v>1136</v>
      </c>
      <c r="Q153" s="20">
        <f>ROUND(Estimates_on_the_use_of_water__2020__a_3712[[#This Row],[wat_unimp_n]],2)</f>
        <v>0</v>
      </c>
      <c r="R153" s="20" t="s">
        <v>2</v>
      </c>
      <c r="S153">
        <f>ROUND(Estimates_on_the_use_of_water__2020__a_3712[[#This Row],[wat_sur_n]],2)</f>
        <v>0</v>
      </c>
      <c r="T153" t="s">
        <v>15</v>
      </c>
      <c r="U153" t="s">
        <v>2</v>
      </c>
      <c r="V153" t="s">
        <v>2</v>
      </c>
      <c r="W153" t="s">
        <v>2</v>
      </c>
      <c r="X153" t="s">
        <v>15</v>
      </c>
      <c r="Y153" t="s">
        <v>2</v>
      </c>
      <c r="Z153" t="s">
        <v>2</v>
      </c>
      <c r="AA153" t="s">
        <v>2</v>
      </c>
      <c r="AB153">
        <f>COUNTA(Estimates_on_the_use_of_water__2020__a_3712[[#This Row],[name]:[wat_sur_u]])</f>
        <v>27</v>
      </c>
      <c r="AC153">
        <f>COUNT(Estimates_on_the_use_of_water__2020__a_3712[[#This Row],[name]:[wat_sur_u]])</f>
        <v>13</v>
      </c>
    </row>
    <row r="154" spans="1:29" x14ac:dyDescent="0.25">
      <c r="A154" t="s">
        <v>1137</v>
      </c>
      <c r="B154" t="s">
        <v>375</v>
      </c>
      <c r="C154">
        <v>19129.95508</v>
      </c>
      <c r="D154" s="3">
        <f>Estimates_on_the_use_of_water__2020__a_3712[[#This Row],[pop_n]]*1000</f>
        <v>19129955.079999998</v>
      </c>
      <c r="E154" s="15">
        <f>Estimates_on_the_use_of_water__2020__a_3712[[#This Row],[pop_n]]/1000</f>
        <v>19.129955079999998</v>
      </c>
      <c r="F154" s="15">
        <f>Estimates_on_the_use_of_water__2020__a_3712[[#This Row],[pop_n (m)]]*1000000</f>
        <v>19129955.079999998</v>
      </c>
      <c r="G154" s="14">
        <f>ROUND(Estimates_on_the_use_of_water__2020__a_3712[[#This Row],[pop_n (m)]],3)</f>
        <v>19.13</v>
      </c>
      <c r="H154" s="14">
        <f>ROUNDUP(Estimates_on_the_use_of_water__2020__a_3712[[#This Row],[pop_n (m)]],3)</f>
        <v>19.130000000000003</v>
      </c>
      <c r="I154" s="9" t="s">
        <v>1138</v>
      </c>
      <c r="J154" s="1">
        <v>0.17427000049999999</v>
      </c>
      <c r="K154" s="2">
        <v>3333777.2813565773</v>
      </c>
      <c r="L154" s="1">
        <v>3333.7772813565775</v>
      </c>
      <c r="M154" s="2">
        <v>82.572999949999996</v>
      </c>
      <c r="N154" s="18" t="s">
        <v>1139</v>
      </c>
      <c r="O154" s="19">
        <v>21.95</v>
      </c>
      <c r="P154" s="20" t="s">
        <v>1140</v>
      </c>
      <c r="Q154" s="20">
        <f>ROUND(Estimates_on_the_use_of_water__2020__a_3712[[#This Row],[wat_unimp_n]],2)</f>
        <v>5.78</v>
      </c>
      <c r="R154" s="20" t="s">
        <v>1141</v>
      </c>
      <c r="S154">
        <f>ROUND(Estimates_on_the_use_of_water__2020__a_3712[[#This Row],[wat_sur_n]],2)</f>
        <v>2.23</v>
      </c>
      <c r="T154" t="s">
        <v>1142</v>
      </c>
      <c r="U154" t="s">
        <v>1143</v>
      </c>
      <c r="V154" t="s">
        <v>1144</v>
      </c>
      <c r="W154" t="s">
        <v>1145</v>
      </c>
      <c r="X154" t="s">
        <v>1146</v>
      </c>
      <c r="Y154" t="s">
        <v>1147</v>
      </c>
      <c r="Z154" t="s">
        <v>1148</v>
      </c>
      <c r="AA154" t="s">
        <v>1149</v>
      </c>
      <c r="AB154">
        <f>COUNTA(Estimates_on_the_use_of_water__2020__a_3712[[#This Row],[name]:[wat_sur_u]])</f>
        <v>27</v>
      </c>
      <c r="AC154">
        <f>COUNT(Estimates_on_the_use_of_water__2020__a_3712[[#This Row],[name]:[wat_sur_u]])</f>
        <v>13</v>
      </c>
    </row>
    <row r="155" spans="1:29" x14ac:dyDescent="0.25">
      <c r="A155" t="s">
        <v>1150</v>
      </c>
      <c r="B155" t="s">
        <v>29</v>
      </c>
      <c r="C155">
        <v>19237.681639999999</v>
      </c>
      <c r="D155" s="3">
        <f>Estimates_on_the_use_of_water__2020__a_3712[[#This Row],[pop_n]]*1000</f>
        <v>19237681.640000001</v>
      </c>
      <c r="E155" s="15">
        <f>Estimates_on_the_use_of_water__2020__a_3712[[#This Row],[pop_n]]/1000</f>
        <v>19.237681639999998</v>
      </c>
      <c r="F155" s="15">
        <f>Estimates_on_the_use_of_water__2020__a_3712[[#This Row],[pop_n (m)]]*1000000</f>
        <v>19237681.639999997</v>
      </c>
      <c r="G155" s="14">
        <f>ROUND(Estimates_on_the_use_of_water__2020__a_3712[[#This Row],[pop_n (m)]],3)</f>
        <v>19.238</v>
      </c>
      <c r="H155" s="14">
        <f>ROUNDUP(Estimates_on_the_use_of_water__2020__a_3712[[#This Row],[pop_n (m)]],3)</f>
        <v>19.238</v>
      </c>
      <c r="I155" s="9" t="s">
        <v>1151</v>
      </c>
      <c r="J155" s="1">
        <v>0.54194000240000006</v>
      </c>
      <c r="K155" s="2">
        <v>10425669.234152038</v>
      </c>
      <c r="L155" s="1">
        <v>10425.669234152037</v>
      </c>
      <c r="M155" s="2">
        <v>45.805999759999999</v>
      </c>
      <c r="N155" s="18" t="s">
        <v>15</v>
      </c>
      <c r="O155" s="19">
        <v>0</v>
      </c>
      <c r="P155" s="20" t="s">
        <v>2</v>
      </c>
      <c r="Q155" s="20">
        <f>ROUND(Estimates_on_the_use_of_water__2020__a_3712[[#This Row],[wat_unimp_n]],2)</f>
        <v>0</v>
      </c>
      <c r="R155" s="20" t="s">
        <v>2</v>
      </c>
      <c r="S155">
        <f>ROUND(Estimates_on_the_use_of_water__2020__a_3712[[#This Row],[wat_sur_n]],2)</f>
        <v>0</v>
      </c>
      <c r="T155" t="s">
        <v>15</v>
      </c>
      <c r="U155" t="s">
        <v>2</v>
      </c>
      <c r="V155" t="s">
        <v>2</v>
      </c>
      <c r="W155" t="s">
        <v>2</v>
      </c>
      <c r="X155" t="s">
        <v>15</v>
      </c>
      <c r="Y155" t="s">
        <v>2</v>
      </c>
      <c r="Z155" t="s">
        <v>2</v>
      </c>
      <c r="AA155" t="s">
        <v>2</v>
      </c>
      <c r="AB155">
        <f>COUNTA(Estimates_on_the_use_of_water__2020__a_3712[[#This Row],[name]:[wat_sur_u]])</f>
        <v>27</v>
      </c>
      <c r="AC155">
        <f>COUNT(Estimates_on_the_use_of_water__2020__a_3712[[#This Row],[name]:[wat_sur_u]])</f>
        <v>13</v>
      </c>
    </row>
    <row r="156" spans="1:29" x14ac:dyDescent="0.25">
      <c r="A156" t="s">
        <v>1152</v>
      </c>
      <c r="B156" t="s">
        <v>375</v>
      </c>
      <c r="C156">
        <v>20250.833979999999</v>
      </c>
      <c r="D156" s="3">
        <f>Estimates_on_the_use_of_water__2020__a_3712[[#This Row],[pop_n]]*1000</f>
        <v>20250833.98</v>
      </c>
      <c r="E156" s="15">
        <f>Estimates_on_the_use_of_water__2020__a_3712[[#This Row],[pop_n]]/1000</f>
        <v>20.250833979999999</v>
      </c>
      <c r="F156" s="15">
        <f>Estimates_on_the_use_of_water__2020__a_3712[[#This Row],[pop_n (m)]]*1000000</f>
        <v>20250833.98</v>
      </c>
      <c r="G156" s="14">
        <f>ROUND(Estimates_on_the_use_of_water__2020__a_3712[[#This Row],[pop_n (m)]],3)</f>
        <v>20.251000000000001</v>
      </c>
      <c r="H156" s="14">
        <f>ROUNDUP(Estimates_on_the_use_of_water__2020__a_3712[[#This Row],[pop_n (m)]],3)</f>
        <v>20.251000000000001</v>
      </c>
      <c r="I156" s="9" t="s">
        <v>1153</v>
      </c>
      <c r="J156" s="1">
        <v>0.43909004209999997</v>
      </c>
      <c r="K156" s="2">
        <v>8891939.5448383093</v>
      </c>
      <c r="L156" s="1">
        <v>8891.9395448383093</v>
      </c>
      <c r="M156" s="2">
        <v>56.090995790000001</v>
      </c>
      <c r="N156" s="18" t="s">
        <v>1154</v>
      </c>
      <c r="O156" s="19">
        <v>3.85</v>
      </c>
      <c r="P156" s="20" t="s">
        <v>1155</v>
      </c>
      <c r="Q156" s="20">
        <f>ROUND(Estimates_on_the_use_of_water__2020__a_3712[[#This Row],[wat_unimp_n]],2)</f>
        <v>12.25</v>
      </c>
      <c r="R156" s="20" t="s">
        <v>1156</v>
      </c>
      <c r="S156">
        <f>ROUND(Estimates_on_the_use_of_water__2020__a_3712[[#This Row],[wat_sur_n]],2)</f>
        <v>1.35</v>
      </c>
      <c r="T156" t="s">
        <v>1157</v>
      </c>
      <c r="U156" t="s">
        <v>1158</v>
      </c>
      <c r="V156" t="s">
        <v>1159</v>
      </c>
      <c r="W156" t="s">
        <v>1160</v>
      </c>
      <c r="X156" t="s">
        <v>1161</v>
      </c>
      <c r="Y156" t="s">
        <v>1162</v>
      </c>
      <c r="Z156" t="s">
        <v>1163</v>
      </c>
      <c r="AA156" t="s">
        <v>2</v>
      </c>
      <c r="AB156">
        <f>COUNTA(Estimates_on_the_use_of_water__2020__a_3712[[#This Row],[name]:[wat_sur_u]])</f>
        <v>27</v>
      </c>
      <c r="AC156">
        <f>COUNT(Estimates_on_the_use_of_water__2020__a_3712[[#This Row],[name]:[wat_sur_u]])</f>
        <v>13</v>
      </c>
    </row>
    <row r="157" spans="1:29" x14ac:dyDescent="0.25">
      <c r="A157" t="s">
        <v>1164</v>
      </c>
      <c r="B157" t="s">
        <v>375</v>
      </c>
      <c r="C157">
        <v>20903.277340000001</v>
      </c>
      <c r="D157" s="3">
        <f>Estimates_on_the_use_of_water__2020__a_3712[[#This Row],[pop_n]]*1000</f>
        <v>20903277.34</v>
      </c>
      <c r="E157" s="15">
        <f>Estimates_on_the_use_of_water__2020__a_3712[[#This Row],[pop_n]]/1000</f>
        <v>20.903277339999999</v>
      </c>
      <c r="F157" s="15">
        <f>Estimates_on_the_use_of_water__2020__a_3712[[#This Row],[pop_n (m)]]*1000000</f>
        <v>20903277.34</v>
      </c>
      <c r="G157" s="14">
        <f>ROUND(Estimates_on_the_use_of_water__2020__a_3712[[#This Row],[pop_n (m)]],3)</f>
        <v>20.902999999999999</v>
      </c>
      <c r="H157" s="14">
        <f>ROUNDUP(Estimates_on_the_use_of_water__2020__a_3712[[#This Row],[pop_n (m)]],3)</f>
        <v>20.904</v>
      </c>
      <c r="I157" s="9" t="s">
        <v>1165</v>
      </c>
      <c r="J157" s="1">
        <v>0.30607000350000002</v>
      </c>
      <c r="K157" s="2">
        <v>6397866.1686152713</v>
      </c>
      <c r="L157" s="1">
        <v>6397.8661686152709</v>
      </c>
      <c r="M157" s="2">
        <v>69.392999650000007</v>
      </c>
      <c r="N157" s="18" t="s">
        <v>1166</v>
      </c>
      <c r="O157" s="19">
        <v>31.27</v>
      </c>
      <c r="P157" s="20" t="s">
        <v>1167</v>
      </c>
      <c r="Q157" s="20">
        <f>ROUND(Estimates_on_the_use_of_water__2020__a_3712[[#This Row],[wat_unimp_n]],2)</f>
        <v>21.16</v>
      </c>
      <c r="R157" s="20" t="s">
        <v>1168</v>
      </c>
      <c r="S157">
        <f>ROUND(Estimates_on_the_use_of_water__2020__a_3712[[#This Row],[wat_sur_n]],2)</f>
        <v>0.35</v>
      </c>
      <c r="T157" t="s">
        <v>1169</v>
      </c>
      <c r="U157" t="s">
        <v>1170</v>
      </c>
      <c r="V157" t="s">
        <v>1171</v>
      </c>
      <c r="W157" t="s">
        <v>1172</v>
      </c>
      <c r="X157" t="s">
        <v>1173</v>
      </c>
      <c r="Y157" t="s">
        <v>1174</v>
      </c>
      <c r="Z157" t="s">
        <v>1175</v>
      </c>
      <c r="AA157" t="s">
        <v>1176</v>
      </c>
      <c r="AB157">
        <f>COUNTA(Estimates_on_the_use_of_water__2020__a_3712[[#This Row],[name]:[wat_sur_u]])</f>
        <v>27</v>
      </c>
      <c r="AC157">
        <f>COUNT(Estimates_on_the_use_of_water__2020__a_3712[[#This Row],[name]:[wat_sur_u]])</f>
        <v>13</v>
      </c>
    </row>
    <row r="158" spans="1:29" x14ac:dyDescent="0.25">
      <c r="A158" t="s">
        <v>1177</v>
      </c>
      <c r="B158" t="s">
        <v>106</v>
      </c>
      <c r="C158">
        <v>21413.25</v>
      </c>
      <c r="D158" s="3">
        <f>Estimates_on_the_use_of_water__2020__a_3712[[#This Row],[pop_n]]*1000</f>
        <v>21413250</v>
      </c>
      <c r="E158" s="15">
        <f>Estimates_on_the_use_of_water__2020__a_3712[[#This Row],[pop_n]]/1000</f>
        <v>21.413250000000001</v>
      </c>
      <c r="F158" s="15">
        <f>Estimates_on_the_use_of_water__2020__a_3712[[#This Row],[pop_n (m)]]*1000000</f>
        <v>21413250</v>
      </c>
      <c r="G158" s="14">
        <f>ROUND(Estimates_on_the_use_of_water__2020__a_3712[[#This Row],[pop_n (m)]],3)</f>
        <v>21.413</v>
      </c>
      <c r="H158" s="14">
        <f>ROUNDUP(Estimates_on_the_use_of_water__2020__a_3712[[#This Row],[pop_n (m)]],3)</f>
        <v>21.414000000000001</v>
      </c>
      <c r="I158" s="9" t="s">
        <v>1178</v>
      </c>
      <c r="J158" s="1">
        <v>0.1871299934</v>
      </c>
      <c r="K158" s="2">
        <v>4007061.3311725501</v>
      </c>
      <c r="L158" s="1">
        <v>4007.0613311725501</v>
      </c>
      <c r="M158" s="2">
        <v>81.287000660000004</v>
      </c>
      <c r="N158" s="18" t="s">
        <v>1179</v>
      </c>
      <c r="O158" s="19">
        <v>0.6</v>
      </c>
      <c r="P158" s="20" t="s">
        <v>1180</v>
      </c>
      <c r="Q158" s="20">
        <f>ROUND(Estimates_on_the_use_of_water__2020__a_3712[[#This Row],[wat_unimp_n]],2)</f>
        <v>5.35</v>
      </c>
      <c r="R158" s="20" t="s">
        <v>1181</v>
      </c>
      <c r="S158">
        <f>ROUND(Estimates_on_the_use_of_water__2020__a_3712[[#This Row],[wat_sur_n]],2)</f>
        <v>1.83</v>
      </c>
      <c r="T158" t="s">
        <v>1182</v>
      </c>
      <c r="U158" t="s">
        <v>1183</v>
      </c>
      <c r="V158" t="s">
        <v>1184</v>
      </c>
      <c r="W158" t="s">
        <v>1185</v>
      </c>
      <c r="X158" t="s">
        <v>1186</v>
      </c>
      <c r="Y158" t="s">
        <v>1187</v>
      </c>
      <c r="Z158" t="s">
        <v>1188</v>
      </c>
      <c r="AA158" t="s">
        <v>2</v>
      </c>
      <c r="AB158">
        <f>COUNTA(Estimates_on_the_use_of_water__2020__a_3712[[#This Row],[name]:[wat_sur_u]])</f>
        <v>27</v>
      </c>
      <c r="AC158">
        <f>COUNT(Estimates_on_the_use_of_water__2020__a_3712[[#This Row],[name]:[wat_sur_u]])</f>
        <v>13</v>
      </c>
    </row>
    <row r="159" spans="1:29" x14ac:dyDescent="0.25">
      <c r="A159" t="s">
        <v>1189</v>
      </c>
      <c r="B159" t="s">
        <v>375</v>
      </c>
      <c r="C159">
        <v>24206.636719999999</v>
      </c>
      <c r="D159" s="3">
        <f>Estimates_on_the_use_of_water__2020__a_3712[[#This Row],[pop_n]]*1000</f>
        <v>24206636.719999999</v>
      </c>
      <c r="E159" s="15">
        <f>Estimates_on_the_use_of_water__2020__a_3712[[#This Row],[pop_n]]/1000</f>
        <v>24.206636719999999</v>
      </c>
      <c r="F159" s="15">
        <f>Estimates_on_the_use_of_water__2020__a_3712[[#This Row],[pop_n (m)]]*1000000</f>
        <v>24206636.719999999</v>
      </c>
      <c r="G159" s="14">
        <f>ROUND(Estimates_on_the_use_of_water__2020__a_3712[[#This Row],[pop_n (m)]],3)</f>
        <v>24.207000000000001</v>
      </c>
      <c r="H159" s="14">
        <f>ROUNDUP(Estimates_on_the_use_of_water__2020__a_3712[[#This Row],[pop_n (m)]],3)</f>
        <v>24.207000000000001</v>
      </c>
      <c r="I159" s="9" t="s">
        <v>1190</v>
      </c>
      <c r="J159" s="1">
        <v>0.16625999449999998</v>
      </c>
      <c r="K159" s="2">
        <v>4024595.2879306972</v>
      </c>
      <c r="L159" s="1">
        <v>4024.5952879306974</v>
      </c>
      <c r="M159" s="2">
        <v>83.374000550000005</v>
      </c>
      <c r="N159" s="18" t="s">
        <v>1191</v>
      </c>
      <c r="O159" s="19">
        <v>21.65</v>
      </c>
      <c r="P159" s="20" t="s">
        <v>1192</v>
      </c>
      <c r="Q159" s="20">
        <f>ROUND(Estimates_on_the_use_of_water__2020__a_3712[[#This Row],[wat_unimp_n]],2)</f>
        <v>27.03</v>
      </c>
      <c r="R159" s="20" t="s">
        <v>1193</v>
      </c>
      <c r="S159">
        <f>ROUND(Estimates_on_the_use_of_water__2020__a_3712[[#This Row],[wat_sur_n]],2)</f>
        <v>4.41</v>
      </c>
      <c r="T159" t="s">
        <v>1194</v>
      </c>
      <c r="U159" t="s">
        <v>1195</v>
      </c>
      <c r="V159" t="s">
        <v>1196</v>
      </c>
      <c r="W159" t="s">
        <v>1197</v>
      </c>
      <c r="X159" t="s">
        <v>1198</v>
      </c>
      <c r="Y159" t="s">
        <v>1199</v>
      </c>
      <c r="Z159" t="s">
        <v>1200</v>
      </c>
      <c r="AA159" t="s">
        <v>1201</v>
      </c>
      <c r="AB159">
        <f>COUNTA(Estimates_on_the_use_of_water__2020__a_3712[[#This Row],[name]:[wat_sur_u]])</f>
        <v>27</v>
      </c>
      <c r="AC159">
        <f>COUNT(Estimates_on_the_use_of_water__2020__a_3712[[#This Row],[name]:[wat_sur_u]])</f>
        <v>13</v>
      </c>
    </row>
    <row r="160" spans="1:29" x14ac:dyDescent="0.25">
      <c r="A160" t="s">
        <v>1202</v>
      </c>
      <c r="B160" t="s">
        <v>29</v>
      </c>
      <c r="C160">
        <v>25499.880860000001</v>
      </c>
      <c r="D160" s="3">
        <f>Estimates_on_the_use_of_water__2020__a_3712[[#This Row],[pop_n]]*1000</f>
        <v>25499880.859999999</v>
      </c>
      <c r="E160" s="15">
        <f>Estimates_on_the_use_of_water__2020__a_3712[[#This Row],[pop_n]]/1000</f>
        <v>25.499880860000001</v>
      </c>
      <c r="F160" s="15">
        <f>Estimates_on_the_use_of_water__2020__a_3712[[#This Row],[pop_n (m)]]*1000000</f>
        <v>25499880.859999999</v>
      </c>
      <c r="G160" s="14">
        <f>ROUND(Estimates_on_the_use_of_water__2020__a_3712[[#This Row],[pop_n (m)]],3)</f>
        <v>25.5</v>
      </c>
      <c r="H160" s="14">
        <f>ROUNDUP(Estimates_on_the_use_of_water__2020__a_3712[[#This Row],[pop_n (m)]],3)</f>
        <v>25.5</v>
      </c>
      <c r="I160" s="9" t="s">
        <v>1203</v>
      </c>
      <c r="J160" s="1">
        <v>0.8624099731</v>
      </c>
      <c r="K160" s="2">
        <v>21991351.566525806</v>
      </c>
      <c r="L160" s="1">
        <v>21991.351566525806</v>
      </c>
      <c r="M160" s="2">
        <v>13.759002690000003</v>
      </c>
      <c r="N160" s="18" t="s">
        <v>1204</v>
      </c>
      <c r="O160" s="19">
        <v>0</v>
      </c>
      <c r="P160" s="20" t="s">
        <v>1205</v>
      </c>
      <c r="Q160" s="20">
        <f>ROUND(Estimates_on_the_use_of_water__2020__a_3712[[#This Row],[wat_unimp_n]],2)</f>
        <v>0.03</v>
      </c>
      <c r="R160" s="20" t="s">
        <v>2</v>
      </c>
      <c r="S160">
        <f>ROUND(Estimates_on_the_use_of_water__2020__a_3712[[#This Row],[wat_sur_n]],2)</f>
        <v>0</v>
      </c>
      <c r="T160" t="s">
        <v>15</v>
      </c>
      <c r="U160" t="s">
        <v>2</v>
      </c>
      <c r="V160" t="s">
        <v>2</v>
      </c>
      <c r="W160" t="s">
        <v>2</v>
      </c>
      <c r="X160" t="s">
        <v>1206</v>
      </c>
      <c r="Y160" t="s">
        <v>2</v>
      </c>
      <c r="Z160" t="s">
        <v>1207</v>
      </c>
      <c r="AA160" t="s">
        <v>2</v>
      </c>
      <c r="AB160">
        <f>COUNTA(Estimates_on_the_use_of_water__2020__a_3712[[#This Row],[name]:[wat_sur_u]])</f>
        <v>27</v>
      </c>
      <c r="AC160">
        <f>COUNT(Estimates_on_the_use_of_water__2020__a_3712[[#This Row],[name]:[wat_sur_u]])</f>
        <v>13</v>
      </c>
    </row>
    <row r="161" spans="1:29" x14ac:dyDescent="0.25">
      <c r="A161" t="s">
        <v>1208</v>
      </c>
      <c r="B161" t="s">
        <v>375</v>
      </c>
      <c r="C161">
        <v>25778.814450000002</v>
      </c>
      <c r="D161" s="3">
        <f>Estimates_on_the_use_of_water__2020__a_3712[[#This Row],[pop_n]]*1000</f>
        <v>25778814.450000003</v>
      </c>
      <c r="E161" s="15">
        <f>Estimates_on_the_use_of_water__2020__a_3712[[#This Row],[pop_n]]/1000</f>
        <v>25.778814450000002</v>
      </c>
      <c r="F161" s="15">
        <f>Estimates_on_the_use_of_water__2020__a_3712[[#This Row],[pop_n (m)]]*1000000</f>
        <v>25778814.450000003</v>
      </c>
      <c r="G161" s="14">
        <f>ROUND(Estimates_on_the_use_of_water__2020__a_3712[[#This Row],[pop_n (m)]],3)</f>
        <v>25.779</v>
      </c>
      <c r="H161" s="14">
        <f>ROUNDUP(Estimates_on_the_use_of_water__2020__a_3712[[#This Row],[pop_n (m)]],3)</f>
        <v>25.779</v>
      </c>
      <c r="I161" s="9" t="s">
        <v>1209</v>
      </c>
      <c r="J161" s="1">
        <v>0.62381000519999996</v>
      </c>
      <c r="K161" s="2">
        <v>16081082.376104336</v>
      </c>
      <c r="L161" s="1">
        <v>16081.082376104336</v>
      </c>
      <c r="M161" s="2">
        <v>37.618999479999999</v>
      </c>
      <c r="N161" s="18" t="s">
        <v>1210</v>
      </c>
      <c r="O161" s="19">
        <v>0.68</v>
      </c>
      <c r="P161" s="20" t="s">
        <v>1211</v>
      </c>
      <c r="Q161" s="20">
        <f>ROUND(Estimates_on_the_use_of_water__2020__a_3712[[#This Row],[wat_unimp_n]],2)</f>
        <v>5.21</v>
      </c>
      <c r="R161" s="20" t="s">
        <v>1212</v>
      </c>
      <c r="S161">
        <f>ROUND(Estimates_on_the_use_of_water__2020__a_3712[[#This Row],[wat_sur_n]],2)</f>
        <v>0.26</v>
      </c>
      <c r="T161" t="s">
        <v>1213</v>
      </c>
      <c r="U161" t="s">
        <v>1214</v>
      </c>
      <c r="V161" t="s">
        <v>1215</v>
      </c>
      <c r="W161" t="s">
        <v>1216</v>
      </c>
      <c r="X161" t="s">
        <v>1217</v>
      </c>
      <c r="Y161" t="s">
        <v>1218</v>
      </c>
      <c r="Z161" t="s">
        <v>1219</v>
      </c>
      <c r="AA161" t="s">
        <v>2</v>
      </c>
      <c r="AB161">
        <f>COUNTA(Estimates_on_the_use_of_water__2020__a_3712[[#This Row],[name]:[wat_sur_u]])</f>
        <v>27</v>
      </c>
      <c r="AC161">
        <f>COUNT(Estimates_on_the_use_of_water__2020__a_3712[[#This Row],[name]:[wat_sur_u]])</f>
        <v>13</v>
      </c>
    </row>
    <row r="162" spans="1:29" x14ac:dyDescent="0.25">
      <c r="A162" t="s">
        <v>1220</v>
      </c>
      <c r="B162" t="s">
        <v>106</v>
      </c>
      <c r="C162">
        <v>26378.275389999999</v>
      </c>
      <c r="D162" s="3">
        <f>Estimates_on_the_use_of_water__2020__a_3712[[#This Row],[pop_n]]*1000</f>
        <v>26378275.390000001</v>
      </c>
      <c r="E162" s="15">
        <f>Estimates_on_the_use_of_water__2020__a_3712[[#This Row],[pop_n]]/1000</f>
        <v>26.378275389999999</v>
      </c>
      <c r="F162" s="15">
        <f>Estimates_on_the_use_of_water__2020__a_3712[[#This Row],[pop_n (m)]]*1000000</f>
        <v>26378275.390000001</v>
      </c>
      <c r="G162" s="14">
        <f>ROUND(Estimates_on_the_use_of_water__2020__a_3712[[#This Row],[pop_n (m)]],3)</f>
        <v>26.378</v>
      </c>
      <c r="H162" s="14">
        <f>ROUNDUP(Estimates_on_the_use_of_water__2020__a_3712[[#This Row],[pop_n (m)]],3)</f>
        <v>26.379000000000001</v>
      </c>
      <c r="I162" s="9" t="s">
        <v>1221</v>
      </c>
      <c r="J162" s="1">
        <v>0.51705997469999998</v>
      </c>
      <c r="K162" s="2">
        <v>13639150.405783033</v>
      </c>
      <c r="L162" s="1">
        <v>13639.150405783032</v>
      </c>
      <c r="M162" s="2">
        <v>48.29400253</v>
      </c>
      <c r="N162" s="18" t="s">
        <v>1222</v>
      </c>
      <c r="O162" s="19">
        <v>8.94</v>
      </c>
      <c r="P162" s="20" t="s">
        <v>1223</v>
      </c>
      <c r="Q162" s="20">
        <f>ROUND(Estimates_on_the_use_of_water__2020__a_3712[[#This Row],[wat_unimp_n]],2)</f>
        <v>14.19</v>
      </c>
      <c r="R162" s="20" t="s">
        <v>1224</v>
      </c>
      <c r="S162">
        <f>ROUND(Estimates_on_the_use_of_water__2020__a_3712[[#This Row],[wat_sur_n]],2)</f>
        <v>5.96</v>
      </c>
      <c r="T162" t="s">
        <v>1225</v>
      </c>
      <c r="U162" t="s">
        <v>1226</v>
      </c>
      <c r="V162" t="s">
        <v>1227</v>
      </c>
      <c r="W162" t="s">
        <v>1228</v>
      </c>
      <c r="X162" t="s">
        <v>1229</v>
      </c>
      <c r="Y162" t="s">
        <v>1230</v>
      </c>
      <c r="Z162" t="s">
        <v>1231</v>
      </c>
      <c r="AA162" t="s">
        <v>1232</v>
      </c>
      <c r="AB162">
        <f>COUNTA(Estimates_on_the_use_of_water__2020__a_3712[[#This Row],[name]:[wat_sur_u]])</f>
        <v>27</v>
      </c>
      <c r="AC162">
        <f>COUNT(Estimates_on_the_use_of_water__2020__a_3712[[#This Row],[name]:[wat_sur_u]])</f>
        <v>13</v>
      </c>
    </row>
    <row r="163" spans="1:29" x14ac:dyDescent="0.25">
      <c r="A163" t="s">
        <v>1233</v>
      </c>
      <c r="B163" t="s">
        <v>106</v>
      </c>
      <c r="C163">
        <v>26545.863280000001</v>
      </c>
      <c r="D163" s="3">
        <f>Estimates_on_the_use_of_water__2020__a_3712[[#This Row],[pop_n]]*1000</f>
        <v>26545863.280000001</v>
      </c>
      <c r="E163" s="15">
        <f>Estimates_on_the_use_of_water__2020__a_3712[[#This Row],[pop_n]]/1000</f>
        <v>26.545863280000003</v>
      </c>
      <c r="F163" s="15">
        <f>Estimates_on_the_use_of_water__2020__a_3712[[#This Row],[pop_n (m)]]*1000000</f>
        <v>26545863.280000001</v>
      </c>
      <c r="G163" s="14">
        <f>ROUND(Estimates_on_the_use_of_water__2020__a_3712[[#This Row],[pop_n (m)]],3)</f>
        <v>26.545999999999999</v>
      </c>
      <c r="H163" s="14">
        <f>ROUNDUP(Estimates_on_the_use_of_water__2020__a_3712[[#This Row],[pop_n (m)]],3)</f>
        <v>26.546000000000003</v>
      </c>
      <c r="I163" s="9" t="s">
        <v>1234</v>
      </c>
      <c r="J163" s="1">
        <v>0.57560005189999996</v>
      </c>
      <c r="K163" s="2">
        <v>15279800.281698303</v>
      </c>
      <c r="L163" s="1">
        <v>15279.800281698304</v>
      </c>
      <c r="M163" s="2">
        <v>42.439994810000002</v>
      </c>
      <c r="N163" s="18" t="s">
        <v>1235</v>
      </c>
      <c r="O163" s="19">
        <v>12.87</v>
      </c>
      <c r="P163" s="20" t="s">
        <v>1236</v>
      </c>
      <c r="Q163" s="20">
        <f>ROUND(Estimates_on_the_use_of_water__2020__a_3712[[#This Row],[wat_unimp_n]],2)</f>
        <v>15</v>
      </c>
      <c r="R163" s="20" t="s">
        <v>1237</v>
      </c>
      <c r="S163">
        <f>ROUND(Estimates_on_the_use_of_water__2020__a_3712[[#This Row],[wat_sur_n]],2)</f>
        <v>6.4</v>
      </c>
      <c r="T163" t="s">
        <v>1238</v>
      </c>
      <c r="U163" t="s">
        <v>1239</v>
      </c>
      <c r="V163" t="s">
        <v>1240</v>
      </c>
      <c r="W163" t="s">
        <v>1241</v>
      </c>
      <c r="X163" t="s">
        <v>1242</v>
      </c>
      <c r="Y163" t="s">
        <v>1243</v>
      </c>
      <c r="Z163" t="s">
        <v>1244</v>
      </c>
      <c r="AA163" t="s">
        <v>1245</v>
      </c>
      <c r="AB163">
        <f>COUNTA(Estimates_on_the_use_of_water__2020__a_3712[[#This Row],[name]:[wat_sur_u]])</f>
        <v>27</v>
      </c>
      <c r="AC163">
        <f>COUNT(Estimates_on_the_use_of_water__2020__a_3712[[#This Row],[name]:[wat_sur_u]])</f>
        <v>13</v>
      </c>
    </row>
    <row r="164" spans="1:29" x14ac:dyDescent="0.25">
      <c r="A164" t="s">
        <v>1246</v>
      </c>
      <c r="B164" t="s">
        <v>375</v>
      </c>
      <c r="C164">
        <v>27691.019530000001</v>
      </c>
      <c r="D164" s="3">
        <f>Estimates_on_the_use_of_water__2020__a_3712[[#This Row],[pop_n]]*1000</f>
        <v>27691019.530000001</v>
      </c>
      <c r="E164" s="15">
        <f>Estimates_on_the_use_of_water__2020__a_3712[[#This Row],[pop_n]]/1000</f>
        <v>27.691019530000002</v>
      </c>
      <c r="F164" s="15">
        <f>Estimates_on_the_use_of_water__2020__a_3712[[#This Row],[pop_n (m)]]*1000000</f>
        <v>27691019.530000001</v>
      </c>
      <c r="G164" s="14">
        <f>ROUND(Estimates_on_the_use_of_water__2020__a_3712[[#This Row],[pop_n (m)]],3)</f>
        <v>27.690999999999999</v>
      </c>
      <c r="H164" s="14">
        <f>ROUNDUP(Estimates_on_the_use_of_water__2020__a_3712[[#This Row],[pop_n (m)]],3)</f>
        <v>27.692</v>
      </c>
      <c r="I164" s="9" t="s">
        <v>1247</v>
      </c>
      <c r="J164" s="1">
        <v>0.38534000399999996</v>
      </c>
      <c r="K164" s="2">
        <v>10670457.576454278</v>
      </c>
      <c r="L164" s="1">
        <v>10670.457576454277</v>
      </c>
      <c r="M164" s="2">
        <v>61.465999600000004</v>
      </c>
      <c r="N164" s="18" t="s">
        <v>1248</v>
      </c>
      <c r="O164" s="19">
        <v>2.72</v>
      </c>
      <c r="P164" s="20" t="s">
        <v>1249</v>
      </c>
      <c r="Q164" s="20">
        <f>ROUND(Estimates_on_the_use_of_water__2020__a_3712[[#This Row],[wat_unimp_n]],2)</f>
        <v>32.31</v>
      </c>
      <c r="R164" s="20" t="s">
        <v>1250</v>
      </c>
      <c r="S164">
        <f>ROUND(Estimates_on_the_use_of_water__2020__a_3712[[#This Row],[wat_sur_n]],2)</f>
        <v>11.58</v>
      </c>
      <c r="T164" t="s">
        <v>1251</v>
      </c>
      <c r="U164" t="s">
        <v>1252</v>
      </c>
      <c r="V164" t="s">
        <v>1253</v>
      </c>
      <c r="W164" t="s">
        <v>1254</v>
      </c>
      <c r="X164" t="s">
        <v>1255</v>
      </c>
      <c r="Y164" t="s">
        <v>1256</v>
      </c>
      <c r="Z164" t="s">
        <v>1257</v>
      </c>
      <c r="AA164" t="s">
        <v>1258</v>
      </c>
      <c r="AB164">
        <f>COUNTA(Estimates_on_the_use_of_water__2020__a_3712[[#This Row],[name]:[wat_sur_u]])</f>
        <v>27</v>
      </c>
      <c r="AC164">
        <f>COUNT(Estimates_on_the_use_of_water__2020__a_3712[[#This Row],[name]:[wat_sur_u]])</f>
        <v>13</v>
      </c>
    </row>
    <row r="165" spans="1:29" x14ac:dyDescent="0.25">
      <c r="A165" t="s">
        <v>1259</v>
      </c>
      <c r="B165" t="s">
        <v>1</v>
      </c>
      <c r="C165">
        <v>28435.943360000001</v>
      </c>
      <c r="D165" s="3">
        <f>Estimates_on_the_use_of_water__2020__a_3712[[#This Row],[pop_n]]*1000</f>
        <v>28435943.359999999</v>
      </c>
      <c r="E165" s="15">
        <f>Estimates_on_the_use_of_water__2020__a_3712[[#This Row],[pop_n]]/1000</f>
        <v>28.43594336</v>
      </c>
      <c r="F165" s="15">
        <f>Estimates_on_the_use_of_water__2020__a_3712[[#This Row],[pop_n (m)]]*1000000</f>
        <v>28435943.359999999</v>
      </c>
      <c r="G165" s="14">
        <f>ROUND(Estimates_on_the_use_of_water__2020__a_3712[[#This Row],[pop_n (m)]],3)</f>
        <v>28.436</v>
      </c>
      <c r="H165" s="14">
        <f>ROUNDUP(Estimates_on_the_use_of_water__2020__a_3712[[#This Row],[pop_n (m)]],3)</f>
        <v>28.436</v>
      </c>
      <c r="I165" s="9" t="s">
        <v>1260</v>
      </c>
      <c r="J165" s="1">
        <v>0.88278999330000008</v>
      </c>
      <c r="K165" s="2">
        <v>25102966.24825358</v>
      </c>
      <c r="L165" s="1">
        <v>25102.966248253582</v>
      </c>
      <c r="M165" s="2">
        <v>11.721000669999995</v>
      </c>
      <c r="N165" s="18" t="s">
        <v>1261</v>
      </c>
      <c r="O165" s="19">
        <v>0.47</v>
      </c>
      <c r="P165" s="20" t="s">
        <v>1262</v>
      </c>
      <c r="Q165" s="20">
        <f>ROUND(Estimates_on_the_use_of_water__2020__a_3712[[#This Row],[wat_unimp_n]],2)</f>
        <v>5.84</v>
      </c>
      <c r="R165" s="20">
        <v>0</v>
      </c>
      <c r="S165">
        <f>ROUND(Estimates_on_the_use_of_water__2020__a_3712[[#This Row],[wat_sur_n]],2)</f>
        <v>0</v>
      </c>
      <c r="T165">
        <v>0</v>
      </c>
      <c r="U165">
        <v>0</v>
      </c>
      <c r="V165">
        <v>0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>
        <f>COUNTA(Estimates_on_the_use_of_water__2020__a_3712[[#This Row],[name]:[wat_sur_u]])</f>
        <v>27</v>
      </c>
      <c r="AC165">
        <f>COUNT(Estimates_on_the_use_of_water__2020__a_3712[[#This Row],[name]:[wat_sur_u]])</f>
        <v>17</v>
      </c>
    </row>
    <row r="166" spans="1:29" x14ac:dyDescent="0.25">
      <c r="A166" t="s">
        <v>1263</v>
      </c>
      <c r="B166" t="s">
        <v>106</v>
      </c>
      <c r="C166">
        <v>29136.808590000001</v>
      </c>
      <c r="D166" s="3">
        <f>Estimates_on_the_use_of_water__2020__a_3712[[#This Row],[pop_n]]*1000</f>
        <v>29136808.59</v>
      </c>
      <c r="E166" s="15">
        <f>Estimates_on_the_use_of_water__2020__a_3712[[#This Row],[pop_n]]/1000</f>
        <v>29.136808590000001</v>
      </c>
      <c r="F166" s="15">
        <f>Estimates_on_the_use_of_water__2020__a_3712[[#This Row],[pop_n (m)]]*1000000</f>
        <v>29136808.59</v>
      </c>
      <c r="G166" s="14">
        <f>ROUND(Estimates_on_the_use_of_water__2020__a_3712[[#This Row],[pop_n (m)]],3)</f>
        <v>29.137</v>
      </c>
      <c r="H166" s="14">
        <f>ROUNDUP(Estimates_on_the_use_of_water__2020__a_3712[[#This Row],[pop_n (m)]],3)</f>
        <v>29.137</v>
      </c>
      <c r="I166" s="9" t="s">
        <v>1264</v>
      </c>
      <c r="J166" s="1">
        <v>0.20576000210000001</v>
      </c>
      <c r="K166" s="2">
        <v>5995189.7966656983</v>
      </c>
      <c r="L166" s="1">
        <v>5995.1897966656979</v>
      </c>
      <c r="M166" s="2">
        <v>79.423999789999996</v>
      </c>
      <c r="N166" s="18" t="s">
        <v>1265</v>
      </c>
      <c r="O166" s="19">
        <v>3.98</v>
      </c>
      <c r="P166" s="20" t="s">
        <v>1266</v>
      </c>
      <c r="Q166" s="20">
        <f>ROUND(Estimates_on_the_use_of_water__2020__a_3712[[#This Row],[wat_unimp_n]],2)</f>
        <v>4.7</v>
      </c>
      <c r="R166" s="20" t="s">
        <v>1267</v>
      </c>
      <c r="S166">
        <f>ROUND(Estimates_on_the_use_of_water__2020__a_3712[[#This Row],[wat_sur_n]],2)</f>
        <v>1.25</v>
      </c>
      <c r="T166" t="s">
        <v>1268</v>
      </c>
      <c r="U166" t="s">
        <v>1269</v>
      </c>
      <c r="V166" t="s">
        <v>1270</v>
      </c>
      <c r="W166" t="s">
        <v>1271</v>
      </c>
      <c r="X166" t="s">
        <v>1272</v>
      </c>
      <c r="Y166" t="s">
        <v>1273</v>
      </c>
      <c r="Z166" t="s">
        <v>1274</v>
      </c>
      <c r="AA166" t="s">
        <v>1275</v>
      </c>
      <c r="AB166">
        <f>COUNTA(Estimates_on_the_use_of_water__2020__a_3712[[#This Row],[name]:[wat_sur_u]])</f>
        <v>27</v>
      </c>
      <c r="AC166">
        <f>COUNT(Estimates_on_the_use_of_water__2020__a_3712[[#This Row],[name]:[wat_sur_u]])</f>
        <v>13</v>
      </c>
    </row>
    <row r="167" spans="1:29" x14ac:dyDescent="0.25">
      <c r="A167" t="s">
        <v>1276</v>
      </c>
      <c r="B167" t="s">
        <v>375</v>
      </c>
      <c r="C167">
        <v>29825.96875</v>
      </c>
      <c r="D167" s="3">
        <f>Estimates_on_the_use_of_water__2020__a_3712[[#This Row],[pop_n]]*1000</f>
        <v>29825968.75</v>
      </c>
      <c r="E167" s="15">
        <f>Estimates_on_the_use_of_water__2020__a_3712[[#This Row],[pop_n]]/1000</f>
        <v>29.825968750000001</v>
      </c>
      <c r="F167" s="15">
        <f>Estimates_on_the_use_of_water__2020__a_3712[[#This Row],[pop_n (m)]]*1000000</f>
        <v>29825968.75</v>
      </c>
      <c r="G167" s="14">
        <f>ROUND(Estimates_on_the_use_of_water__2020__a_3712[[#This Row],[pop_n (m)]],3)</f>
        <v>29.826000000000001</v>
      </c>
      <c r="H167" s="14">
        <f>ROUNDUP(Estimates_on_the_use_of_water__2020__a_3712[[#This Row],[pop_n (m)]],3)</f>
        <v>29.826000000000001</v>
      </c>
      <c r="I167" s="9" t="s">
        <v>1277</v>
      </c>
      <c r="J167" s="1">
        <v>0.37907997129999998</v>
      </c>
      <c r="K167" s="2">
        <v>11306427.377744697</v>
      </c>
      <c r="L167" s="1">
        <v>11306.427377744696</v>
      </c>
      <c r="M167" s="2">
        <v>62.092002870000002</v>
      </c>
      <c r="N167" s="18" t="s">
        <v>1278</v>
      </c>
      <c r="O167" s="19">
        <v>28.96</v>
      </c>
      <c r="P167" s="20" t="s">
        <v>1279</v>
      </c>
      <c r="Q167" s="20">
        <f>ROUND(Estimates_on_the_use_of_water__2020__a_3712[[#This Row],[wat_unimp_n]],2)</f>
        <v>7.78</v>
      </c>
      <c r="R167" s="20" t="s">
        <v>1280</v>
      </c>
      <c r="S167">
        <f>ROUND(Estimates_on_the_use_of_water__2020__a_3712[[#This Row],[wat_sur_n]],2)</f>
        <v>2.6</v>
      </c>
      <c r="T167" t="s">
        <v>1281</v>
      </c>
      <c r="U167" t="s">
        <v>1282</v>
      </c>
      <c r="V167" t="s">
        <v>1283</v>
      </c>
      <c r="W167" t="s">
        <v>1284</v>
      </c>
      <c r="X167" t="s">
        <v>1285</v>
      </c>
      <c r="Y167" t="s">
        <v>1286</v>
      </c>
      <c r="Z167" t="s">
        <v>1287</v>
      </c>
      <c r="AA167" t="s">
        <v>2</v>
      </c>
      <c r="AB167">
        <f>COUNTA(Estimates_on_the_use_of_water__2020__a_3712[[#This Row],[name]:[wat_sur_u]])</f>
        <v>27</v>
      </c>
      <c r="AC167">
        <f>COUNT(Estimates_on_the_use_of_water__2020__a_3712[[#This Row],[name]:[wat_sur_u]])</f>
        <v>13</v>
      </c>
    </row>
    <row r="168" spans="1:29" x14ac:dyDescent="0.25">
      <c r="A168" t="s">
        <v>1288</v>
      </c>
      <c r="B168" t="s">
        <v>106</v>
      </c>
      <c r="C168">
        <v>31072.945309999999</v>
      </c>
      <c r="D168" s="3">
        <f>Estimates_on_the_use_of_water__2020__a_3712[[#This Row],[pop_n]]*1000</f>
        <v>31072945.309999999</v>
      </c>
      <c r="E168" s="15">
        <f>Estimates_on_the_use_of_water__2020__a_3712[[#This Row],[pop_n]]/1000</f>
        <v>31.072945309999998</v>
      </c>
      <c r="F168" s="15">
        <f>Estimates_on_the_use_of_water__2020__a_3712[[#This Row],[pop_n (m)]]*1000000</f>
        <v>31072945.309999999</v>
      </c>
      <c r="G168" s="14">
        <f>ROUND(Estimates_on_the_use_of_water__2020__a_3712[[#This Row],[pop_n (m)]],3)</f>
        <v>31.073</v>
      </c>
      <c r="H168" s="14">
        <f>ROUNDUP(Estimates_on_the_use_of_water__2020__a_3712[[#This Row],[pop_n (m)]],3)</f>
        <v>31.073</v>
      </c>
      <c r="I168" s="9" t="s">
        <v>1289</v>
      </c>
      <c r="J168" s="1">
        <v>0.57348999020000002</v>
      </c>
      <c r="K168" s="2">
        <v>17820023.101317037</v>
      </c>
      <c r="L168" s="1">
        <v>17820.023101317038</v>
      </c>
      <c r="M168" s="2">
        <v>42.651000979999999</v>
      </c>
      <c r="N168" s="18" t="s">
        <v>1290</v>
      </c>
      <c r="O168" s="19">
        <v>6.59</v>
      </c>
      <c r="P168" s="20" t="s">
        <v>1291</v>
      </c>
      <c r="Q168" s="20">
        <f>ROUND(Estimates_on_the_use_of_water__2020__a_3712[[#This Row],[wat_unimp_n]],2)</f>
        <v>2.81</v>
      </c>
      <c r="R168" s="20" t="s">
        <v>1292</v>
      </c>
      <c r="S168">
        <f>ROUND(Estimates_on_the_use_of_water__2020__a_3712[[#This Row],[wat_sur_n]],2)</f>
        <v>4.8099999999999996</v>
      </c>
      <c r="T168" t="s">
        <v>1293</v>
      </c>
      <c r="U168" t="s">
        <v>1294</v>
      </c>
      <c r="V168" t="s">
        <v>1295</v>
      </c>
      <c r="W168" t="s">
        <v>1296</v>
      </c>
      <c r="X168" t="s">
        <v>1297</v>
      </c>
      <c r="Y168" t="s">
        <v>1298</v>
      </c>
      <c r="Z168" t="s">
        <v>1299</v>
      </c>
      <c r="AA168" t="s">
        <v>1300</v>
      </c>
      <c r="AB168">
        <f>COUNTA(Estimates_on_the_use_of_water__2020__a_3712[[#This Row],[name]:[wat_sur_u]])</f>
        <v>27</v>
      </c>
      <c r="AC168">
        <f>COUNT(Estimates_on_the_use_of_water__2020__a_3712[[#This Row],[name]:[wat_sur_u]])</f>
        <v>13</v>
      </c>
    </row>
    <row r="169" spans="1:29" x14ac:dyDescent="0.25">
      <c r="A169" t="s">
        <v>1301</v>
      </c>
      <c r="B169" t="s">
        <v>375</v>
      </c>
      <c r="C169">
        <v>31255.435549999998</v>
      </c>
      <c r="D169" s="3">
        <f>Estimates_on_the_use_of_water__2020__a_3712[[#This Row],[pop_n]]*1000</f>
        <v>31255435.549999997</v>
      </c>
      <c r="E169" s="15">
        <f>Estimates_on_the_use_of_water__2020__a_3712[[#This Row],[pop_n]]/1000</f>
        <v>31.255435549999998</v>
      </c>
      <c r="F169" s="15">
        <f>Estimates_on_the_use_of_water__2020__a_3712[[#This Row],[pop_n (m)]]*1000000</f>
        <v>31255435.549999997</v>
      </c>
      <c r="G169" s="14">
        <f>ROUND(Estimates_on_the_use_of_water__2020__a_3712[[#This Row],[pop_n (m)]],3)</f>
        <v>31.254999999999999</v>
      </c>
      <c r="H169" s="14">
        <f>ROUNDUP(Estimates_on_the_use_of_water__2020__a_3712[[#This Row],[pop_n (m)]],3)</f>
        <v>31.256</v>
      </c>
      <c r="I169" s="9" t="s">
        <v>1302</v>
      </c>
      <c r="J169" s="1">
        <v>0.370739975</v>
      </c>
      <c r="K169" s="2">
        <v>11587639.39442111</v>
      </c>
      <c r="L169" s="1">
        <v>11587.63939442111</v>
      </c>
      <c r="M169" s="2">
        <v>62.926002500000003</v>
      </c>
      <c r="N169" s="18" t="s">
        <v>1303</v>
      </c>
      <c r="O169" s="19">
        <v>9.98</v>
      </c>
      <c r="P169" s="20" t="s">
        <v>1304</v>
      </c>
      <c r="Q169" s="20">
        <f>ROUND(Estimates_on_the_use_of_water__2020__a_3712[[#This Row],[wat_unimp_n]],2)</f>
        <v>16.73</v>
      </c>
      <c r="R169" s="20" t="s">
        <v>1305</v>
      </c>
      <c r="S169">
        <f>ROUND(Estimates_on_the_use_of_water__2020__a_3712[[#This Row],[wat_sur_n]],2)</f>
        <v>9.93</v>
      </c>
      <c r="T169" t="s">
        <v>1306</v>
      </c>
      <c r="U169" t="s">
        <v>1307</v>
      </c>
      <c r="V169" t="s">
        <v>1308</v>
      </c>
      <c r="W169" t="s">
        <v>1309</v>
      </c>
      <c r="X169" t="s">
        <v>1310</v>
      </c>
      <c r="Y169" t="s">
        <v>1311</v>
      </c>
      <c r="Z169" t="s">
        <v>1312</v>
      </c>
      <c r="AA169" t="s">
        <v>1313</v>
      </c>
      <c r="AB169">
        <f>COUNTA(Estimates_on_the_use_of_water__2020__a_3712[[#This Row],[name]:[wat_sur_u]])</f>
        <v>27</v>
      </c>
      <c r="AC169">
        <f>COUNT(Estimates_on_the_use_of_water__2020__a_3712[[#This Row],[name]:[wat_sur_u]])</f>
        <v>13</v>
      </c>
    </row>
    <row r="170" spans="1:29" x14ac:dyDescent="0.25">
      <c r="A170" t="s">
        <v>1314</v>
      </c>
      <c r="B170" t="s">
        <v>34</v>
      </c>
      <c r="C170">
        <v>32365.998049999998</v>
      </c>
      <c r="D170" s="3">
        <f>Estimates_on_the_use_of_water__2020__a_3712[[#This Row],[pop_n]]*1000</f>
        <v>32365998.049999997</v>
      </c>
      <c r="E170" s="15">
        <f>Estimates_on_the_use_of_water__2020__a_3712[[#This Row],[pop_n]]/1000</f>
        <v>32.365998050000002</v>
      </c>
      <c r="F170" s="15">
        <f>Estimates_on_the_use_of_water__2020__a_3712[[#This Row],[pop_n (m)]]*1000000</f>
        <v>32365998.050000001</v>
      </c>
      <c r="G170" s="14">
        <f>ROUND(Estimates_on_the_use_of_water__2020__a_3712[[#This Row],[pop_n (m)]],3)</f>
        <v>32.366</v>
      </c>
      <c r="H170" s="14">
        <f>ROUNDUP(Estimates_on_the_use_of_water__2020__a_3712[[#This Row],[pop_n (m)]],3)</f>
        <v>32.366</v>
      </c>
      <c r="I170" s="9" t="s">
        <v>1315</v>
      </c>
      <c r="J170" s="1">
        <v>0.7715999603</v>
      </c>
      <c r="K170" s="2">
        <v>24973602.810449876</v>
      </c>
      <c r="L170" s="1">
        <v>24973.602810449876</v>
      </c>
      <c r="M170" s="2">
        <v>22.840003969999998</v>
      </c>
      <c r="N170" s="18" t="s">
        <v>1316</v>
      </c>
      <c r="O170" s="19">
        <v>0.35</v>
      </c>
      <c r="P170" s="20" t="s">
        <v>1317</v>
      </c>
      <c r="Q170" s="20">
        <f>ROUND(Estimates_on_the_use_of_water__2020__a_3712[[#This Row],[wat_unimp_n]],2)</f>
        <v>2.5499999999999998</v>
      </c>
      <c r="R170" s="20">
        <v>0</v>
      </c>
      <c r="S170">
        <f>ROUND(Estimates_on_the_use_of_water__2020__a_3712[[#This Row],[wat_sur_n]],2)</f>
        <v>0</v>
      </c>
      <c r="T170" t="s">
        <v>1318</v>
      </c>
      <c r="U170" t="s">
        <v>1319</v>
      </c>
      <c r="V170" t="s">
        <v>1320</v>
      </c>
      <c r="W170" t="s">
        <v>1</v>
      </c>
      <c r="X170" t="s">
        <v>1321</v>
      </c>
      <c r="Y170" t="s">
        <v>1322</v>
      </c>
      <c r="Z170" t="s">
        <v>1323</v>
      </c>
      <c r="AA170" t="s">
        <v>1324</v>
      </c>
      <c r="AB170">
        <f>COUNTA(Estimates_on_the_use_of_water__2020__a_3712[[#This Row],[name]:[wat_sur_u]])</f>
        <v>27</v>
      </c>
      <c r="AC170">
        <f>COUNT(Estimates_on_the_use_of_water__2020__a_3712[[#This Row],[name]:[wat_sur_u]])</f>
        <v>14</v>
      </c>
    </row>
    <row r="171" spans="1:29" x14ac:dyDescent="0.25">
      <c r="A171" t="s">
        <v>1325</v>
      </c>
      <c r="B171" t="s">
        <v>106</v>
      </c>
      <c r="C171">
        <v>32866.269529999998</v>
      </c>
      <c r="D171" s="3">
        <f>Estimates_on_the_use_of_water__2020__a_3712[[#This Row],[pop_n]]*1000</f>
        <v>32866269.529999997</v>
      </c>
      <c r="E171" s="15">
        <f>Estimates_on_the_use_of_water__2020__a_3712[[#This Row],[pop_n]]/1000</f>
        <v>32.866269529999997</v>
      </c>
      <c r="F171" s="15">
        <f>Estimates_on_the_use_of_water__2020__a_3712[[#This Row],[pop_n (m)]]*1000000</f>
        <v>32866269.529999997</v>
      </c>
      <c r="G171" s="14">
        <f>ROUND(Estimates_on_the_use_of_water__2020__a_3712[[#This Row],[pop_n (m)]],3)</f>
        <v>32.866</v>
      </c>
      <c r="H171" s="14">
        <f>ROUNDUP(Estimates_on_the_use_of_water__2020__a_3712[[#This Row],[pop_n (m)]],3)</f>
        <v>32.866999999999997</v>
      </c>
      <c r="I171" s="9" t="s">
        <v>1326</v>
      </c>
      <c r="J171" s="1">
        <v>0.66824996950000004</v>
      </c>
      <c r="K171" s="2">
        <v>21962883.611001279</v>
      </c>
      <c r="L171" s="1">
        <v>21962.883611001278</v>
      </c>
      <c r="M171" s="2">
        <v>33.175003050000001</v>
      </c>
      <c r="N171" s="18" t="s">
        <v>1327</v>
      </c>
      <c r="O171" s="19">
        <v>9.2899999999999991</v>
      </c>
      <c r="P171" s="20" t="s">
        <v>1328</v>
      </c>
      <c r="Q171" s="20">
        <f>ROUND(Estimates_on_the_use_of_water__2020__a_3712[[#This Row],[wat_unimp_n]],2)</f>
        <v>19.45</v>
      </c>
      <c r="R171" s="20" t="s">
        <v>1329</v>
      </c>
      <c r="S171">
        <f>ROUND(Estimates_on_the_use_of_water__2020__a_3712[[#This Row],[wat_sur_n]],2)</f>
        <v>14.09</v>
      </c>
      <c r="T171" t="s">
        <v>1330</v>
      </c>
      <c r="U171" t="s">
        <v>1331</v>
      </c>
      <c r="V171" t="s">
        <v>1332</v>
      </c>
      <c r="W171" t="s">
        <v>1333</v>
      </c>
      <c r="X171" t="s">
        <v>1334</v>
      </c>
      <c r="Y171" t="s">
        <v>1335</v>
      </c>
      <c r="Z171" t="s">
        <v>1336</v>
      </c>
      <c r="AA171" t="s">
        <v>1337</v>
      </c>
      <c r="AB171">
        <f>COUNTA(Estimates_on_the_use_of_water__2020__a_3712[[#This Row],[name]:[wat_sur_u]])</f>
        <v>27</v>
      </c>
      <c r="AC171">
        <f>COUNT(Estimates_on_the_use_of_water__2020__a_3712[[#This Row],[name]:[wat_sur_u]])</f>
        <v>13</v>
      </c>
    </row>
    <row r="172" spans="1:29" x14ac:dyDescent="0.25">
      <c r="A172" t="s">
        <v>1338</v>
      </c>
      <c r="B172" t="s">
        <v>34</v>
      </c>
      <c r="C172">
        <v>32971.847659999999</v>
      </c>
      <c r="D172" s="3">
        <f>Estimates_on_the_use_of_water__2020__a_3712[[#This Row],[pop_n]]*1000</f>
        <v>32971847.66</v>
      </c>
      <c r="E172" s="15">
        <f>Estimates_on_the_use_of_water__2020__a_3712[[#This Row],[pop_n]]/1000</f>
        <v>32.971847660000002</v>
      </c>
      <c r="F172" s="15">
        <f>Estimates_on_the_use_of_water__2020__a_3712[[#This Row],[pop_n (m)]]*1000000</f>
        <v>32971847.66</v>
      </c>
      <c r="G172" s="14">
        <f>ROUND(Estimates_on_the_use_of_water__2020__a_3712[[#This Row],[pop_n (m)]],3)</f>
        <v>32.972000000000001</v>
      </c>
      <c r="H172" s="14">
        <f>ROUNDUP(Estimates_on_the_use_of_water__2020__a_3712[[#This Row],[pop_n (m)]],3)</f>
        <v>32.971999999999994</v>
      </c>
      <c r="I172" s="9" t="s">
        <v>1339</v>
      </c>
      <c r="J172" s="1">
        <v>0.78297004700000006</v>
      </c>
      <c r="K172" s="2">
        <v>25815969.112027042</v>
      </c>
      <c r="L172" s="1">
        <v>25815.96911202704</v>
      </c>
      <c r="M172" s="2">
        <v>21.702995299999998</v>
      </c>
      <c r="N172" s="18" t="s">
        <v>1340</v>
      </c>
      <c r="O172" s="19">
        <v>0.85</v>
      </c>
      <c r="P172" s="20" t="s">
        <v>1341</v>
      </c>
      <c r="Q172" s="20">
        <f>ROUND(Estimates_on_the_use_of_water__2020__a_3712[[#This Row],[wat_unimp_n]],2)</f>
        <v>4.1500000000000004</v>
      </c>
      <c r="R172" s="20" t="s">
        <v>1342</v>
      </c>
      <c r="S172">
        <f>ROUND(Estimates_on_the_use_of_water__2020__a_3712[[#This Row],[wat_sur_n]],2)</f>
        <v>1.86</v>
      </c>
      <c r="T172" t="s">
        <v>1343</v>
      </c>
      <c r="U172" t="s">
        <v>1344</v>
      </c>
      <c r="V172" t="s">
        <v>1345</v>
      </c>
      <c r="W172" t="s">
        <v>1346</v>
      </c>
      <c r="X172" t="s">
        <v>1347</v>
      </c>
      <c r="Y172" t="s">
        <v>1348</v>
      </c>
      <c r="Z172" t="s">
        <v>1349</v>
      </c>
      <c r="AA172" t="s">
        <v>1350</v>
      </c>
      <c r="AB172">
        <f>COUNTA(Estimates_on_the_use_of_water__2020__a_3712[[#This Row],[name]:[wat_sur_u]])</f>
        <v>27</v>
      </c>
      <c r="AC172">
        <f>COUNT(Estimates_on_the_use_of_water__2020__a_3712[[#This Row],[name]:[wat_sur_u]])</f>
        <v>13</v>
      </c>
    </row>
    <row r="173" spans="1:29" x14ac:dyDescent="0.25">
      <c r="A173" t="s">
        <v>1351</v>
      </c>
      <c r="B173" t="s">
        <v>106</v>
      </c>
      <c r="C173">
        <v>33469.199220000002</v>
      </c>
      <c r="D173" s="3">
        <f>Estimates_on_the_use_of_water__2020__a_3712[[#This Row],[pop_n]]*1000</f>
        <v>33469199.220000003</v>
      </c>
      <c r="E173" s="15">
        <f>Estimates_on_the_use_of_water__2020__a_3712[[#This Row],[pop_n]]/1000</f>
        <v>33.46919922</v>
      </c>
      <c r="F173" s="15">
        <f>Estimates_on_the_use_of_water__2020__a_3712[[#This Row],[pop_n (m)]]*1000000</f>
        <v>33469199.219999999</v>
      </c>
      <c r="G173" s="14">
        <f>ROUND(Estimates_on_the_use_of_water__2020__a_3712[[#This Row],[pop_n (m)]],3)</f>
        <v>33.469000000000001</v>
      </c>
      <c r="H173" s="14">
        <f>ROUNDUP(Estimates_on_the_use_of_water__2020__a_3712[[#This Row],[pop_n (m)]],3)</f>
        <v>33.47</v>
      </c>
      <c r="I173" s="9" t="s">
        <v>1352</v>
      </c>
      <c r="J173" s="1">
        <v>0.50415996549999997</v>
      </c>
      <c r="K173" s="2">
        <v>16873830.324067827</v>
      </c>
      <c r="L173" s="1">
        <v>16873.830324067829</v>
      </c>
      <c r="M173" s="2">
        <v>49.584003449999997</v>
      </c>
      <c r="N173" s="18" t="s">
        <v>1353</v>
      </c>
      <c r="O173" s="19">
        <v>0</v>
      </c>
      <c r="P173" s="20" t="s">
        <v>1354</v>
      </c>
      <c r="Q173" s="20">
        <f>ROUND(Estimates_on_the_use_of_water__2020__a_3712[[#This Row],[wat_unimp_n]],2)</f>
        <v>0.22</v>
      </c>
      <c r="R173" s="20" t="s">
        <v>1355</v>
      </c>
      <c r="S173">
        <f>ROUND(Estimates_on_the_use_of_water__2020__a_3712[[#This Row],[wat_sur_n]],2)</f>
        <v>1.95</v>
      </c>
      <c r="T173" t="s">
        <v>1356</v>
      </c>
      <c r="U173" t="s">
        <v>2</v>
      </c>
      <c r="V173" t="s">
        <v>2</v>
      </c>
      <c r="W173" t="s">
        <v>1357</v>
      </c>
      <c r="X173" t="s">
        <v>1358</v>
      </c>
      <c r="Y173" t="s">
        <v>2</v>
      </c>
      <c r="Z173" t="s">
        <v>1359</v>
      </c>
      <c r="AA173" t="s">
        <v>2</v>
      </c>
      <c r="AB173">
        <f>COUNTA(Estimates_on_the_use_of_water__2020__a_3712[[#This Row],[name]:[wat_sur_u]])</f>
        <v>27</v>
      </c>
      <c r="AC173">
        <f>COUNT(Estimates_on_the_use_of_water__2020__a_3712[[#This Row],[name]:[wat_sur_u]])</f>
        <v>13</v>
      </c>
    </row>
    <row r="174" spans="1:29" x14ac:dyDescent="0.25">
      <c r="A174" t="s">
        <v>1360</v>
      </c>
      <c r="B174" t="s">
        <v>29</v>
      </c>
      <c r="C174">
        <v>34813.867189999997</v>
      </c>
      <c r="D174" s="3">
        <f>Estimates_on_the_use_of_water__2020__a_3712[[#This Row],[pop_n]]*1000</f>
        <v>34813867.189999998</v>
      </c>
      <c r="E174" s="15">
        <f>Estimates_on_the_use_of_water__2020__a_3712[[#This Row],[pop_n]]/1000</f>
        <v>34.813867189999996</v>
      </c>
      <c r="F174" s="15">
        <f>Estimates_on_the_use_of_water__2020__a_3712[[#This Row],[pop_n (m)]]*1000000</f>
        <v>34813867.189999998</v>
      </c>
      <c r="G174" s="14">
        <f>ROUND(Estimates_on_the_use_of_water__2020__a_3712[[#This Row],[pop_n (m)]],3)</f>
        <v>34.814</v>
      </c>
      <c r="H174" s="14">
        <f>ROUNDUP(Estimates_on_the_use_of_water__2020__a_3712[[#This Row],[pop_n (m)]],3)</f>
        <v>34.814</v>
      </c>
      <c r="I174" s="9" t="s">
        <v>1361</v>
      </c>
      <c r="J174" s="1">
        <v>0.84287002560000002</v>
      </c>
      <c r="K174" s="2">
        <v>29343565.1296703</v>
      </c>
      <c r="L174" s="1">
        <v>29343.5651296703</v>
      </c>
      <c r="M174" s="2">
        <v>15.712997439999995</v>
      </c>
      <c r="N174" s="18" t="s">
        <v>15</v>
      </c>
      <c r="O174" s="19">
        <v>0</v>
      </c>
      <c r="P174" s="20" t="s">
        <v>2</v>
      </c>
      <c r="Q174" s="20">
        <f>ROUND(Estimates_on_the_use_of_water__2020__a_3712[[#This Row],[wat_unimp_n]],2)</f>
        <v>0</v>
      </c>
      <c r="R174" s="20" t="s">
        <v>2</v>
      </c>
      <c r="S174">
        <f>ROUND(Estimates_on_the_use_of_water__2020__a_3712[[#This Row],[wat_sur_n]],2)</f>
        <v>0</v>
      </c>
      <c r="T174">
        <v>0</v>
      </c>
      <c r="U174">
        <v>0</v>
      </c>
      <c r="V174">
        <v>0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>
        <f>COUNTA(Estimates_on_the_use_of_water__2020__a_3712[[#This Row],[name]:[wat_sur_u]])</f>
        <v>27</v>
      </c>
      <c r="AC174">
        <f>COUNT(Estimates_on_the_use_of_water__2020__a_3712[[#This Row],[name]:[wat_sur_u]])</f>
        <v>16</v>
      </c>
    </row>
    <row r="175" spans="1:29" x14ac:dyDescent="0.25">
      <c r="A175" t="s">
        <v>1362</v>
      </c>
      <c r="B175" t="s">
        <v>106</v>
      </c>
      <c r="C175">
        <v>36910.558590000001</v>
      </c>
      <c r="D175" s="3">
        <f>Estimates_on_the_use_of_water__2020__a_3712[[#This Row],[pop_n]]*1000</f>
        <v>36910558.590000004</v>
      </c>
      <c r="E175" s="15">
        <f>Estimates_on_the_use_of_water__2020__a_3712[[#This Row],[pop_n]]/1000</f>
        <v>36.910558590000001</v>
      </c>
      <c r="F175" s="15">
        <f>Estimates_on_the_use_of_water__2020__a_3712[[#This Row],[pop_n (m)]]*1000000</f>
        <v>36910558.590000004</v>
      </c>
      <c r="G175" s="14">
        <f>ROUND(Estimates_on_the_use_of_water__2020__a_3712[[#This Row],[pop_n (m)]],3)</f>
        <v>36.911000000000001</v>
      </c>
      <c r="H175" s="14">
        <f>ROUNDUP(Estimates_on_the_use_of_water__2020__a_3712[[#This Row],[pop_n (m)]],3)</f>
        <v>36.910999999999994</v>
      </c>
      <c r="I175" s="9" t="s">
        <v>1363</v>
      </c>
      <c r="J175" s="1">
        <v>0.63531997680000007</v>
      </c>
      <c r="K175" s="2">
        <v>23450015.227073845</v>
      </c>
      <c r="L175" s="1">
        <v>23450.015227073844</v>
      </c>
      <c r="M175" s="2">
        <v>36.468002319999997</v>
      </c>
      <c r="N175" s="18" t="s">
        <v>1364</v>
      </c>
      <c r="O175" s="19">
        <v>5.26</v>
      </c>
      <c r="P175" s="20" t="s">
        <v>1365</v>
      </c>
      <c r="Q175" s="20">
        <f>ROUND(Estimates_on_the_use_of_water__2020__a_3712[[#This Row],[wat_unimp_n]],2)</f>
        <v>2.88</v>
      </c>
      <c r="R175" s="20" t="s">
        <v>1366</v>
      </c>
      <c r="S175">
        <f>ROUND(Estimates_on_the_use_of_water__2020__a_3712[[#This Row],[wat_sur_n]],2)</f>
        <v>1.46</v>
      </c>
      <c r="T175" t="s">
        <v>1367</v>
      </c>
      <c r="U175" t="s">
        <v>1368</v>
      </c>
      <c r="V175" t="s">
        <v>1369</v>
      </c>
      <c r="W175" t="s">
        <v>1370</v>
      </c>
      <c r="X175" t="s">
        <v>1371</v>
      </c>
      <c r="Y175" t="s">
        <v>1372</v>
      </c>
      <c r="Z175" t="s">
        <v>1373</v>
      </c>
      <c r="AA175" t="s">
        <v>2</v>
      </c>
      <c r="AB175">
        <f>COUNTA(Estimates_on_the_use_of_water__2020__a_3712[[#This Row],[name]:[wat_sur_u]])</f>
        <v>27</v>
      </c>
      <c r="AC175">
        <f>COUNT(Estimates_on_the_use_of_water__2020__a_3712[[#This Row],[name]:[wat_sur_u]])</f>
        <v>13</v>
      </c>
    </row>
    <row r="176" spans="1:29" x14ac:dyDescent="0.25">
      <c r="A176" t="s">
        <v>1374</v>
      </c>
      <c r="B176" t="s">
        <v>29</v>
      </c>
      <c r="C176">
        <v>37742.15625</v>
      </c>
      <c r="D176" s="3">
        <f>Estimates_on_the_use_of_water__2020__a_3712[[#This Row],[pop_n]]*1000</f>
        <v>37742156.25</v>
      </c>
      <c r="E176" s="15">
        <f>Estimates_on_the_use_of_water__2020__a_3712[[#This Row],[pop_n]]/1000</f>
        <v>37.742156250000001</v>
      </c>
      <c r="F176" s="15">
        <f>Estimates_on_the_use_of_water__2020__a_3712[[#This Row],[pop_n (m)]]*1000000</f>
        <v>37742156.25</v>
      </c>
      <c r="G176" s="14">
        <f>ROUND(Estimates_on_the_use_of_water__2020__a_3712[[#This Row],[pop_n (m)]],3)</f>
        <v>37.741999999999997</v>
      </c>
      <c r="H176" s="14">
        <f>ROUNDUP(Estimates_on_the_use_of_water__2020__a_3712[[#This Row],[pop_n (m)]],3)</f>
        <v>37.742999999999995</v>
      </c>
      <c r="I176" s="9" t="s">
        <v>1375</v>
      </c>
      <c r="J176" s="1">
        <v>0.81562004090000007</v>
      </c>
      <c r="K176" s="2">
        <v>30783259.024279192</v>
      </c>
      <c r="L176" s="1">
        <v>30783.259024279192</v>
      </c>
      <c r="M176" s="2">
        <v>18.437995909999998</v>
      </c>
      <c r="N176" s="18" t="s">
        <v>1376</v>
      </c>
      <c r="O176" s="19">
        <v>0</v>
      </c>
      <c r="P176" s="20" t="s">
        <v>1377</v>
      </c>
      <c r="Q176" s="20">
        <f>ROUND(Estimates_on_the_use_of_water__2020__a_3712[[#This Row],[wat_unimp_n]],2)</f>
        <v>0.78</v>
      </c>
      <c r="R176" s="20" t="s">
        <v>2</v>
      </c>
      <c r="S176">
        <f>ROUND(Estimates_on_the_use_of_water__2020__a_3712[[#This Row],[wat_sur_n]],2)</f>
        <v>0</v>
      </c>
      <c r="T176" t="s">
        <v>1378</v>
      </c>
      <c r="U176" t="s">
        <v>2</v>
      </c>
      <c r="V176" t="s">
        <v>1379</v>
      </c>
      <c r="W176" t="s">
        <v>2</v>
      </c>
      <c r="X176" t="s">
        <v>1380</v>
      </c>
      <c r="Y176" t="s">
        <v>2</v>
      </c>
      <c r="Z176" t="s">
        <v>1381</v>
      </c>
      <c r="AA176" t="s">
        <v>2</v>
      </c>
      <c r="AB176">
        <f>COUNTA(Estimates_on_the_use_of_water__2020__a_3712[[#This Row],[name]:[wat_sur_u]])</f>
        <v>27</v>
      </c>
      <c r="AC176">
        <f>COUNT(Estimates_on_the_use_of_water__2020__a_3712[[#This Row],[name]:[wat_sur_u]])</f>
        <v>13</v>
      </c>
    </row>
    <row r="177" spans="1:29" x14ac:dyDescent="0.25">
      <c r="A177" t="s">
        <v>1382</v>
      </c>
      <c r="B177" t="s">
        <v>29</v>
      </c>
      <c r="C177">
        <v>37846.605470000002</v>
      </c>
      <c r="D177" s="3">
        <f>Estimates_on_the_use_of_water__2020__a_3712[[#This Row],[pop_n]]*1000</f>
        <v>37846605.469999999</v>
      </c>
      <c r="E177" s="15">
        <f>Estimates_on_the_use_of_water__2020__a_3712[[#This Row],[pop_n]]/1000</f>
        <v>37.84660547</v>
      </c>
      <c r="F177" s="15">
        <f>Estimates_on_the_use_of_water__2020__a_3712[[#This Row],[pop_n (m)]]*1000000</f>
        <v>37846605.469999999</v>
      </c>
      <c r="G177" s="14">
        <f>ROUND(Estimates_on_the_use_of_water__2020__a_3712[[#This Row],[pop_n (m)]],3)</f>
        <v>37.847000000000001</v>
      </c>
      <c r="H177" s="14">
        <f>ROUNDUP(Estimates_on_the_use_of_water__2020__a_3712[[#This Row],[pop_n (m)]],3)</f>
        <v>37.846999999999994</v>
      </c>
      <c r="I177" s="9" t="s">
        <v>1383</v>
      </c>
      <c r="J177" s="1">
        <v>0.60043003080000001</v>
      </c>
      <c r="K177" s="2">
        <v>22724238.488027547</v>
      </c>
      <c r="L177" s="1">
        <v>22724.238488027549</v>
      </c>
      <c r="M177" s="2">
        <v>39.956996920000002</v>
      </c>
      <c r="N177" s="18" t="s">
        <v>1384</v>
      </c>
      <c r="O177" s="19">
        <v>0</v>
      </c>
      <c r="P177" s="20" t="s">
        <v>1385</v>
      </c>
      <c r="Q177" s="20">
        <f>ROUND(Estimates_on_the_use_of_water__2020__a_3712[[#This Row],[wat_unimp_n]],2)</f>
        <v>0.03</v>
      </c>
      <c r="R177" s="20" t="s">
        <v>2</v>
      </c>
      <c r="S177">
        <f>ROUND(Estimates_on_the_use_of_water__2020__a_3712[[#This Row],[wat_sur_n]],2)</f>
        <v>0</v>
      </c>
      <c r="T177" t="s">
        <v>15</v>
      </c>
      <c r="U177" t="s">
        <v>2</v>
      </c>
      <c r="V177" t="s">
        <v>2</v>
      </c>
      <c r="W177" t="s">
        <v>2</v>
      </c>
      <c r="X177" t="s">
        <v>1386</v>
      </c>
      <c r="Y177" t="s">
        <v>2</v>
      </c>
      <c r="Z177" t="s">
        <v>1387</v>
      </c>
      <c r="AA177" t="s">
        <v>2</v>
      </c>
      <c r="AB177">
        <f>COUNTA(Estimates_on_the_use_of_water__2020__a_3712[[#This Row],[name]:[wat_sur_u]])</f>
        <v>27</v>
      </c>
      <c r="AC177">
        <f>COUNT(Estimates_on_the_use_of_water__2020__a_3712[[#This Row],[name]:[wat_sur_u]])</f>
        <v>13</v>
      </c>
    </row>
    <row r="178" spans="1:29" x14ac:dyDescent="0.25">
      <c r="A178" t="s">
        <v>1388</v>
      </c>
      <c r="B178" t="s">
        <v>375</v>
      </c>
      <c r="C178">
        <v>38928.339840000001</v>
      </c>
      <c r="D178" s="3">
        <f>Estimates_on_the_use_of_water__2020__a_3712[[#This Row],[pop_n]]*1000</f>
        <v>38928339.840000004</v>
      </c>
      <c r="E178" s="15">
        <f>Estimates_on_the_use_of_water__2020__a_3712[[#This Row],[pop_n]]/1000</f>
        <v>38.92833984</v>
      </c>
      <c r="F178" s="15">
        <f>Estimates_on_the_use_of_water__2020__a_3712[[#This Row],[pop_n (m)]]*1000000</f>
        <v>38928339.839999996</v>
      </c>
      <c r="G178" s="14">
        <f>ROUND(Estimates_on_the_use_of_water__2020__a_3712[[#This Row],[pop_n (m)]],3)</f>
        <v>38.927999999999997</v>
      </c>
      <c r="H178" s="14">
        <f>ROUNDUP(Estimates_on_the_use_of_water__2020__a_3712[[#This Row],[pop_n (m)]],3)</f>
        <v>38.928999999999995</v>
      </c>
      <c r="I178" s="9" t="s">
        <v>1389</v>
      </c>
      <c r="J178" s="1">
        <v>0.2602599907</v>
      </c>
      <c r="K178" s="2">
        <v>10131489.364724841</v>
      </c>
      <c r="L178" s="1">
        <v>10131.489364724839</v>
      </c>
      <c r="M178" s="2">
        <v>73.974000930000003</v>
      </c>
      <c r="N178" s="18" t="s">
        <v>1390</v>
      </c>
      <c r="O178" s="19">
        <v>1.45</v>
      </c>
      <c r="P178" s="20" t="s">
        <v>1391</v>
      </c>
      <c r="Q178" s="20">
        <f>ROUND(Estimates_on_the_use_of_water__2020__a_3712[[#This Row],[wat_unimp_n]],2)</f>
        <v>14.56</v>
      </c>
      <c r="R178" s="20" t="s">
        <v>1392</v>
      </c>
      <c r="S178">
        <f>ROUND(Estimates_on_the_use_of_water__2020__a_3712[[#This Row],[wat_sur_n]],2)</f>
        <v>8.9</v>
      </c>
      <c r="T178" t="s">
        <v>1393</v>
      </c>
      <c r="U178" t="s">
        <v>1394</v>
      </c>
      <c r="V178" t="s">
        <v>1395</v>
      </c>
      <c r="W178" t="s">
        <v>1396</v>
      </c>
      <c r="X178" t="s">
        <v>15</v>
      </c>
      <c r="Y178" t="s">
        <v>2</v>
      </c>
      <c r="Z178" t="s">
        <v>2</v>
      </c>
      <c r="AA178" t="s">
        <v>2</v>
      </c>
      <c r="AB178">
        <f>COUNTA(Estimates_on_the_use_of_water__2020__a_3712[[#This Row],[name]:[wat_sur_u]])</f>
        <v>27</v>
      </c>
      <c r="AC178">
        <f>COUNT(Estimates_on_the_use_of_water__2020__a_3712[[#This Row],[name]:[wat_sur_u]])</f>
        <v>13</v>
      </c>
    </row>
    <row r="179" spans="1:29" x14ac:dyDescent="0.25">
      <c r="A179" t="s">
        <v>1397</v>
      </c>
      <c r="B179" t="s">
        <v>34</v>
      </c>
      <c r="C179">
        <v>40222.503909999999</v>
      </c>
      <c r="D179" s="3">
        <f>Estimates_on_the_use_of_water__2020__a_3712[[#This Row],[pop_n]]*1000</f>
        <v>40222503.909999996</v>
      </c>
      <c r="E179" s="15">
        <f>Estimates_on_the_use_of_water__2020__a_3712[[#This Row],[pop_n]]/1000</f>
        <v>40.22250391</v>
      </c>
      <c r="F179" s="15">
        <f>Estimates_on_the_use_of_water__2020__a_3712[[#This Row],[pop_n (m)]]*1000000</f>
        <v>40222503.910000004</v>
      </c>
      <c r="G179" s="14">
        <f>ROUND(Estimates_on_the_use_of_water__2020__a_3712[[#This Row],[pop_n (m)]],3)</f>
        <v>40.222999999999999</v>
      </c>
      <c r="H179" s="14">
        <f>ROUNDUP(Estimates_on_the_use_of_water__2020__a_3712[[#This Row],[pop_n (m)]],3)</f>
        <v>40.222999999999999</v>
      </c>
      <c r="I179" s="9" t="s">
        <v>1398</v>
      </c>
      <c r="J179" s="1">
        <v>0.70892997739999997</v>
      </c>
      <c r="K179" s="2">
        <v>28514938.787887707</v>
      </c>
      <c r="L179" s="1">
        <v>28514.93878788771</v>
      </c>
      <c r="M179" s="2">
        <v>29.107002260000002</v>
      </c>
      <c r="N179" s="18" t="s">
        <v>1399</v>
      </c>
      <c r="O179" s="19">
        <v>0.89</v>
      </c>
      <c r="P179" s="20" t="s">
        <v>1400</v>
      </c>
      <c r="Q179" s="20">
        <f>ROUND(Estimates_on_the_use_of_water__2020__a_3712[[#This Row],[wat_unimp_n]],2)</f>
        <v>0</v>
      </c>
      <c r="R179" s="20" t="s">
        <v>1401</v>
      </c>
      <c r="S179">
        <f>ROUND(Estimates_on_the_use_of_water__2020__a_3712[[#This Row],[wat_sur_n]],2)</f>
        <v>0.75</v>
      </c>
      <c r="T179" t="s">
        <v>1402</v>
      </c>
      <c r="U179" t="s">
        <v>1403</v>
      </c>
      <c r="V179" t="s">
        <v>2</v>
      </c>
      <c r="W179" t="s">
        <v>1404</v>
      </c>
      <c r="X179" t="s">
        <v>1405</v>
      </c>
      <c r="Y179" t="s">
        <v>1406</v>
      </c>
      <c r="Z179" t="s">
        <v>2</v>
      </c>
      <c r="AA179" t="s">
        <v>2</v>
      </c>
      <c r="AB179">
        <f>COUNTA(Estimates_on_the_use_of_water__2020__a_3712[[#This Row],[name]:[wat_sur_u]])</f>
        <v>27</v>
      </c>
      <c r="AC179">
        <f>COUNT(Estimates_on_the_use_of_water__2020__a_3712[[#This Row],[name]:[wat_sur_u]])</f>
        <v>13</v>
      </c>
    </row>
    <row r="180" spans="1:29" x14ac:dyDescent="0.25">
      <c r="A180" t="s">
        <v>1407</v>
      </c>
      <c r="B180" t="s">
        <v>106</v>
      </c>
      <c r="C180">
        <v>43733.757810000003</v>
      </c>
      <c r="D180" s="3">
        <f>Estimates_on_the_use_of_water__2020__a_3712[[#This Row],[pop_n]]*1000</f>
        <v>43733757.810000002</v>
      </c>
      <c r="E180" s="15">
        <f>Estimates_on_the_use_of_water__2020__a_3712[[#This Row],[pop_n]]/1000</f>
        <v>43.73375781</v>
      </c>
      <c r="F180" s="15">
        <f>Estimates_on_the_use_of_water__2020__a_3712[[#This Row],[pop_n (m)]]*1000000</f>
        <v>43733757.810000002</v>
      </c>
      <c r="G180" s="14">
        <f>ROUND(Estimates_on_the_use_of_water__2020__a_3712[[#This Row],[pop_n (m)]],3)</f>
        <v>43.734000000000002</v>
      </c>
      <c r="H180" s="14">
        <f>ROUNDUP(Estimates_on_the_use_of_water__2020__a_3712[[#This Row],[pop_n (m)]],3)</f>
        <v>43.733999999999995</v>
      </c>
      <c r="I180" s="9" t="s">
        <v>1408</v>
      </c>
      <c r="J180" s="1">
        <v>0.6960800171</v>
      </c>
      <c r="K180" s="2">
        <v>30442194.884232059</v>
      </c>
      <c r="L180" s="1">
        <v>30442.19488423206</v>
      </c>
      <c r="M180" s="2">
        <v>30.391998290000004</v>
      </c>
      <c r="N180" s="18" t="s">
        <v>1409</v>
      </c>
      <c r="O180" s="19">
        <v>5.67</v>
      </c>
      <c r="P180" s="20" t="s">
        <v>1410</v>
      </c>
      <c r="Q180" s="20">
        <f>ROUND(Estimates_on_the_use_of_water__2020__a_3712[[#This Row],[wat_unimp_n]],2)</f>
        <v>0.08</v>
      </c>
      <c r="R180" s="20" t="s">
        <v>1411</v>
      </c>
      <c r="S180">
        <f>ROUND(Estimates_on_the_use_of_water__2020__a_3712[[#This Row],[wat_sur_n]],2)</f>
        <v>0.32</v>
      </c>
      <c r="T180" t="s">
        <v>15</v>
      </c>
      <c r="U180" t="s">
        <v>2</v>
      </c>
      <c r="V180" t="s">
        <v>2</v>
      </c>
      <c r="W180" t="s">
        <v>2</v>
      </c>
      <c r="X180" t="s">
        <v>1412</v>
      </c>
      <c r="Y180" t="s">
        <v>1413</v>
      </c>
      <c r="Z180" t="s">
        <v>1414</v>
      </c>
      <c r="AA180" t="s">
        <v>1415</v>
      </c>
      <c r="AB180">
        <f>COUNTA(Estimates_on_the_use_of_water__2020__a_3712[[#This Row],[name]:[wat_sur_u]])</f>
        <v>27</v>
      </c>
      <c r="AC180">
        <f>COUNT(Estimates_on_the_use_of_water__2020__a_3712[[#This Row],[name]:[wat_sur_u]])</f>
        <v>13</v>
      </c>
    </row>
    <row r="181" spans="1:29" x14ac:dyDescent="0.25">
      <c r="A181" t="s">
        <v>1416</v>
      </c>
      <c r="B181" t="s">
        <v>375</v>
      </c>
      <c r="C181">
        <v>43849.269529999998</v>
      </c>
      <c r="D181" s="3">
        <f>Estimates_on_the_use_of_water__2020__a_3712[[#This Row],[pop_n]]*1000</f>
        <v>43849269.530000001</v>
      </c>
      <c r="E181" s="15">
        <f>Estimates_on_the_use_of_water__2020__a_3712[[#This Row],[pop_n]]/1000</f>
        <v>43.849269530000001</v>
      </c>
      <c r="F181" s="15">
        <f>Estimates_on_the_use_of_water__2020__a_3712[[#This Row],[pop_n (m)]]*1000000</f>
        <v>43849269.530000001</v>
      </c>
      <c r="G181" s="14">
        <f>ROUND(Estimates_on_the_use_of_water__2020__a_3712[[#This Row],[pop_n (m)]],3)</f>
        <v>43.848999999999997</v>
      </c>
      <c r="H181" s="14">
        <f>ROUNDUP(Estimates_on_the_use_of_water__2020__a_3712[[#This Row],[pop_n (m)]],3)</f>
        <v>43.849999999999994</v>
      </c>
      <c r="I181" s="9" t="s">
        <v>1417</v>
      </c>
      <c r="J181" s="1">
        <v>0.35252998349999998</v>
      </c>
      <c r="K181" s="2">
        <v>15458182.263897952</v>
      </c>
      <c r="L181" s="1">
        <v>15458.18226389795</v>
      </c>
      <c r="M181" s="2">
        <v>64.747001650000001</v>
      </c>
      <c r="N181" s="18" t="s">
        <v>1418</v>
      </c>
      <c r="O181" s="19">
        <v>26.67</v>
      </c>
      <c r="P181" s="20" t="s">
        <v>1419</v>
      </c>
      <c r="Q181" s="20">
        <f>ROUND(Estimates_on_the_use_of_water__2020__a_3712[[#This Row],[wat_unimp_n]],2)</f>
        <v>3.65</v>
      </c>
      <c r="R181" s="20" t="s">
        <v>1420</v>
      </c>
      <c r="S181">
        <f>ROUND(Estimates_on_the_use_of_water__2020__a_3712[[#This Row],[wat_sur_n]],2)</f>
        <v>9.23</v>
      </c>
      <c r="T181" t="s">
        <v>1421</v>
      </c>
      <c r="U181" t="s">
        <v>1422</v>
      </c>
      <c r="V181" t="s">
        <v>1423</v>
      </c>
      <c r="W181" t="s">
        <v>1424</v>
      </c>
      <c r="X181" t="s">
        <v>1425</v>
      </c>
      <c r="Y181" t="s">
        <v>1426</v>
      </c>
      <c r="Z181" t="s">
        <v>2</v>
      </c>
      <c r="AA181" t="s">
        <v>1427</v>
      </c>
      <c r="AB181">
        <f>COUNTA(Estimates_on_the_use_of_water__2020__a_3712[[#This Row],[name]:[wat_sur_u]])</f>
        <v>27</v>
      </c>
      <c r="AC181">
        <f>COUNT(Estimates_on_the_use_of_water__2020__a_3712[[#This Row],[name]:[wat_sur_u]])</f>
        <v>13</v>
      </c>
    </row>
    <row r="182" spans="1:29" x14ac:dyDescent="0.25">
      <c r="A182" t="s">
        <v>1428</v>
      </c>
      <c r="B182" t="s">
        <v>106</v>
      </c>
      <c r="C182">
        <v>43851.042970000002</v>
      </c>
      <c r="D182" s="3">
        <f>Estimates_on_the_use_of_water__2020__a_3712[[#This Row],[pop_n]]*1000</f>
        <v>43851042.969999999</v>
      </c>
      <c r="E182" s="15">
        <f>Estimates_on_the_use_of_water__2020__a_3712[[#This Row],[pop_n]]/1000</f>
        <v>43.851042970000002</v>
      </c>
      <c r="F182" s="15">
        <f>Estimates_on_the_use_of_water__2020__a_3712[[#This Row],[pop_n (m)]]*1000000</f>
        <v>43851042.969999999</v>
      </c>
      <c r="G182" s="14">
        <f>ROUND(Estimates_on_the_use_of_water__2020__a_3712[[#This Row],[pop_n (m)]],3)</f>
        <v>43.850999999999999</v>
      </c>
      <c r="H182" s="14">
        <f>ROUNDUP(Estimates_on_the_use_of_water__2020__a_3712[[#This Row],[pop_n (m)]],3)</f>
        <v>43.851999999999997</v>
      </c>
      <c r="I182" s="9" t="s">
        <v>1429</v>
      </c>
      <c r="J182" s="1">
        <v>0.73733001710000001</v>
      </c>
      <c r="K182" s="2">
        <v>32332690.262922935</v>
      </c>
      <c r="L182" s="1">
        <v>32332.690262922937</v>
      </c>
      <c r="M182" s="2">
        <v>26.266998290000004</v>
      </c>
      <c r="N182" s="18" t="s">
        <v>1430</v>
      </c>
      <c r="O182" s="19">
        <v>4.99</v>
      </c>
      <c r="P182" s="20" t="s">
        <v>1431</v>
      </c>
      <c r="Q182" s="20">
        <f>ROUND(Estimates_on_the_use_of_water__2020__a_3712[[#This Row],[wat_unimp_n]],2)</f>
        <v>0.53</v>
      </c>
      <c r="R182" s="20" t="s">
        <v>1432</v>
      </c>
      <c r="S182">
        <f>ROUND(Estimates_on_the_use_of_water__2020__a_3712[[#This Row],[wat_sur_n]],2)</f>
        <v>0.04</v>
      </c>
      <c r="T182" t="s">
        <v>1433</v>
      </c>
      <c r="U182" t="s">
        <v>1434</v>
      </c>
      <c r="V182" t="s">
        <v>1435</v>
      </c>
      <c r="W182" t="s">
        <v>1436</v>
      </c>
      <c r="X182" t="s">
        <v>1437</v>
      </c>
      <c r="Y182" t="s">
        <v>1438</v>
      </c>
      <c r="Z182" t="s">
        <v>1439</v>
      </c>
      <c r="AA182" t="s">
        <v>2</v>
      </c>
      <c r="AB182">
        <f>COUNTA(Estimates_on_the_use_of_water__2020__a_3712[[#This Row],[name]:[wat_sur_u]])</f>
        <v>27</v>
      </c>
      <c r="AC182">
        <f>COUNT(Estimates_on_the_use_of_water__2020__a_3712[[#This Row],[name]:[wat_sur_u]])</f>
        <v>13</v>
      </c>
    </row>
    <row r="183" spans="1:29" x14ac:dyDescent="0.25">
      <c r="A183" t="s">
        <v>1440</v>
      </c>
      <c r="B183" t="s">
        <v>34</v>
      </c>
      <c r="C183">
        <v>45195.777340000001</v>
      </c>
      <c r="D183" s="3">
        <f>Estimates_on_the_use_of_water__2020__a_3712[[#This Row],[pop_n]]*1000</f>
        <v>45195777.340000004</v>
      </c>
      <c r="E183" s="15">
        <f>Estimates_on_the_use_of_water__2020__a_3712[[#This Row],[pop_n]]/1000</f>
        <v>45.195777339999999</v>
      </c>
      <c r="F183" s="15">
        <f>Estimates_on_the_use_of_water__2020__a_3712[[#This Row],[pop_n (m)]]*1000000</f>
        <v>45195777.339999996</v>
      </c>
      <c r="G183" s="14">
        <f>ROUND(Estimates_on_the_use_of_water__2020__a_3712[[#This Row],[pop_n (m)]],3)</f>
        <v>45.195999999999998</v>
      </c>
      <c r="H183" s="14">
        <f>ROUNDUP(Estimates_on_the_use_of_water__2020__a_3712[[#This Row],[pop_n (m)]],3)</f>
        <v>45.195999999999998</v>
      </c>
      <c r="I183" s="9" t="s">
        <v>1441</v>
      </c>
      <c r="J183" s="1">
        <v>0.92111000059999992</v>
      </c>
      <c r="K183" s="2">
        <v>41630282.492764868</v>
      </c>
      <c r="L183" s="1">
        <v>41630.282492764862</v>
      </c>
      <c r="M183" s="2">
        <v>7.888999940000005</v>
      </c>
      <c r="N183" s="18">
        <v>0</v>
      </c>
      <c r="O183" s="19">
        <v>0</v>
      </c>
      <c r="P183" s="20">
        <v>0</v>
      </c>
      <c r="Q183" s="20">
        <f>ROUND(Estimates_on_the_use_of_water__2020__a_3712[[#This Row],[wat_unimp_n]],2)</f>
        <v>0</v>
      </c>
      <c r="R183" s="20">
        <v>0</v>
      </c>
      <c r="S183">
        <f>ROUND(Estimates_on_the_use_of_water__2020__a_3712[[#This Row],[wat_sur_n]],2)</f>
        <v>0</v>
      </c>
      <c r="T183">
        <v>0</v>
      </c>
      <c r="U183">
        <v>0</v>
      </c>
      <c r="V183">
        <v>0</v>
      </c>
      <c r="W183" t="s">
        <v>1</v>
      </c>
      <c r="X183" t="s">
        <v>1442</v>
      </c>
      <c r="Y183" t="s">
        <v>2</v>
      </c>
      <c r="Z183" t="s">
        <v>1443</v>
      </c>
      <c r="AA183" t="s">
        <v>2</v>
      </c>
      <c r="AB183">
        <f>COUNTA(Estimates_on_the_use_of_water__2020__a_3712[[#This Row],[name]:[wat_sur_u]])</f>
        <v>27</v>
      </c>
      <c r="AC183">
        <f>COUNT(Estimates_on_the_use_of_water__2020__a_3712[[#This Row],[name]:[wat_sur_u]])</f>
        <v>19</v>
      </c>
    </row>
    <row r="184" spans="1:29" x14ac:dyDescent="0.25">
      <c r="A184" t="s">
        <v>1444</v>
      </c>
      <c r="B184" t="s">
        <v>375</v>
      </c>
      <c r="C184">
        <v>45741</v>
      </c>
      <c r="D184" s="3">
        <f>Estimates_on_the_use_of_water__2020__a_3712[[#This Row],[pop_n]]*1000</f>
        <v>45741000</v>
      </c>
      <c r="E184" s="15">
        <f>Estimates_on_the_use_of_water__2020__a_3712[[#This Row],[pop_n]]/1000</f>
        <v>45.741</v>
      </c>
      <c r="F184" s="15">
        <f>Estimates_on_the_use_of_water__2020__a_3712[[#This Row],[pop_n (m)]]*1000000</f>
        <v>45741000</v>
      </c>
      <c r="G184" s="14">
        <f>ROUND(Estimates_on_the_use_of_water__2020__a_3712[[#This Row],[pop_n (m)]],3)</f>
        <v>45.741</v>
      </c>
      <c r="H184" s="14">
        <f>ROUNDUP(Estimates_on_the_use_of_water__2020__a_3712[[#This Row],[pop_n (m)]],3)</f>
        <v>45.741</v>
      </c>
      <c r="I184" s="9" t="s">
        <v>1445</v>
      </c>
      <c r="J184" s="1">
        <v>0.24954000470000001</v>
      </c>
      <c r="K184" s="2">
        <v>11414209.3549827</v>
      </c>
      <c r="L184" s="1">
        <v>11414.2093549827</v>
      </c>
      <c r="M184" s="2">
        <v>75.045999530000003</v>
      </c>
      <c r="N184" s="18" t="s">
        <v>1446</v>
      </c>
      <c r="O184" s="19">
        <v>27.28</v>
      </c>
      <c r="P184" s="20" t="s">
        <v>1447</v>
      </c>
      <c r="Q184" s="20">
        <f>ROUND(Estimates_on_the_use_of_water__2020__a_3712[[#This Row],[wat_unimp_n]],2)</f>
        <v>12.17</v>
      </c>
      <c r="R184" s="20" t="s">
        <v>1448</v>
      </c>
      <c r="S184">
        <f>ROUND(Estimates_on_the_use_of_water__2020__a_3712[[#This Row],[wat_sur_n]],2)</f>
        <v>4.7</v>
      </c>
      <c r="T184" t="s">
        <v>1449</v>
      </c>
      <c r="U184" t="s">
        <v>1450</v>
      </c>
      <c r="V184" t="s">
        <v>1451</v>
      </c>
      <c r="W184" t="s">
        <v>1452</v>
      </c>
      <c r="X184" t="s">
        <v>1453</v>
      </c>
      <c r="Y184" t="s">
        <v>1454</v>
      </c>
      <c r="Z184" t="s">
        <v>1455</v>
      </c>
      <c r="AA184" t="s">
        <v>1456</v>
      </c>
      <c r="AB184">
        <f>COUNTA(Estimates_on_the_use_of_water__2020__a_3712[[#This Row],[name]:[wat_sur_u]])</f>
        <v>27</v>
      </c>
      <c r="AC184">
        <f>COUNT(Estimates_on_the_use_of_water__2020__a_3712[[#This Row],[name]:[wat_sur_u]])</f>
        <v>13</v>
      </c>
    </row>
    <row r="185" spans="1:29" x14ac:dyDescent="0.25">
      <c r="A185" t="s">
        <v>1457</v>
      </c>
      <c r="B185" t="s">
        <v>29</v>
      </c>
      <c r="C185">
        <v>46754.78125</v>
      </c>
      <c r="D185" s="3">
        <f>Estimates_on_the_use_of_water__2020__a_3712[[#This Row],[pop_n]]*1000</f>
        <v>46754781.25</v>
      </c>
      <c r="E185" s="15">
        <f>Estimates_on_the_use_of_water__2020__a_3712[[#This Row],[pop_n]]/1000</f>
        <v>46.754781250000001</v>
      </c>
      <c r="F185" s="15">
        <f>Estimates_on_the_use_of_water__2020__a_3712[[#This Row],[pop_n (m)]]*1000000</f>
        <v>46754781.25</v>
      </c>
      <c r="G185" s="14">
        <f>ROUND(Estimates_on_the_use_of_water__2020__a_3712[[#This Row],[pop_n (m)]],3)</f>
        <v>46.755000000000003</v>
      </c>
      <c r="H185" s="14">
        <f>ROUNDUP(Estimates_on_the_use_of_water__2020__a_3712[[#This Row],[pop_n (m)]],3)</f>
        <v>46.754999999999995</v>
      </c>
      <c r="I185" s="9" t="s">
        <v>1458</v>
      </c>
      <c r="J185" s="1">
        <v>0.80809997560000002</v>
      </c>
      <c r="K185" s="2">
        <v>37782537.58730834</v>
      </c>
      <c r="L185" s="1">
        <v>37782.537587308339</v>
      </c>
      <c r="M185" s="2">
        <v>19.190002440000001</v>
      </c>
      <c r="N185" s="18" t="s">
        <v>1459</v>
      </c>
      <c r="O185" s="19">
        <v>0</v>
      </c>
      <c r="P185" s="20" t="s">
        <v>1460</v>
      </c>
      <c r="Q185" s="20">
        <f>ROUND(Estimates_on_the_use_of_water__2020__a_3712[[#This Row],[wat_unimp_n]],2)</f>
        <v>7.0000000000000007E-2</v>
      </c>
      <c r="R185" s="20" t="s">
        <v>2</v>
      </c>
      <c r="S185">
        <f>ROUND(Estimates_on_the_use_of_water__2020__a_3712[[#This Row],[wat_sur_n]],2)</f>
        <v>0</v>
      </c>
      <c r="T185" t="s">
        <v>15</v>
      </c>
      <c r="U185" t="s">
        <v>2</v>
      </c>
      <c r="V185" t="s">
        <v>2</v>
      </c>
      <c r="W185" t="s">
        <v>2</v>
      </c>
      <c r="X185" t="s">
        <v>1461</v>
      </c>
      <c r="Y185" t="s">
        <v>2</v>
      </c>
      <c r="Z185" t="s">
        <v>1462</v>
      </c>
      <c r="AA185" t="s">
        <v>2</v>
      </c>
      <c r="AB185">
        <f>COUNTA(Estimates_on_the_use_of_water__2020__a_3712[[#This Row],[name]:[wat_sur_u]])</f>
        <v>27</v>
      </c>
      <c r="AC185">
        <f>COUNT(Estimates_on_the_use_of_water__2020__a_3712[[#This Row],[name]:[wat_sur_u]])</f>
        <v>13</v>
      </c>
    </row>
    <row r="186" spans="1:29" x14ac:dyDescent="0.25">
      <c r="A186" t="s">
        <v>1463</v>
      </c>
      <c r="B186" t="s">
        <v>34</v>
      </c>
      <c r="C186">
        <v>50882.882810000003</v>
      </c>
      <c r="D186" s="3">
        <f>Estimates_on_the_use_of_water__2020__a_3712[[#This Row],[pop_n]]*1000</f>
        <v>50882882.810000002</v>
      </c>
      <c r="E186" s="15">
        <f>Estimates_on_the_use_of_water__2020__a_3712[[#This Row],[pop_n]]/1000</f>
        <v>50.882882810000005</v>
      </c>
      <c r="F186" s="15">
        <f>Estimates_on_the_use_of_water__2020__a_3712[[#This Row],[pop_n (m)]]*1000000</f>
        <v>50882882.810000002</v>
      </c>
      <c r="G186" s="14">
        <f>ROUND(Estimates_on_the_use_of_water__2020__a_3712[[#This Row],[pop_n (m)]],3)</f>
        <v>50.883000000000003</v>
      </c>
      <c r="H186" s="14">
        <f>ROUNDUP(Estimates_on_the_use_of_water__2020__a_3712[[#This Row],[pop_n (m)]],3)</f>
        <v>50.882999999999996</v>
      </c>
      <c r="I186" s="9" t="s">
        <v>1464</v>
      </c>
      <c r="J186" s="1">
        <v>0.81424995420000001</v>
      </c>
      <c r="K186" s="2">
        <v>41431384.997606471</v>
      </c>
      <c r="L186" s="1">
        <v>41431.384997606474</v>
      </c>
      <c r="M186" s="2">
        <v>18.575004579999998</v>
      </c>
      <c r="N186" s="18" t="s">
        <v>1465</v>
      </c>
      <c r="O186" s="19">
        <v>0.19</v>
      </c>
      <c r="P186" s="20" t="s">
        <v>1466</v>
      </c>
      <c r="Q186" s="20">
        <f>ROUND(Estimates_on_the_use_of_water__2020__a_3712[[#This Row],[wat_unimp_n]],2)</f>
        <v>0.95</v>
      </c>
      <c r="R186" s="20" t="s">
        <v>1467</v>
      </c>
      <c r="S186">
        <f>ROUND(Estimates_on_the_use_of_water__2020__a_3712[[#This Row],[wat_sur_n]],2)</f>
        <v>1.37</v>
      </c>
      <c r="T186" t="s">
        <v>1468</v>
      </c>
      <c r="U186" t="s">
        <v>1469</v>
      </c>
      <c r="V186" t="s">
        <v>1470</v>
      </c>
      <c r="W186" t="s">
        <v>1471</v>
      </c>
      <c r="X186" t="s">
        <v>1472</v>
      </c>
      <c r="Y186" t="s">
        <v>1473</v>
      </c>
      <c r="Z186" t="s">
        <v>2</v>
      </c>
      <c r="AA186" t="s">
        <v>2</v>
      </c>
      <c r="AB186">
        <f>COUNTA(Estimates_on_the_use_of_water__2020__a_3712[[#This Row],[name]:[wat_sur_u]])</f>
        <v>27</v>
      </c>
      <c r="AC186">
        <f>COUNT(Estimates_on_the_use_of_water__2020__a_3712[[#This Row],[name]:[wat_sur_u]])</f>
        <v>13</v>
      </c>
    </row>
    <row r="187" spans="1:29" x14ac:dyDescent="0.25">
      <c r="A187" t="s">
        <v>1474</v>
      </c>
      <c r="B187" t="s">
        <v>29</v>
      </c>
      <c r="C187">
        <v>51269.183590000001</v>
      </c>
      <c r="D187" s="3">
        <f>Estimates_on_the_use_of_water__2020__a_3712[[#This Row],[pop_n]]*1000</f>
        <v>51269183.590000004</v>
      </c>
      <c r="E187" s="15">
        <f>Estimates_on_the_use_of_water__2020__a_3712[[#This Row],[pop_n]]/1000</f>
        <v>51.269183589999997</v>
      </c>
      <c r="F187" s="15">
        <f>Estimates_on_the_use_of_water__2020__a_3712[[#This Row],[pop_n (m)]]*1000000</f>
        <v>51269183.589999996</v>
      </c>
      <c r="G187" s="14">
        <f>ROUND(Estimates_on_the_use_of_water__2020__a_3712[[#This Row],[pop_n (m)]],3)</f>
        <v>51.268999999999998</v>
      </c>
      <c r="H187" s="14">
        <f>ROUNDUP(Estimates_on_the_use_of_water__2020__a_3712[[#This Row],[pop_n (m)]],3)</f>
        <v>51.269999999999996</v>
      </c>
      <c r="I187" s="9" t="s">
        <v>1475</v>
      </c>
      <c r="J187" s="1">
        <v>0.81414001459999996</v>
      </c>
      <c r="K187" s="2">
        <v>41740293.876492679</v>
      </c>
      <c r="L187" s="1">
        <v>41740.29387649268</v>
      </c>
      <c r="M187" s="2">
        <v>18.585998540000006</v>
      </c>
      <c r="N187" s="18" t="s">
        <v>1476</v>
      </c>
      <c r="O187" s="19">
        <v>0</v>
      </c>
      <c r="P187" s="20" t="s">
        <v>1477</v>
      </c>
      <c r="Q187" s="20">
        <f>ROUND(Estimates_on_the_use_of_water__2020__a_3712[[#This Row],[wat_unimp_n]],2)</f>
        <v>7.0000000000000007E-2</v>
      </c>
      <c r="R187" s="20" t="s">
        <v>2</v>
      </c>
      <c r="S187">
        <f>ROUND(Estimates_on_the_use_of_water__2020__a_3712[[#This Row],[wat_sur_n]],2)</f>
        <v>0</v>
      </c>
      <c r="T187">
        <v>0</v>
      </c>
      <c r="U187">
        <v>0</v>
      </c>
      <c r="V187">
        <v>0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>
        <f>COUNTA(Estimates_on_the_use_of_water__2020__a_3712[[#This Row],[name]:[wat_sur_u]])</f>
        <v>27</v>
      </c>
      <c r="AC187">
        <f>COUNT(Estimates_on_the_use_of_water__2020__a_3712[[#This Row],[name]:[wat_sur_u]])</f>
        <v>16</v>
      </c>
    </row>
    <row r="188" spans="1:29" x14ac:dyDescent="0.25">
      <c r="A188" t="s">
        <v>1478</v>
      </c>
      <c r="B188" t="s">
        <v>106</v>
      </c>
      <c r="C188">
        <v>53771.300779999998</v>
      </c>
      <c r="D188" s="3">
        <f>Estimates_on_the_use_of_water__2020__a_3712[[#This Row],[pop_n]]*1000</f>
        <v>53771300.780000001</v>
      </c>
      <c r="E188" s="15">
        <f>Estimates_on_the_use_of_water__2020__a_3712[[#This Row],[pop_n]]/1000</f>
        <v>53.771300779999997</v>
      </c>
      <c r="F188" s="15">
        <f>Estimates_on_the_use_of_water__2020__a_3712[[#This Row],[pop_n (m)]]*1000000</f>
        <v>53771300.779999994</v>
      </c>
      <c r="G188" s="14">
        <f>ROUND(Estimates_on_the_use_of_water__2020__a_3712[[#This Row],[pop_n (m)]],3)</f>
        <v>53.771000000000001</v>
      </c>
      <c r="H188" s="14">
        <f>ROUNDUP(Estimates_on_the_use_of_water__2020__a_3712[[#This Row],[pop_n (m)]],3)</f>
        <v>53.771999999999998</v>
      </c>
      <c r="I188" s="9" t="s">
        <v>1479</v>
      </c>
      <c r="J188" s="1">
        <v>0.27994998930000004</v>
      </c>
      <c r="K188" s="2">
        <v>15053275.078008084</v>
      </c>
      <c r="L188" s="1">
        <v>15053.275078008082</v>
      </c>
      <c r="M188" s="2">
        <v>72.005001069999992</v>
      </c>
      <c r="N188" s="18" t="s">
        <v>1480</v>
      </c>
      <c r="O188" s="19">
        <v>9.5399999999999991</v>
      </c>
      <c r="P188" s="20" t="s">
        <v>1481</v>
      </c>
      <c r="Q188" s="20">
        <f>ROUND(Estimates_on_the_use_of_water__2020__a_3712[[#This Row],[wat_unimp_n]],2)</f>
        <v>9.7799999999999994</v>
      </c>
      <c r="R188" s="20" t="s">
        <v>1482</v>
      </c>
      <c r="S188">
        <f>ROUND(Estimates_on_the_use_of_water__2020__a_3712[[#This Row],[wat_sur_n]],2)</f>
        <v>19.05</v>
      </c>
      <c r="T188" t="s">
        <v>1483</v>
      </c>
      <c r="U188" t="s">
        <v>1484</v>
      </c>
      <c r="V188" t="s">
        <v>1485</v>
      </c>
      <c r="W188" t="s">
        <v>1486</v>
      </c>
      <c r="X188" t="s">
        <v>1487</v>
      </c>
      <c r="Y188" t="s">
        <v>1488</v>
      </c>
      <c r="Z188" t="s">
        <v>1489</v>
      </c>
      <c r="AA188" t="s">
        <v>1490</v>
      </c>
      <c r="AB188">
        <f>COUNTA(Estimates_on_the_use_of_water__2020__a_3712[[#This Row],[name]:[wat_sur_u]])</f>
        <v>27</v>
      </c>
      <c r="AC188">
        <f>COUNT(Estimates_on_the_use_of_water__2020__a_3712[[#This Row],[name]:[wat_sur_u]])</f>
        <v>13</v>
      </c>
    </row>
    <row r="189" spans="1:29" x14ac:dyDescent="0.25">
      <c r="A189" t="s">
        <v>1491</v>
      </c>
      <c r="B189" t="s">
        <v>106</v>
      </c>
      <c r="C189">
        <v>54409.792970000002</v>
      </c>
      <c r="D189" s="3">
        <f>Estimates_on_the_use_of_water__2020__a_3712[[#This Row],[pop_n]]*1000</f>
        <v>54409792.969999999</v>
      </c>
      <c r="E189" s="15">
        <f>Estimates_on_the_use_of_water__2020__a_3712[[#This Row],[pop_n]]/1000</f>
        <v>54.409792970000005</v>
      </c>
      <c r="F189" s="15">
        <f>Estimates_on_the_use_of_water__2020__a_3712[[#This Row],[pop_n (m)]]*1000000</f>
        <v>54409792.970000006</v>
      </c>
      <c r="G189" s="14">
        <f>ROUND(Estimates_on_the_use_of_water__2020__a_3712[[#This Row],[pop_n (m)]],3)</f>
        <v>54.41</v>
      </c>
      <c r="H189" s="14">
        <f>ROUNDUP(Estimates_on_the_use_of_water__2020__a_3712[[#This Row],[pop_n (m)]],3)</f>
        <v>54.41</v>
      </c>
      <c r="I189" s="9" t="s">
        <v>1492</v>
      </c>
      <c r="J189" s="1">
        <v>0.31141000749999997</v>
      </c>
      <c r="K189" s="2">
        <v>16943754.036861144</v>
      </c>
      <c r="L189" s="1">
        <v>16943.754036861148</v>
      </c>
      <c r="M189" s="2">
        <v>68.858999249999997</v>
      </c>
      <c r="N189" s="18" t="s">
        <v>1493</v>
      </c>
      <c r="O189" s="19">
        <v>1.6</v>
      </c>
      <c r="P189" s="20" t="s">
        <v>1494</v>
      </c>
      <c r="Q189" s="20">
        <f>ROUND(Estimates_on_the_use_of_water__2020__a_3712[[#This Row],[wat_unimp_n]],2)</f>
        <v>5.1100000000000003</v>
      </c>
      <c r="R189" s="20" t="s">
        <v>1495</v>
      </c>
      <c r="S189">
        <f>ROUND(Estimates_on_the_use_of_water__2020__a_3712[[#This Row],[wat_sur_n]],2)</f>
        <v>9.58</v>
      </c>
      <c r="T189" t="s">
        <v>1496</v>
      </c>
      <c r="U189" t="s">
        <v>1497</v>
      </c>
      <c r="V189" t="s">
        <v>1498</v>
      </c>
      <c r="W189" t="s">
        <v>1499</v>
      </c>
      <c r="X189" t="s">
        <v>1500</v>
      </c>
      <c r="Y189" t="s">
        <v>2</v>
      </c>
      <c r="Z189" t="s">
        <v>1501</v>
      </c>
      <c r="AA189" t="s">
        <v>1502</v>
      </c>
      <c r="AB189">
        <f>COUNTA(Estimates_on_the_use_of_water__2020__a_3712[[#This Row],[name]:[wat_sur_u]])</f>
        <v>27</v>
      </c>
      <c r="AC189">
        <f>COUNT(Estimates_on_the_use_of_water__2020__a_3712[[#This Row],[name]:[wat_sur_u]])</f>
        <v>13</v>
      </c>
    </row>
    <row r="190" spans="1:29" x14ac:dyDescent="0.25">
      <c r="A190" t="s">
        <v>1503</v>
      </c>
      <c r="B190" t="s">
        <v>34</v>
      </c>
      <c r="C190">
        <v>59308.691409999999</v>
      </c>
      <c r="D190" s="3">
        <f>Estimates_on_the_use_of_water__2020__a_3712[[#This Row],[pop_n]]*1000</f>
        <v>59308691.409999996</v>
      </c>
      <c r="E190" s="15">
        <f>Estimates_on_the_use_of_water__2020__a_3712[[#This Row],[pop_n]]/1000</f>
        <v>59.308691410000002</v>
      </c>
      <c r="F190" s="15">
        <f>Estimates_on_the_use_of_water__2020__a_3712[[#This Row],[pop_n (m)]]*1000000</f>
        <v>59308691.410000004</v>
      </c>
      <c r="G190" s="14">
        <f>ROUND(Estimates_on_the_use_of_water__2020__a_3712[[#This Row],[pop_n (m)]],3)</f>
        <v>59.308999999999997</v>
      </c>
      <c r="H190" s="14">
        <f>ROUNDUP(Estimates_on_the_use_of_water__2020__a_3712[[#This Row],[pop_n (m)]],3)</f>
        <v>59.308999999999997</v>
      </c>
      <c r="I190" s="9" t="s">
        <v>1504</v>
      </c>
      <c r="J190" s="1">
        <v>0.67354003910000004</v>
      </c>
      <c r="K190" s="2">
        <v>39946778.331261232</v>
      </c>
      <c r="L190" s="1">
        <v>39946.778331261237</v>
      </c>
      <c r="M190" s="2">
        <v>32.645996089999997</v>
      </c>
      <c r="N190" s="18" t="s">
        <v>1505</v>
      </c>
      <c r="O190" s="19">
        <v>2.77</v>
      </c>
      <c r="P190" s="20" t="s">
        <v>1506</v>
      </c>
      <c r="Q190" s="20">
        <f>ROUND(Estimates_on_the_use_of_water__2020__a_3712[[#This Row],[wat_unimp_n]],2)</f>
        <v>1.41</v>
      </c>
      <c r="R190" s="20" t="s">
        <v>1507</v>
      </c>
      <c r="S190">
        <f>ROUND(Estimates_on_the_use_of_water__2020__a_3712[[#This Row],[wat_sur_n]],2)</f>
        <v>1.93</v>
      </c>
      <c r="T190" t="s">
        <v>1508</v>
      </c>
      <c r="U190" t="s">
        <v>1509</v>
      </c>
      <c r="V190" t="s">
        <v>1510</v>
      </c>
      <c r="W190" t="s">
        <v>1511</v>
      </c>
      <c r="X190" t="s">
        <v>1512</v>
      </c>
      <c r="Y190" t="s">
        <v>1513</v>
      </c>
      <c r="Z190" t="s">
        <v>1514</v>
      </c>
      <c r="AA190" t="s">
        <v>2</v>
      </c>
      <c r="AB190">
        <f>COUNTA(Estimates_on_the_use_of_water__2020__a_3712[[#This Row],[name]:[wat_sur_u]])</f>
        <v>27</v>
      </c>
      <c r="AC190">
        <f>COUNT(Estimates_on_the_use_of_water__2020__a_3712[[#This Row],[name]:[wat_sur_u]])</f>
        <v>13</v>
      </c>
    </row>
    <row r="191" spans="1:29" x14ac:dyDescent="0.25">
      <c r="A191" t="s">
        <v>1515</v>
      </c>
      <c r="B191" t="s">
        <v>106</v>
      </c>
      <c r="C191">
        <v>59734.214840000001</v>
      </c>
      <c r="D191" s="3">
        <f>Estimates_on_the_use_of_water__2020__a_3712[[#This Row],[pop_n]]*1000</f>
        <v>59734214.840000004</v>
      </c>
      <c r="E191" s="15">
        <f>Estimates_on_the_use_of_water__2020__a_3712[[#This Row],[pop_n]]/1000</f>
        <v>59.73421484</v>
      </c>
      <c r="F191" s="15">
        <f>Estimates_on_the_use_of_water__2020__a_3712[[#This Row],[pop_n (m)]]*1000000</f>
        <v>59734214.840000004</v>
      </c>
      <c r="G191" s="14">
        <f>ROUND(Estimates_on_the_use_of_water__2020__a_3712[[#This Row],[pop_n (m)]],3)</f>
        <v>59.734000000000002</v>
      </c>
      <c r="H191" s="14">
        <f>ROUNDUP(Estimates_on_the_use_of_water__2020__a_3712[[#This Row],[pop_n (m)]],3)</f>
        <v>59.734999999999999</v>
      </c>
      <c r="I191" s="9" t="s">
        <v>1516</v>
      </c>
      <c r="J191" s="1">
        <v>0.35227001190000001</v>
      </c>
      <c r="K191" s="2">
        <v>21042572.572523959</v>
      </c>
      <c r="L191" s="1">
        <v>21042.572572523957</v>
      </c>
      <c r="M191" s="2">
        <v>64.77299880999999</v>
      </c>
      <c r="N191" s="18" t="s">
        <v>1517</v>
      </c>
      <c r="O191" s="19">
        <v>11.29</v>
      </c>
      <c r="P191" s="20" t="s">
        <v>1518</v>
      </c>
      <c r="Q191" s="20">
        <f>ROUND(Estimates_on_the_use_of_water__2020__a_3712[[#This Row],[wat_unimp_n]],2)</f>
        <v>14.52</v>
      </c>
      <c r="R191" s="20" t="s">
        <v>1519</v>
      </c>
      <c r="S191">
        <f>ROUND(Estimates_on_the_use_of_water__2020__a_3712[[#This Row],[wat_sur_n]],2)</f>
        <v>13.48</v>
      </c>
      <c r="T191" t="s">
        <v>1520</v>
      </c>
      <c r="U191" t="s">
        <v>1521</v>
      </c>
      <c r="V191" t="s">
        <v>1522</v>
      </c>
      <c r="W191" t="s">
        <v>1523</v>
      </c>
      <c r="X191" t="s">
        <v>1524</v>
      </c>
      <c r="Y191" t="s">
        <v>1525</v>
      </c>
      <c r="Z191" t="s">
        <v>1526</v>
      </c>
      <c r="AA191" t="s">
        <v>1527</v>
      </c>
      <c r="AB191">
        <f>COUNTA(Estimates_on_the_use_of_water__2020__a_3712[[#This Row],[name]:[wat_sur_u]])</f>
        <v>27</v>
      </c>
      <c r="AC191">
        <f>COUNT(Estimates_on_the_use_of_water__2020__a_3712[[#This Row],[name]:[wat_sur_u]])</f>
        <v>13</v>
      </c>
    </row>
    <row r="192" spans="1:29" x14ac:dyDescent="0.25">
      <c r="A192" t="s">
        <v>1528</v>
      </c>
      <c r="B192" t="s">
        <v>29</v>
      </c>
      <c r="C192">
        <v>60461.828130000002</v>
      </c>
      <c r="D192" s="3">
        <f>Estimates_on_the_use_of_water__2020__a_3712[[#This Row],[pop_n]]*1000</f>
        <v>60461828.130000003</v>
      </c>
      <c r="E192" s="15">
        <f>Estimates_on_the_use_of_water__2020__a_3712[[#This Row],[pop_n]]/1000</f>
        <v>60.461828130000001</v>
      </c>
      <c r="F192" s="15">
        <f>Estimates_on_the_use_of_water__2020__a_3712[[#This Row],[pop_n (m)]]*1000000</f>
        <v>60461828.130000003</v>
      </c>
      <c r="G192" s="14">
        <f>ROUND(Estimates_on_the_use_of_water__2020__a_3712[[#This Row],[pop_n (m)]],3)</f>
        <v>60.462000000000003</v>
      </c>
      <c r="H192" s="14">
        <f>ROUNDUP(Estimates_on_the_use_of_water__2020__a_3712[[#This Row],[pop_n (m)]],3)</f>
        <v>60.461999999999996</v>
      </c>
      <c r="I192" s="9" t="s">
        <v>1529</v>
      </c>
      <c r="J192" s="1">
        <v>0.71038993840000009</v>
      </c>
      <c r="K192" s="2">
        <v>42951474.360822096</v>
      </c>
      <c r="L192" s="1">
        <v>42951.474360822096</v>
      </c>
      <c r="M192" s="2">
        <v>28.961006159999997</v>
      </c>
      <c r="N192" s="18" t="s">
        <v>1530</v>
      </c>
      <c r="O192" s="19">
        <v>0</v>
      </c>
      <c r="P192" s="20" t="s">
        <v>1531</v>
      </c>
      <c r="Q192" s="20">
        <f>ROUND(Estimates_on_the_use_of_water__2020__a_3712[[#This Row],[wat_unimp_n]],2)</f>
        <v>0.08</v>
      </c>
      <c r="R192" s="20" t="s">
        <v>2</v>
      </c>
      <c r="S192">
        <f>ROUND(Estimates_on_the_use_of_water__2020__a_3712[[#This Row],[wat_sur_n]],2)</f>
        <v>0</v>
      </c>
      <c r="T192">
        <v>0</v>
      </c>
      <c r="U192">
        <v>0</v>
      </c>
      <c r="V192">
        <v>0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>
        <f>COUNTA(Estimates_on_the_use_of_water__2020__a_3712[[#This Row],[name]:[wat_sur_u]])</f>
        <v>27</v>
      </c>
      <c r="AC192">
        <f>COUNT(Estimates_on_the_use_of_water__2020__a_3712[[#This Row],[name]:[wat_sur_u]])</f>
        <v>16</v>
      </c>
    </row>
    <row r="193" spans="1:29" x14ac:dyDescent="0.25">
      <c r="A193" t="s">
        <v>1532</v>
      </c>
      <c r="B193" t="s">
        <v>29</v>
      </c>
      <c r="C193">
        <v>65273.511720000002</v>
      </c>
      <c r="D193" s="3">
        <f>Estimates_on_the_use_of_water__2020__a_3712[[#This Row],[pop_n]]*1000</f>
        <v>65273511.719999999</v>
      </c>
      <c r="E193" s="15">
        <f>Estimates_on_the_use_of_water__2020__a_3712[[#This Row],[pop_n]]/1000</f>
        <v>65.273511720000002</v>
      </c>
      <c r="F193" s="15">
        <f>Estimates_on_the_use_of_water__2020__a_3712[[#This Row],[pop_n (m)]]*1000000</f>
        <v>65273511.719999999</v>
      </c>
      <c r="G193" s="14">
        <f>ROUND(Estimates_on_the_use_of_water__2020__a_3712[[#This Row],[pop_n (m)]],3)</f>
        <v>65.274000000000001</v>
      </c>
      <c r="H193" s="14">
        <f>ROUNDUP(Estimates_on_the_use_of_water__2020__a_3712[[#This Row],[pop_n (m)]],3)</f>
        <v>65.274000000000001</v>
      </c>
      <c r="I193" s="9" t="s">
        <v>1533</v>
      </c>
      <c r="J193" s="1">
        <v>0.80974998470000004</v>
      </c>
      <c r="K193" s="2">
        <v>52855225.11658527</v>
      </c>
      <c r="L193" s="1">
        <v>52855.225116585272</v>
      </c>
      <c r="M193" s="2">
        <v>19.025001529999997</v>
      </c>
      <c r="N193" s="18" t="s">
        <v>1534</v>
      </c>
      <c r="O193" s="19">
        <v>0</v>
      </c>
      <c r="P193" s="20" t="s">
        <v>1535</v>
      </c>
      <c r="Q193" s="20">
        <f>ROUND(Estimates_on_the_use_of_water__2020__a_3712[[#This Row],[wat_unimp_n]],2)</f>
        <v>0</v>
      </c>
      <c r="R193" s="20" t="s">
        <v>2</v>
      </c>
      <c r="S193">
        <f>ROUND(Estimates_on_the_use_of_water__2020__a_3712[[#This Row],[wat_sur_n]],2)</f>
        <v>0</v>
      </c>
      <c r="T193" t="s">
        <v>15</v>
      </c>
      <c r="U193" t="s">
        <v>2</v>
      </c>
      <c r="V193" t="s">
        <v>2</v>
      </c>
      <c r="W193" t="s">
        <v>2</v>
      </c>
      <c r="X193" t="s">
        <v>15</v>
      </c>
      <c r="Y193" t="s">
        <v>2</v>
      </c>
      <c r="Z193" t="s">
        <v>2</v>
      </c>
      <c r="AA193" t="s">
        <v>2</v>
      </c>
      <c r="AB193">
        <f>COUNTA(Estimates_on_the_use_of_water__2020__a_3712[[#This Row],[name]:[wat_sur_u]])</f>
        <v>27</v>
      </c>
      <c r="AC193">
        <f>COUNT(Estimates_on_the_use_of_water__2020__a_3712[[#This Row],[name]:[wat_sur_u]])</f>
        <v>13</v>
      </c>
    </row>
    <row r="194" spans="1:29" x14ac:dyDescent="0.25">
      <c r="A194" t="s">
        <v>1536</v>
      </c>
      <c r="B194" t="s">
        <v>29</v>
      </c>
      <c r="C194">
        <v>67886.007809999996</v>
      </c>
      <c r="D194" s="3">
        <f>Estimates_on_the_use_of_water__2020__a_3712[[#This Row],[pop_n]]*1000</f>
        <v>67886007.810000002</v>
      </c>
      <c r="E194" s="15">
        <f>Estimates_on_the_use_of_water__2020__a_3712[[#This Row],[pop_n]]/1000</f>
        <v>67.886007809999995</v>
      </c>
      <c r="F194" s="15">
        <f>Estimates_on_the_use_of_water__2020__a_3712[[#This Row],[pop_n (m)]]*1000000</f>
        <v>67886007.810000002</v>
      </c>
      <c r="G194" s="14">
        <f>ROUND(Estimates_on_the_use_of_water__2020__a_3712[[#This Row],[pop_n (m)]],3)</f>
        <v>67.885999999999996</v>
      </c>
      <c r="H194" s="14">
        <f>ROUNDUP(Estimates_on_the_use_of_water__2020__a_3712[[#This Row],[pop_n (m)]],3)</f>
        <v>67.887</v>
      </c>
      <c r="I194" s="9" t="s">
        <v>1537</v>
      </c>
      <c r="J194" s="1">
        <v>0.83902999879999995</v>
      </c>
      <c r="K194" s="2">
        <v>56958397.051361091</v>
      </c>
      <c r="L194" s="1">
        <v>56958.397051361084</v>
      </c>
      <c r="M194" s="2">
        <v>16.097000120000004</v>
      </c>
      <c r="N194" s="18" t="s">
        <v>1538</v>
      </c>
      <c r="O194" s="19">
        <v>0</v>
      </c>
      <c r="P194" s="20" t="s">
        <v>1539</v>
      </c>
      <c r="Q194" s="20">
        <f>ROUND(Estimates_on_the_use_of_water__2020__a_3712[[#This Row],[wat_unimp_n]],2)</f>
        <v>0</v>
      </c>
      <c r="R194" s="20" t="s">
        <v>2</v>
      </c>
      <c r="S194">
        <f>ROUND(Estimates_on_the_use_of_water__2020__a_3712[[#This Row],[wat_sur_n]],2)</f>
        <v>0</v>
      </c>
      <c r="T194" t="s">
        <v>15</v>
      </c>
      <c r="U194" t="s">
        <v>2</v>
      </c>
      <c r="V194" t="s">
        <v>2</v>
      </c>
      <c r="W194" t="s">
        <v>2</v>
      </c>
      <c r="X194" t="s">
        <v>15</v>
      </c>
      <c r="Y194" t="s">
        <v>2</v>
      </c>
      <c r="Z194" t="s">
        <v>2</v>
      </c>
      <c r="AA194" t="s">
        <v>2</v>
      </c>
      <c r="AB194">
        <f>COUNTA(Estimates_on_the_use_of_water__2020__a_3712[[#This Row],[name]:[wat_sur_u]])</f>
        <v>27</v>
      </c>
      <c r="AC194">
        <f>COUNT(Estimates_on_the_use_of_water__2020__a_3712[[#This Row],[name]:[wat_sur_u]])</f>
        <v>13</v>
      </c>
    </row>
    <row r="195" spans="1:29" x14ac:dyDescent="0.25">
      <c r="A195" t="s">
        <v>1540</v>
      </c>
      <c r="B195" t="s">
        <v>34</v>
      </c>
      <c r="C195">
        <v>69799.976559999996</v>
      </c>
      <c r="D195" s="3">
        <f>Estimates_on_the_use_of_water__2020__a_3712[[#This Row],[pop_n]]*1000</f>
        <v>69799976.560000002</v>
      </c>
      <c r="E195" s="15">
        <f>Estimates_on_the_use_of_water__2020__a_3712[[#This Row],[pop_n]]/1000</f>
        <v>69.79997655999999</v>
      </c>
      <c r="F195" s="15">
        <f>Estimates_on_the_use_of_water__2020__a_3712[[#This Row],[pop_n (m)]]*1000000</f>
        <v>69799976.559999987</v>
      </c>
      <c r="G195" s="14">
        <f>ROUND(Estimates_on_the_use_of_water__2020__a_3712[[#This Row],[pop_n (m)]],3)</f>
        <v>69.8</v>
      </c>
      <c r="H195" s="14">
        <f>ROUNDUP(Estimates_on_the_use_of_water__2020__a_3712[[#This Row],[pop_n (m)]],3)</f>
        <v>69.800000000000011</v>
      </c>
      <c r="I195" s="9" t="s">
        <v>1541</v>
      </c>
      <c r="J195" s="1">
        <v>0.51430000310000001</v>
      </c>
      <c r="K195" s="2">
        <v>35898128.161187932</v>
      </c>
      <c r="L195" s="1">
        <v>35898.128161187924</v>
      </c>
      <c r="M195" s="2">
        <v>48.569999690000003</v>
      </c>
      <c r="N195" s="18" t="s">
        <v>15</v>
      </c>
      <c r="O195" s="19">
        <v>0</v>
      </c>
      <c r="P195" s="20" t="s">
        <v>2</v>
      </c>
      <c r="Q195" s="20">
        <f>ROUND(Estimates_on_the_use_of_water__2020__a_3712[[#This Row],[wat_unimp_n]],2)</f>
        <v>0</v>
      </c>
      <c r="R195" s="20" t="s">
        <v>2</v>
      </c>
      <c r="S195">
        <f>ROUND(Estimates_on_the_use_of_water__2020__a_3712[[#This Row],[wat_sur_n]],2)</f>
        <v>0</v>
      </c>
      <c r="T195" t="s">
        <v>15</v>
      </c>
      <c r="U195" t="s">
        <v>2</v>
      </c>
      <c r="V195" t="s">
        <v>2</v>
      </c>
      <c r="W195" t="s">
        <v>2</v>
      </c>
      <c r="X195" t="s">
        <v>15</v>
      </c>
      <c r="Y195" t="s">
        <v>2</v>
      </c>
      <c r="Z195" t="s">
        <v>2</v>
      </c>
      <c r="AA195" t="s">
        <v>2</v>
      </c>
      <c r="AB195">
        <f>COUNTA(Estimates_on_the_use_of_water__2020__a_3712[[#This Row],[name]:[wat_sur_u]])</f>
        <v>27</v>
      </c>
      <c r="AC195">
        <f>COUNT(Estimates_on_the_use_of_water__2020__a_3712[[#This Row],[name]:[wat_sur_u]])</f>
        <v>13</v>
      </c>
    </row>
    <row r="196" spans="1:29" x14ac:dyDescent="0.25">
      <c r="A196" t="s">
        <v>1542</v>
      </c>
      <c r="B196" t="s">
        <v>29</v>
      </c>
      <c r="C196">
        <v>83783.945309999996</v>
      </c>
      <c r="D196" s="3">
        <f>Estimates_on_the_use_of_water__2020__a_3712[[#This Row],[pop_n]]*1000</f>
        <v>83783945.310000002</v>
      </c>
      <c r="E196" s="15">
        <f>Estimates_on_the_use_of_water__2020__a_3712[[#This Row],[pop_n]]/1000</f>
        <v>83.783945309999993</v>
      </c>
      <c r="F196" s="15">
        <f>Estimates_on_the_use_of_water__2020__a_3712[[#This Row],[pop_n (m)]]*1000000</f>
        <v>83783945.309999987</v>
      </c>
      <c r="G196" s="14">
        <f>ROUND(Estimates_on_the_use_of_water__2020__a_3712[[#This Row],[pop_n (m)]],3)</f>
        <v>83.784000000000006</v>
      </c>
      <c r="H196" s="14">
        <f>ROUNDUP(Estimates_on_the_use_of_water__2020__a_3712[[#This Row],[pop_n (m)]],3)</f>
        <v>83.784000000000006</v>
      </c>
      <c r="I196" s="9" t="s">
        <v>1543</v>
      </c>
      <c r="J196" s="1">
        <v>0.77453002929999992</v>
      </c>
      <c r="K196" s="2">
        <v>64893181.615823895</v>
      </c>
      <c r="L196" s="1">
        <v>64893.181615823887</v>
      </c>
      <c r="M196" s="2">
        <v>22.546997070000003</v>
      </c>
      <c r="N196" s="18" t="s">
        <v>880</v>
      </c>
      <c r="O196" s="19">
        <v>0</v>
      </c>
      <c r="P196" s="20" t="s">
        <v>2</v>
      </c>
      <c r="Q196" s="20">
        <f>ROUND(Estimates_on_the_use_of_water__2020__a_3712[[#This Row],[wat_unimp_n]],2)</f>
        <v>0</v>
      </c>
      <c r="R196" s="20" t="s">
        <v>2</v>
      </c>
      <c r="S196">
        <f>ROUND(Estimates_on_the_use_of_water__2020__a_3712[[#This Row],[wat_sur_n]],2)</f>
        <v>0</v>
      </c>
      <c r="T196" t="s">
        <v>15</v>
      </c>
      <c r="U196" t="s">
        <v>2</v>
      </c>
      <c r="V196" t="s">
        <v>2</v>
      </c>
      <c r="W196" t="s">
        <v>2</v>
      </c>
      <c r="X196" t="s">
        <v>15</v>
      </c>
      <c r="Y196" t="s">
        <v>2</v>
      </c>
      <c r="Z196" t="s">
        <v>2</v>
      </c>
      <c r="AA196" t="s">
        <v>2</v>
      </c>
      <c r="AB196">
        <f>COUNTA(Estimates_on_the_use_of_water__2020__a_3712[[#This Row],[name]:[wat_sur_u]])</f>
        <v>27</v>
      </c>
      <c r="AC196">
        <f>COUNT(Estimates_on_the_use_of_water__2020__a_3712[[#This Row],[name]:[wat_sur_u]])</f>
        <v>13</v>
      </c>
    </row>
    <row r="197" spans="1:29" x14ac:dyDescent="0.25">
      <c r="A197" t="s">
        <v>1544</v>
      </c>
      <c r="B197" t="s">
        <v>106</v>
      </c>
      <c r="C197">
        <v>83992.953129999994</v>
      </c>
      <c r="D197" s="3">
        <f>Estimates_on_the_use_of_water__2020__a_3712[[#This Row],[pop_n]]*1000</f>
        <v>83992953.129999995</v>
      </c>
      <c r="E197" s="15">
        <f>Estimates_on_the_use_of_water__2020__a_3712[[#This Row],[pop_n]]/1000</f>
        <v>83.992953129999989</v>
      </c>
      <c r="F197" s="15">
        <f>Estimates_on_the_use_of_water__2020__a_3712[[#This Row],[pop_n (m)]]*1000000</f>
        <v>83992953.129999995</v>
      </c>
      <c r="G197" s="14">
        <f>ROUND(Estimates_on_the_use_of_water__2020__a_3712[[#This Row],[pop_n (m)]],3)</f>
        <v>83.992999999999995</v>
      </c>
      <c r="H197" s="14">
        <f>ROUNDUP(Estimates_on_the_use_of_water__2020__a_3712[[#This Row],[pop_n (m)]],3)</f>
        <v>83.993000000000009</v>
      </c>
      <c r="I197" s="9" t="s">
        <v>1545</v>
      </c>
      <c r="J197" s="1">
        <v>0.75874000550000009</v>
      </c>
      <c r="K197" s="2">
        <v>63728813.719817445</v>
      </c>
      <c r="L197" s="1">
        <v>63728.813719817445</v>
      </c>
      <c r="M197" s="2">
        <v>24.125999449999995</v>
      </c>
      <c r="N197" s="18" t="s">
        <v>1546</v>
      </c>
      <c r="O197" s="19">
        <v>1.94</v>
      </c>
      <c r="P197" s="20" t="s">
        <v>1547</v>
      </c>
      <c r="Q197" s="20">
        <f>ROUND(Estimates_on_the_use_of_water__2020__a_3712[[#This Row],[wat_unimp_n]],2)</f>
        <v>0.51</v>
      </c>
      <c r="R197" s="20" t="s">
        <v>1548</v>
      </c>
      <c r="S197">
        <f>ROUND(Estimates_on_the_use_of_water__2020__a_3712[[#This Row],[wat_sur_n]],2)</f>
        <v>7.0000000000000007E-2</v>
      </c>
      <c r="T197" t="s">
        <v>1549</v>
      </c>
      <c r="U197" t="s">
        <v>1550</v>
      </c>
      <c r="V197" t="s">
        <v>1551</v>
      </c>
      <c r="W197" t="s">
        <v>1552</v>
      </c>
      <c r="X197" t="s">
        <v>1553</v>
      </c>
      <c r="Y197" t="s">
        <v>1554</v>
      </c>
      <c r="Z197" t="s">
        <v>1555</v>
      </c>
      <c r="AA197" t="s">
        <v>2</v>
      </c>
      <c r="AB197">
        <f>COUNTA(Estimates_on_the_use_of_water__2020__a_3712[[#This Row],[name]:[wat_sur_u]])</f>
        <v>27</v>
      </c>
      <c r="AC197">
        <f>COUNT(Estimates_on_the_use_of_water__2020__a_3712[[#This Row],[name]:[wat_sur_u]])</f>
        <v>13</v>
      </c>
    </row>
    <row r="198" spans="1:29" x14ac:dyDescent="0.25">
      <c r="A198" t="s">
        <v>1556</v>
      </c>
      <c r="B198" t="s">
        <v>34</v>
      </c>
      <c r="C198">
        <v>84339.070309999996</v>
      </c>
      <c r="D198" s="3">
        <f>Estimates_on_the_use_of_water__2020__a_3712[[#This Row],[pop_n]]*1000</f>
        <v>84339070.310000002</v>
      </c>
      <c r="E198" s="15">
        <f>Estimates_on_the_use_of_water__2020__a_3712[[#This Row],[pop_n]]/1000</f>
        <v>84.339070309999997</v>
      </c>
      <c r="F198" s="15">
        <f>Estimates_on_the_use_of_water__2020__a_3712[[#This Row],[pop_n (m)]]*1000000</f>
        <v>84339070.310000002</v>
      </c>
      <c r="G198" s="14">
        <f>ROUND(Estimates_on_the_use_of_water__2020__a_3712[[#This Row],[pop_n (m)]],3)</f>
        <v>84.338999999999999</v>
      </c>
      <c r="H198" s="14">
        <f>ROUNDUP(Estimates_on_the_use_of_water__2020__a_3712[[#This Row],[pop_n (m)]],3)</f>
        <v>84.34</v>
      </c>
      <c r="I198" s="9" t="s">
        <v>1557</v>
      </c>
      <c r="J198" s="1">
        <v>0.76105003360000001</v>
      </c>
      <c r="K198" s="2">
        <v>64186252.293218262</v>
      </c>
      <c r="L198" s="1">
        <v>64186.252293218262</v>
      </c>
      <c r="M198" s="2">
        <v>23.894996640000002</v>
      </c>
      <c r="N198" s="18" t="s">
        <v>1558</v>
      </c>
      <c r="O198" s="19">
        <v>2.02</v>
      </c>
      <c r="P198" s="20" t="s">
        <v>1559</v>
      </c>
      <c r="Q198" s="20">
        <f>ROUND(Estimates_on_the_use_of_water__2020__a_3712[[#This Row],[wat_unimp_n]],2)</f>
        <v>0.74</v>
      </c>
      <c r="R198" s="20" t="s">
        <v>1560</v>
      </c>
      <c r="S198">
        <f>ROUND(Estimates_on_the_use_of_water__2020__a_3712[[#This Row],[wat_sur_n]],2)</f>
        <v>0.22</v>
      </c>
      <c r="T198" t="s">
        <v>1561</v>
      </c>
      <c r="U198" t="s">
        <v>1562</v>
      </c>
      <c r="V198" t="s">
        <v>1563</v>
      </c>
      <c r="W198" t="s">
        <v>1564</v>
      </c>
      <c r="X198" t="s">
        <v>1565</v>
      </c>
      <c r="Y198" t="s">
        <v>1566</v>
      </c>
      <c r="Z198" t="s">
        <v>1567</v>
      </c>
      <c r="AA198" t="s">
        <v>1568</v>
      </c>
      <c r="AB198">
        <f>COUNTA(Estimates_on_the_use_of_water__2020__a_3712[[#This Row],[name]:[wat_sur_u]])</f>
        <v>27</v>
      </c>
      <c r="AC198">
        <f>COUNT(Estimates_on_the_use_of_water__2020__a_3712[[#This Row],[name]:[wat_sur_u]])</f>
        <v>13</v>
      </c>
    </row>
    <row r="199" spans="1:29" x14ac:dyDescent="0.25">
      <c r="A199" t="s">
        <v>1569</v>
      </c>
      <c r="B199" t="s">
        <v>106</v>
      </c>
      <c r="C199">
        <v>89561.40625</v>
      </c>
      <c r="D199" s="3">
        <f>Estimates_on_the_use_of_water__2020__a_3712[[#This Row],[pop_n]]*1000</f>
        <v>89561406.25</v>
      </c>
      <c r="E199" s="15">
        <f>Estimates_on_the_use_of_water__2020__a_3712[[#This Row],[pop_n]]/1000</f>
        <v>89.561406250000005</v>
      </c>
      <c r="F199" s="15">
        <f>Estimates_on_the_use_of_water__2020__a_3712[[#This Row],[pop_n (m)]]*1000000</f>
        <v>89561406.25</v>
      </c>
      <c r="G199" s="14">
        <f>ROUND(Estimates_on_the_use_of_water__2020__a_3712[[#This Row],[pop_n (m)]],3)</f>
        <v>89.561000000000007</v>
      </c>
      <c r="H199" s="14">
        <f>ROUNDUP(Estimates_on_the_use_of_water__2020__a_3712[[#This Row],[pop_n (m)]],3)</f>
        <v>89.562000000000012</v>
      </c>
      <c r="I199" s="9" t="s">
        <v>1570</v>
      </c>
      <c r="J199" s="1">
        <v>0.45638000490000002</v>
      </c>
      <c r="K199" s="2">
        <v>40874035.023225896</v>
      </c>
      <c r="L199" s="1">
        <v>40874.035023225893</v>
      </c>
      <c r="M199" s="2">
        <v>54.361999509999997</v>
      </c>
      <c r="N199" s="18" t="s">
        <v>1571</v>
      </c>
      <c r="O199" s="19">
        <v>13.44</v>
      </c>
      <c r="P199" s="20" t="s">
        <v>1572</v>
      </c>
      <c r="Q199" s="20">
        <f>ROUND(Estimates_on_the_use_of_water__2020__a_3712[[#This Row],[wat_unimp_n]],2)</f>
        <v>32.54</v>
      </c>
      <c r="R199" s="20" t="s">
        <v>1573</v>
      </c>
      <c r="S199">
        <f>ROUND(Estimates_on_the_use_of_water__2020__a_3712[[#This Row],[wat_sur_n]],2)</f>
        <v>8.06</v>
      </c>
      <c r="T199" t="s">
        <v>1574</v>
      </c>
      <c r="U199" t="s">
        <v>1575</v>
      </c>
      <c r="V199" t="s">
        <v>1576</v>
      </c>
      <c r="W199" t="s">
        <v>1577</v>
      </c>
      <c r="X199" t="s">
        <v>1578</v>
      </c>
      <c r="Y199" t="s">
        <v>1579</v>
      </c>
      <c r="Z199" t="s">
        <v>1580</v>
      </c>
      <c r="AA199" t="s">
        <v>1581</v>
      </c>
      <c r="AB199">
        <f>COUNTA(Estimates_on_the_use_of_water__2020__a_3712[[#This Row],[name]:[wat_sur_u]])</f>
        <v>27</v>
      </c>
      <c r="AC199">
        <f>COUNT(Estimates_on_the_use_of_water__2020__a_3712[[#This Row],[name]:[wat_sur_u]])</f>
        <v>13</v>
      </c>
    </row>
    <row r="200" spans="1:29" x14ac:dyDescent="0.25">
      <c r="A200" t="s">
        <v>1582</v>
      </c>
      <c r="B200" t="s">
        <v>106</v>
      </c>
      <c r="C200">
        <v>97338.585940000004</v>
      </c>
      <c r="D200" s="3">
        <f>Estimates_on_the_use_of_water__2020__a_3712[[#This Row],[pop_n]]*1000</f>
        <v>97338585.939999998</v>
      </c>
      <c r="E200" s="15">
        <f>Estimates_on_the_use_of_water__2020__a_3712[[#This Row],[pop_n]]/1000</f>
        <v>97.338585940000002</v>
      </c>
      <c r="F200" s="15">
        <f>Estimates_on_the_use_of_water__2020__a_3712[[#This Row],[pop_n (m)]]*1000000</f>
        <v>97338585.939999998</v>
      </c>
      <c r="G200" s="14">
        <f>ROUND(Estimates_on_the_use_of_water__2020__a_3712[[#This Row],[pop_n (m)]],3)</f>
        <v>97.338999999999999</v>
      </c>
      <c r="H200" s="14">
        <f>ROUNDUP(Estimates_on_the_use_of_water__2020__a_3712[[#This Row],[pop_n (m)]],3)</f>
        <v>97.338999999999999</v>
      </c>
      <c r="I200" s="9" t="s">
        <v>1583</v>
      </c>
      <c r="J200" s="1">
        <v>0.37340000150000002</v>
      </c>
      <c r="K200" s="2">
        <v>36346228.136003882</v>
      </c>
      <c r="L200" s="1">
        <v>36346.228136003883</v>
      </c>
      <c r="M200" s="2">
        <v>62.659999849999998</v>
      </c>
      <c r="N200" s="18" t="s">
        <v>1584</v>
      </c>
      <c r="O200" s="19">
        <v>0</v>
      </c>
      <c r="P200" s="20" t="s">
        <v>1585</v>
      </c>
      <c r="Q200" s="20">
        <f>ROUND(Estimates_on_the_use_of_water__2020__a_3712[[#This Row],[wat_unimp_n]],2)</f>
        <v>3.12</v>
      </c>
      <c r="R200" s="20" t="s">
        <v>2</v>
      </c>
      <c r="S200">
        <f>ROUND(Estimates_on_the_use_of_water__2020__a_3712[[#This Row],[wat_sur_n]],2)</f>
        <v>0</v>
      </c>
      <c r="T200" t="s">
        <v>1586</v>
      </c>
      <c r="U200" t="s">
        <v>2</v>
      </c>
      <c r="V200" t="s">
        <v>1587</v>
      </c>
      <c r="W200" t="s">
        <v>2</v>
      </c>
      <c r="X200" t="s">
        <v>1588</v>
      </c>
      <c r="Y200" t="s">
        <v>2</v>
      </c>
      <c r="Z200" t="s">
        <v>1589</v>
      </c>
      <c r="AA200" t="s">
        <v>2</v>
      </c>
      <c r="AB200">
        <f>COUNTA(Estimates_on_the_use_of_water__2020__a_3712[[#This Row],[name]:[wat_sur_u]])</f>
        <v>27</v>
      </c>
      <c r="AC200">
        <f>COUNT(Estimates_on_the_use_of_water__2020__a_3712[[#This Row],[name]:[wat_sur_u]])</f>
        <v>13</v>
      </c>
    </row>
    <row r="201" spans="1:29" x14ac:dyDescent="0.25">
      <c r="A201" t="s">
        <v>1590</v>
      </c>
      <c r="B201" t="s">
        <v>106</v>
      </c>
      <c r="C201">
        <v>102334.4063</v>
      </c>
      <c r="D201" s="3">
        <f>Estimates_on_the_use_of_water__2020__a_3712[[#This Row],[pop_n]]*1000</f>
        <v>102334406.3</v>
      </c>
      <c r="E201" s="15">
        <f>Estimates_on_the_use_of_water__2020__a_3712[[#This Row],[pop_n]]/1000</f>
        <v>102.3344063</v>
      </c>
      <c r="F201" s="15">
        <f>Estimates_on_the_use_of_water__2020__a_3712[[#This Row],[pop_n (m)]]*1000000</f>
        <v>102334406.3</v>
      </c>
      <c r="G201" s="14">
        <f>ROUND(Estimates_on_the_use_of_water__2020__a_3712[[#This Row],[pop_n (m)]],3)</f>
        <v>102.334</v>
      </c>
      <c r="H201" s="14">
        <f>ROUNDUP(Estimates_on_the_use_of_water__2020__a_3712[[#This Row],[pop_n (m)]],3)</f>
        <v>102.33500000000001</v>
      </c>
      <c r="I201" s="9" t="s">
        <v>1591</v>
      </c>
      <c r="J201" s="1">
        <v>0.4278300095</v>
      </c>
      <c r="K201" s="2">
        <v>43781730.019505858</v>
      </c>
      <c r="L201" s="1">
        <v>43781.730019505863</v>
      </c>
      <c r="M201" s="2">
        <v>57.216999049999998</v>
      </c>
      <c r="N201" s="18" t="s">
        <v>1592</v>
      </c>
      <c r="O201" s="19">
        <v>0.24</v>
      </c>
      <c r="P201" s="20" t="s">
        <v>1593</v>
      </c>
      <c r="Q201" s="20">
        <f>ROUND(Estimates_on_the_use_of_water__2020__a_3712[[#This Row],[wat_unimp_n]],2)</f>
        <v>0.32</v>
      </c>
      <c r="R201" s="20" t="s">
        <v>2</v>
      </c>
      <c r="S201">
        <f>ROUND(Estimates_on_the_use_of_water__2020__a_3712[[#This Row],[wat_sur_n]],2)</f>
        <v>0</v>
      </c>
      <c r="T201" t="s">
        <v>1594</v>
      </c>
      <c r="U201" t="s">
        <v>1595</v>
      </c>
      <c r="V201" t="s">
        <v>1596</v>
      </c>
      <c r="W201" t="s">
        <v>2</v>
      </c>
      <c r="X201" t="s">
        <v>1597</v>
      </c>
      <c r="Y201" t="s">
        <v>1598</v>
      </c>
      <c r="Z201" t="s">
        <v>1599</v>
      </c>
      <c r="AA201" t="s">
        <v>2</v>
      </c>
      <c r="AB201">
        <f>COUNTA(Estimates_on_the_use_of_water__2020__a_3712[[#This Row],[name]:[wat_sur_u]])</f>
        <v>27</v>
      </c>
      <c r="AC201">
        <f>COUNT(Estimates_on_the_use_of_water__2020__a_3712[[#This Row],[name]:[wat_sur_u]])</f>
        <v>13</v>
      </c>
    </row>
    <row r="202" spans="1:29" x14ac:dyDescent="0.25">
      <c r="A202" t="s">
        <v>1600</v>
      </c>
      <c r="B202" t="s">
        <v>106</v>
      </c>
      <c r="C202">
        <v>109581.08590000001</v>
      </c>
      <c r="D202" s="3">
        <f>Estimates_on_the_use_of_water__2020__a_3712[[#This Row],[pop_n]]*1000</f>
        <v>109581085.90000001</v>
      </c>
      <c r="E202" s="15">
        <f>Estimates_on_the_use_of_water__2020__a_3712[[#This Row],[pop_n]]/1000</f>
        <v>109.58108590000001</v>
      </c>
      <c r="F202" s="15">
        <f>Estimates_on_the_use_of_water__2020__a_3712[[#This Row],[pop_n (m)]]*1000000</f>
        <v>109581085.90000001</v>
      </c>
      <c r="G202" s="14">
        <f>ROUND(Estimates_on_the_use_of_water__2020__a_3712[[#This Row],[pop_n (m)]],3)</f>
        <v>109.581</v>
      </c>
      <c r="H202" s="14">
        <f>ROUNDUP(Estimates_on_the_use_of_water__2020__a_3712[[#This Row],[pop_n (m)]],3)</f>
        <v>109.58200000000001</v>
      </c>
      <c r="I202" s="9" t="s">
        <v>1601</v>
      </c>
      <c r="J202" s="1">
        <v>0.47407997129999996</v>
      </c>
      <c r="K202" s="2">
        <v>51950198.058494836</v>
      </c>
      <c r="L202" s="1">
        <v>51950.198058494832</v>
      </c>
      <c r="M202" s="2">
        <v>52.592002870000002</v>
      </c>
      <c r="N202" s="18" t="s">
        <v>1602</v>
      </c>
      <c r="O202" s="19">
        <v>2.86</v>
      </c>
      <c r="P202" s="20" t="s">
        <v>1603</v>
      </c>
      <c r="Q202" s="20">
        <f>ROUND(Estimates_on_the_use_of_water__2020__a_3712[[#This Row],[wat_unimp_n]],2)</f>
        <v>3.03</v>
      </c>
      <c r="R202" s="20" t="s">
        <v>2</v>
      </c>
      <c r="S202">
        <f>ROUND(Estimates_on_the_use_of_water__2020__a_3712[[#This Row],[wat_sur_n]],2)</f>
        <v>0</v>
      </c>
      <c r="T202" t="s">
        <v>1604</v>
      </c>
      <c r="U202" t="s">
        <v>1605</v>
      </c>
      <c r="V202" t="s">
        <v>1606</v>
      </c>
      <c r="W202" t="s">
        <v>2</v>
      </c>
      <c r="X202" t="s">
        <v>1607</v>
      </c>
      <c r="Y202" t="s">
        <v>1608</v>
      </c>
      <c r="Z202" t="s">
        <v>1609</v>
      </c>
      <c r="AA202" t="s">
        <v>2</v>
      </c>
      <c r="AB202">
        <f>COUNTA(Estimates_on_the_use_of_water__2020__a_3712[[#This Row],[name]:[wat_sur_u]])</f>
        <v>27</v>
      </c>
      <c r="AC202">
        <f>COUNT(Estimates_on_the_use_of_water__2020__a_3712[[#This Row],[name]:[wat_sur_u]])</f>
        <v>13</v>
      </c>
    </row>
    <row r="203" spans="1:29" x14ac:dyDescent="0.25">
      <c r="A203" t="s">
        <v>1610</v>
      </c>
      <c r="B203" t="s">
        <v>375</v>
      </c>
      <c r="C203">
        <v>114963.58590000001</v>
      </c>
      <c r="D203" s="3">
        <f>Estimates_on_the_use_of_water__2020__a_3712[[#This Row],[pop_n]]*1000</f>
        <v>114963585.90000001</v>
      </c>
      <c r="E203" s="15">
        <f>Estimates_on_the_use_of_water__2020__a_3712[[#This Row],[pop_n]]/1000</f>
        <v>114.96358590000001</v>
      </c>
      <c r="F203" s="15">
        <f>Estimates_on_the_use_of_water__2020__a_3712[[#This Row],[pop_n (m)]]*1000000</f>
        <v>114963585.90000001</v>
      </c>
      <c r="G203" s="14">
        <f>ROUND(Estimates_on_the_use_of_water__2020__a_3712[[#This Row],[pop_n (m)]],3)</f>
        <v>114.964</v>
      </c>
      <c r="H203" s="14">
        <f>ROUNDUP(Estimates_on_the_use_of_water__2020__a_3712[[#This Row],[pop_n (m)]],3)</f>
        <v>114.964</v>
      </c>
      <c r="I203" s="9" t="s">
        <v>1611</v>
      </c>
      <c r="J203" s="1">
        <v>0.2169499969</v>
      </c>
      <c r="K203" s="2">
        <v>24941349.604617886</v>
      </c>
      <c r="L203" s="1">
        <v>24941.349604617884</v>
      </c>
      <c r="M203" s="2">
        <v>78.305000309999997</v>
      </c>
      <c r="N203" s="18" t="s">
        <v>1612</v>
      </c>
      <c r="O203" s="19">
        <v>26.74</v>
      </c>
      <c r="P203" s="20" t="s">
        <v>1613</v>
      </c>
      <c r="Q203" s="20">
        <f>ROUND(Estimates_on_the_use_of_water__2020__a_3712[[#This Row],[wat_unimp_n]],2)</f>
        <v>18.64</v>
      </c>
      <c r="R203" s="20" t="s">
        <v>1614</v>
      </c>
      <c r="S203">
        <f>ROUND(Estimates_on_the_use_of_water__2020__a_3712[[#This Row],[wat_sur_n]],2)</f>
        <v>5.01</v>
      </c>
      <c r="T203" t="s">
        <v>1615</v>
      </c>
      <c r="U203" t="s">
        <v>1616</v>
      </c>
      <c r="V203" t="s">
        <v>1617</v>
      </c>
      <c r="W203" t="s">
        <v>1618</v>
      </c>
      <c r="X203" t="s">
        <v>1619</v>
      </c>
      <c r="Y203" t="s">
        <v>1620</v>
      </c>
      <c r="Z203" t="s">
        <v>1621</v>
      </c>
      <c r="AA203" t="s">
        <v>1622</v>
      </c>
      <c r="AB203">
        <f>COUNTA(Estimates_on_the_use_of_water__2020__a_3712[[#This Row],[name]:[wat_sur_u]])</f>
        <v>27</v>
      </c>
      <c r="AC203">
        <f>COUNT(Estimates_on_the_use_of_water__2020__a_3712[[#This Row],[name]:[wat_sur_u]])</f>
        <v>13</v>
      </c>
    </row>
    <row r="204" spans="1:29" x14ac:dyDescent="0.25">
      <c r="A204" t="s">
        <v>1623</v>
      </c>
      <c r="B204" t="s">
        <v>29</v>
      </c>
      <c r="C204">
        <v>126476.46090000001</v>
      </c>
      <c r="D204" s="3">
        <f>Estimates_on_the_use_of_water__2020__a_3712[[#This Row],[pop_n]]*1000</f>
        <v>126476460.90000001</v>
      </c>
      <c r="E204" s="15">
        <f>Estimates_on_the_use_of_water__2020__a_3712[[#This Row],[pop_n]]/1000</f>
        <v>126.47646090000001</v>
      </c>
      <c r="F204" s="15">
        <f>Estimates_on_the_use_of_water__2020__a_3712[[#This Row],[pop_n (m)]]*1000000</f>
        <v>126476460.90000001</v>
      </c>
      <c r="G204" s="14">
        <f>ROUND(Estimates_on_the_use_of_water__2020__a_3712[[#This Row],[pop_n (m)]],3)</f>
        <v>126.476</v>
      </c>
      <c r="H204" s="14">
        <f>ROUNDUP(Estimates_on_the_use_of_water__2020__a_3712[[#This Row],[pop_n (m)]],3)</f>
        <v>126.477</v>
      </c>
      <c r="I204" s="9" t="s">
        <v>1624</v>
      </c>
      <c r="J204" s="1">
        <v>0.91781997680000005</v>
      </c>
      <c r="K204" s="2">
        <v>116082622.40898412</v>
      </c>
      <c r="L204" s="1">
        <v>116082.62240898411</v>
      </c>
      <c r="M204" s="2">
        <v>8.2180023199999965</v>
      </c>
      <c r="N204" s="18" t="s">
        <v>1625</v>
      </c>
      <c r="O204" s="19">
        <v>0</v>
      </c>
      <c r="P204" s="20" t="s">
        <v>1626</v>
      </c>
      <c r="Q204" s="20">
        <f>ROUND(Estimates_on_the_use_of_water__2020__a_3712[[#This Row],[wat_unimp_n]],2)</f>
        <v>0.92</v>
      </c>
      <c r="R204" s="20" t="s">
        <v>2</v>
      </c>
      <c r="S204">
        <f>ROUND(Estimates_on_the_use_of_water__2020__a_3712[[#This Row],[wat_sur_n]],2)</f>
        <v>0</v>
      </c>
      <c r="T204">
        <v>0</v>
      </c>
      <c r="U204">
        <v>0</v>
      </c>
      <c r="V204">
        <v>0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>
        <f>COUNTA(Estimates_on_the_use_of_water__2020__a_3712[[#This Row],[name]:[wat_sur_u]])</f>
        <v>27</v>
      </c>
      <c r="AC204">
        <f>COUNT(Estimates_on_the_use_of_water__2020__a_3712[[#This Row],[name]:[wat_sur_u]])</f>
        <v>16</v>
      </c>
    </row>
    <row r="205" spans="1:29" x14ac:dyDescent="0.25">
      <c r="A205" t="s">
        <v>1627</v>
      </c>
      <c r="B205" t="s">
        <v>34</v>
      </c>
      <c r="C205">
        <v>128932.75</v>
      </c>
      <c r="D205" s="3">
        <f>Estimates_on_the_use_of_water__2020__a_3712[[#This Row],[pop_n]]*1000</f>
        <v>128932750</v>
      </c>
      <c r="E205" s="15">
        <f>Estimates_on_the_use_of_water__2020__a_3712[[#This Row],[pop_n]]/1000</f>
        <v>128.93275</v>
      </c>
      <c r="F205" s="15">
        <f>Estimates_on_the_use_of_water__2020__a_3712[[#This Row],[pop_n (m)]]*1000000</f>
        <v>128932750</v>
      </c>
      <c r="G205" s="14">
        <f>ROUND(Estimates_on_the_use_of_water__2020__a_3712[[#This Row],[pop_n (m)]],3)</f>
        <v>128.93299999999999</v>
      </c>
      <c r="H205" s="14">
        <f>ROUNDUP(Estimates_on_the_use_of_water__2020__a_3712[[#This Row],[pop_n (m)]],3)</f>
        <v>128.93299999999999</v>
      </c>
      <c r="I205" s="9" t="s">
        <v>1628</v>
      </c>
      <c r="J205" s="1">
        <v>0.80730995179999998</v>
      </c>
      <c r="K205" s="2">
        <v>104088692.18794145</v>
      </c>
      <c r="L205" s="1">
        <v>104088.69218794144</v>
      </c>
      <c r="M205" s="2">
        <v>19.269004820000006</v>
      </c>
      <c r="N205" s="18" t="s">
        <v>1629</v>
      </c>
      <c r="O205" s="19">
        <v>0</v>
      </c>
      <c r="P205" s="20" t="s">
        <v>1630</v>
      </c>
      <c r="Q205" s="20">
        <f>ROUND(Estimates_on_the_use_of_water__2020__a_3712[[#This Row],[wat_unimp_n]],2)</f>
        <v>0.32</v>
      </c>
      <c r="R205" s="20" t="s">
        <v>2</v>
      </c>
      <c r="S205">
        <f>ROUND(Estimates_on_the_use_of_water__2020__a_3712[[#This Row],[wat_sur_n]],2)</f>
        <v>0</v>
      </c>
      <c r="T205" t="s">
        <v>1631</v>
      </c>
      <c r="U205" t="s">
        <v>2</v>
      </c>
      <c r="V205" t="s">
        <v>1632</v>
      </c>
      <c r="W205" t="s">
        <v>2</v>
      </c>
      <c r="X205" t="s">
        <v>15</v>
      </c>
      <c r="Y205" t="s">
        <v>2</v>
      </c>
      <c r="Z205" t="s">
        <v>2</v>
      </c>
      <c r="AA205" t="s">
        <v>2</v>
      </c>
      <c r="AB205">
        <f>COUNTA(Estimates_on_the_use_of_water__2020__a_3712[[#This Row],[name]:[wat_sur_u]])</f>
        <v>27</v>
      </c>
      <c r="AC205">
        <f>COUNT(Estimates_on_the_use_of_water__2020__a_3712[[#This Row],[name]:[wat_sur_u]])</f>
        <v>13</v>
      </c>
    </row>
    <row r="206" spans="1:29" x14ac:dyDescent="0.25">
      <c r="A206" t="s">
        <v>1633</v>
      </c>
      <c r="B206" t="s">
        <v>34</v>
      </c>
      <c r="C206">
        <v>145934.45310000001</v>
      </c>
      <c r="D206" s="3">
        <f>Estimates_on_the_use_of_water__2020__a_3712[[#This Row],[pop_n]]*1000</f>
        <v>145934453.10000002</v>
      </c>
      <c r="E206" s="15">
        <f>Estimates_on_the_use_of_water__2020__a_3712[[#This Row],[pop_n]]/1000</f>
        <v>145.93445310000001</v>
      </c>
      <c r="F206" s="15">
        <f>Estimates_on_the_use_of_water__2020__a_3712[[#This Row],[pop_n (m)]]*1000000</f>
        <v>145934453.10000002</v>
      </c>
      <c r="G206" s="14">
        <f>ROUND(Estimates_on_the_use_of_water__2020__a_3712[[#This Row],[pop_n (m)]],3)</f>
        <v>145.934</v>
      </c>
      <c r="H206" s="14">
        <f>ROUNDUP(Estimates_on_the_use_of_water__2020__a_3712[[#This Row],[pop_n (m)]],3)</f>
        <v>145.935</v>
      </c>
      <c r="I206" s="9" t="s">
        <v>1634</v>
      </c>
      <c r="J206" s="1">
        <v>0.74754005430000003</v>
      </c>
      <c r="K206" s="2">
        <v>109091848.99461482</v>
      </c>
      <c r="L206" s="1">
        <v>109091.84899461482</v>
      </c>
      <c r="M206" s="2">
        <v>25.245994569999993</v>
      </c>
      <c r="N206" s="18" t="s">
        <v>1635</v>
      </c>
      <c r="O206" s="19">
        <v>0.62</v>
      </c>
      <c r="P206" s="20" t="s">
        <v>1636</v>
      </c>
      <c r="Q206" s="20">
        <f>ROUND(Estimates_on_the_use_of_water__2020__a_3712[[#This Row],[wat_unimp_n]],2)</f>
        <v>2.39</v>
      </c>
      <c r="R206" s="20">
        <v>0</v>
      </c>
      <c r="S206">
        <f>ROUND(Estimates_on_the_use_of_water__2020__a_3712[[#This Row],[wat_sur_n]],2)</f>
        <v>0</v>
      </c>
      <c r="T206" t="s">
        <v>1637</v>
      </c>
      <c r="U206" t="s">
        <v>1638</v>
      </c>
      <c r="V206" t="s">
        <v>1639</v>
      </c>
      <c r="W206" t="s">
        <v>1</v>
      </c>
      <c r="X206" t="s">
        <v>1640</v>
      </c>
      <c r="Y206" t="s">
        <v>1641</v>
      </c>
      <c r="Z206" t="s">
        <v>1642</v>
      </c>
      <c r="AA206" t="s">
        <v>1643</v>
      </c>
      <c r="AB206">
        <f>COUNTA(Estimates_on_the_use_of_water__2020__a_3712[[#This Row],[name]:[wat_sur_u]])</f>
        <v>27</v>
      </c>
      <c r="AC206">
        <f>COUNT(Estimates_on_the_use_of_water__2020__a_3712[[#This Row],[name]:[wat_sur_u]])</f>
        <v>14</v>
      </c>
    </row>
    <row r="207" spans="1:29" x14ac:dyDescent="0.25">
      <c r="A207" t="s">
        <v>1644</v>
      </c>
      <c r="B207" t="s">
        <v>106</v>
      </c>
      <c r="C207">
        <v>164689.39060000001</v>
      </c>
      <c r="D207" s="3">
        <f>Estimates_on_the_use_of_water__2020__a_3712[[#This Row],[pop_n]]*1000</f>
        <v>164689390.60000002</v>
      </c>
      <c r="E207" s="15">
        <f>Estimates_on_the_use_of_water__2020__a_3712[[#This Row],[pop_n]]/1000</f>
        <v>164.68939060000002</v>
      </c>
      <c r="F207" s="15">
        <f>Estimates_on_the_use_of_water__2020__a_3712[[#This Row],[pop_n (m)]]*1000000</f>
        <v>164689390.60000002</v>
      </c>
      <c r="G207" s="14">
        <f>ROUND(Estimates_on_the_use_of_water__2020__a_3712[[#This Row],[pop_n (m)]],3)</f>
        <v>164.68899999999999</v>
      </c>
      <c r="H207" s="14">
        <f>ROUNDUP(Estimates_on_the_use_of_water__2020__a_3712[[#This Row],[pop_n (m)]],3)</f>
        <v>164.69</v>
      </c>
      <c r="I207" s="9" t="s">
        <v>1645</v>
      </c>
      <c r="J207" s="1">
        <v>0.3817700195</v>
      </c>
      <c r="K207" s="2">
        <v>62873471.860805124</v>
      </c>
      <c r="L207" s="1">
        <v>62873.471860805119</v>
      </c>
      <c r="M207" s="2">
        <v>61.822998050000002</v>
      </c>
      <c r="N207" s="18" t="s">
        <v>1646</v>
      </c>
      <c r="O207" s="19">
        <v>1.1599999999999999</v>
      </c>
      <c r="P207" s="20" t="s">
        <v>1647</v>
      </c>
      <c r="Q207" s="20">
        <f>ROUND(Estimates_on_the_use_of_water__2020__a_3712[[#This Row],[wat_unimp_n]],2)</f>
        <v>0.46</v>
      </c>
      <c r="R207" s="20" t="s">
        <v>1648</v>
      </c>
      <c r="S207">
        <f>ROUND(Estimates_on_the_use_of_water__2020__a_3712[[#This Row],[wat_sur_n]],2)</f>
        <v>0.68</v>
      </c>
      <c r="T207" t="s">
        <v>1649</v>
      </c>
      <c r="U207" t="s">
        <v>1650</v>
      </c>
      <c r="V207" t="s">
        <v>1651</v>
      </c>
      <c r="W207" t="s">
        <v>1652</v>
      </c>
      <c r="X207" t="s">
        <v>1653</v>
      </c>
      <c r="Y207" t="s">
        <v>1654</v>
      </c>
      <c r="Z207" t="s">
        <v>1655</v>
      </c>
      <c r="AA207" t="s">
        <v>1656</v>
      </c>
      <c r="AB207">
        <f>COUNTA(Estimates_on_the_use_of_water__2020__a_3712[[#This Row],[name]:[wat_sur_u]])</f>
        <v>27</v>
      </c>
      <c r="AC207">
        <f>COUNT(Estimates_on_the_use_of_water__2020__a_3712[[#This Row],[name]:[wat_sur_u]])</f>
        <v>13</v>
      </c>
    </row>
    <row r="208" spans="1:29" x14ac:dyDescent="0.25">
      <c r="A208" t="s">
        <v>1657</v>
      </c>
      <c r="B208" t="s">
        <v>106</v>
      </c>
      <c r="C208">
        <v>206139.5938</v>
      </c>
      <c r="D208" s="3">
        <f>Estimates_on_the_use_of_water__2020__a_3712[[#This Row],[pop_n]]*1000</f>
        <v>206139593.80000001</v>
      </c>
      <c r="E208" s="15">
        <f>Estimates_on_the_use_of_water__2020__a_3712[[#This Row],[pop_n]]/1000</f>
        <v>206.1395938</v>
      </c>
      <c r="F208" s="15">
        <f>Estimates_on_the_use_of_water__2020__a_3712[[#This Row],[pop_n (m)]]*1000000</f>
        <v>206139593.80000001</v>
      </c>
      <c r="G208" s="14">
        <f>ROUND(Estimates_on_the_use_of_water__2020__a_3712[[#This Row],[pop_n (m)]],3)</f>
        <v>206.14</v>
      </c>
      <c r="H208" s="14">
        <f>ROUNDUP(Estimates_on_the_use_of_water__2020__a_3712[[#This Row],[pop_n (m)]],3)</f>
        <v>206.14000000000001</v>
      </c>
      <c r="I208" s="9" t="s">
        <v>1658</v>
      </c>
      <c r="J208" s="1">
        <v>0.51958000179999997</v>
      </c>
      <c r="K208" s="2">
        <v>107106010.51765527</v>
      </c>
      <c r="L208" s="1">
        <v>107106.01051765526</v>
      </c>
      <c r="M208" s="2">
        <v>48.041999820000001</v>
      </c>
      <c r="N208" s="18" t="s">
        <v>1659</v>
      </c>
      <c r="O208" s="19">
        <v>4.9800000000000004</v>
      </c>
      <c r="P208" s="20" t="s">
        <v>1660</v>
      </c>
      <c r="Q208" s="20">
        <f>ROUND(Estimates_on_the_use_of_water__2020__a_3712[[#This Row],[wat_unimp_n]],2)</f>
        <v>11.8</v>
      </c>
      <c r="R208" s="20" t="s">
        <v>1661</v>
      </c>
      <c r="S208">
        <f>ROUND(Estimates_on_the_use_of_water__2020__a_3712[[#This Row],[wat_sur_n]],2)</f>
        <v>5.61</v>
      </c>
      <c r="T208" t="s">
        <v>1662</v>
      </c>
      <c r="U208" t="s">
        <v>1663</v>
      </c>
      <c r="V208" t="s">
        <v>1664</v>
      </c>
      <c r="W208" t="s">
        <v>1665</v>
      </c>
      <c r="X208" t="s">
        <v>1666</v>
      </c>
      <c r="Y208" t="s">
        <v>1667</v>
      </c>
      <c r="Z208" t="s">
        <v>1668</v>
      </c>
      <c r="AA208" t="s">
        <v>1669</v>
      </c>
      <c r="AB208">
        <f>COUNTA(Estimates_on_the_use_of_water__2020__a_3712[[#This Row],[name]:[wat_sur_u]])</f>
        <v>27</v>
      </c>
      <c r="AC208">
        <f>COUNT(Estimates_on_the_use_of_water__2020__a_3712[[#This Row],[name]:[wat_sur_u]])</f>
        <v>13</v>
      </c>
    </row>
    <row r="209" spans="1:29" x14ac:dyDescent="0.25">
      <c r="A209" t="s">
        <v>1670</v>
      </c>
      <c r="B209" t="s">
        <v>34</v>
      </c>
      <c r="C209">
        <v>212559.4063</v>
      </c>
      <c r="D209" s="3">
        <f>Estimates_on_the_use_of_water__2020__a_3712[[#This Row],[pop_n]]*1000</f>
        <v>212559406.30000001</v>
      </c>
      <c r="E209" s="15">
        <f>Estimates_on_the_use_of_water__2020__a_3712[[#This Row],[pop_n]]/1000</f>
        <v>212.55940630000001</v>
      </c>
      <c r="F209" s="15">
        <f>Estimates_on_the_use_of_water__2020__a_3712[[#This Row],[pop_n (m)]]*1000000</f>
        <v>212559406.30000001</v>
      </c>
      <c r="G209" s="14">
        <f>ROUND(Estimates_on_the_use_of_water__2020__a_3712[[#This Row],[pop_n (m)]],3)</f>
        <v>212.559</v>
      </c>
      <c r="H209" s="14">
        <f>ROUNDUP(Estimates_on_the_use_of_water__2020__a_3712[[#This Row],[pop_n (m)]],3)</f>
        <v>212.56</v>
      </c>
      <c r="I209" s="9" t="s">
        <v>1671</v>
      </c>
      <c r="J209" s="1">
        <v>0.87072998049999994</v>
      </c>
      <c r="K209" s="2">
        <v>185081847.70269057</v>
      </c>
      <c r="L209" s="1">
        <v>185081.84770269057</v>
      </c>
      <c r="M209" s="2">
        <v>12.927001950000005</v>
      </c>
      <c r="N209" s="18" t="s">
        <v>1672</v>
      </c>
      <c r="O209" s="19">
        <v>0.13</v>
      </c>
      <c r="P209" s="20" t="s">
        <v>1673</v>
      </c>
      <c r="Q209" s="20">
        <f>ROUND(Estimates_on_the_use_of_water__2020__a_3712[[#This Row],[wat_unimp_n]],2)</f>
        <v>0.55000000000000004</v>
      </c>
      <c r="R209" s="20">
        <v>0</v>
      </c>
      <c r="S209">
        <f>ROUND(Estimates_on_the_use_of_water__2020__a_3712[[#This Row],[wat_sur_n]],2)</f>
        <v>0</v>
      </c>
      <c r="T209" t="s">
        <v>1674</v>
      </c>
      <c r="U209" t="s">
        <v>1675</v>
      </c>
      <c r="V209" t="s">
        <v>1676</v>
      </c>
      <c r="W209" t="s">
        <v>1</v>
      </c>
      <c r="X209" t="s">
        <v>1677</v>
      </c>
      <c r="Y209" t="s">
        <v>2</v>
      </c>
      <c r="Z209" t="s">
        <v>1678</v>
      </c>
      <c r="AA209" t="s">
        <v>2</v>
      </c>
      <c r="AB209">
        <f>COUNTA(Estimates_on_the_use_of_water__2020__a_3712[[#This Row],[name]:[wat_sur_u]])</f>
        <v>27</v>
      </c>
      <c r="AC209">
        <f>COUNT(Estimates_on_the_use_of_water__2020__a_3712[[#This Row],[name]:[wat_sur_u]])</f>
        <v>14</v>
      </c>
    </row>
    <row r="210" spans="1:29" x14ac:dyDescent="0.25">
      <c r="A210" t="s">
        <v>1679</v>
      </c>
      <c r="B210" t="s">
        <v>106</v>
      </c>
      <c r="C210">
        <v>220892.32810000001</v>
      </c>
      <c r="D210" s="3">
        <f>Estimates_on_the_use_of_water__2020__a_3712[[#This Row],[pop_n]]*1000</f>
        <v>220892328.10000002</v>
      </c>
      <c r="E210" s="15">
        <f>Estimates_on_the_use_of_water__2020__a_3712[[#This Row],[pop_n]]/1000</f>
        <v>220.89232810000001</v>
      </c>
      <c r="F210" s="15">
        <f>Estimates_on_the_use_of_water__2020__a_3712[[#This Row],[pop_n (m)]]*1000000</f>
        <v>220892328.10000002</v>
      </c>
      <c r="G210" s="14">
        <f>ROUND(Estimates_on_the_use_of_water__2020__a_3712[[#This Row],[pop_n (m)]],3)</f>
        <v>220.892</v>
      </c>
      <c r="H210" s="14">
        <f>ROUNDUP(Estimates_on_the_use_of_water__2020__a_3712[[#This Row],[pop_n (m)]],3)</f>
        <v>220.893</v>
      </c>
      <c r="I210" s="9" t="s">
        <v>1680</v>
      </c>
      <c r="J210" s="1">
        <v>0.37165000919999996</v>
      </c>
      <c r="K210" s="2">
        <v>82094635.770574421</v>
      </c>
      <c r="L210" s="1">
        <v>82094.635770574416</v>
      </c>
      <c r="M210" s="2">
        <v>62.834999080000003</v>
      </c>
      <c r="N210" s="18" t="s">
        <v>1681</v>
      </c>
      <c r="O210" s="19">
        <v>3.82</v>
      </c>
      <c r="P210" s="20" t="s">
        <v>1682</v>
      </c>
      <c r="Q210" s="20">
        <f>ROUND(Estimates_on_the_use_of_water__2020__a_3712[[#This Row],[wat_unimp_n]],2)</f>
        <v>4.41</v>
      </c>
      <c r="R210" s="20" t="s">
        <v>1683</v>
      </c>
      <c r="S210">
        <f>ROUND(Estimates_on_the_use_of_water__2020__a_3712[[#This Row],[wat_sur_n]],2)</f>
        <v>1.62</v>
      </c>
      <c r="T210" t="s">
        <v>1684</v>
      </c>
      <c r="U210" t="s">
        <v>1685</v>
      </c>
      <c r="V210" t="s">
        <v>1686</v>
      </c>
      <c r="W210" t="s">
        <v>1687</v>
      </c>
      <c r="X210" t="s">
        <v>1688</v>
      </c>
      <c r="Y210" t="s">
        <v>1689</v>
      </c>
      <c r="Z210" t="s">
        <v>1690</v>
      </c>
      <c r="AA210" t="s">
        <v>1691</v>
      </c>
      <c r="AB210">
        <f>COUNTA(Estimates_on_the_use_of_water__2020__a_3712[[#This Row],[name]:[wat_sur_u]])</f>
        <v>27</v>
      </c>
      <c r="AC210">
        <f>COUNT(Estimates_on_the_use_of_water__2020__a_3712[[#This Row],[name]:[wat_sur_u]])</f>
        <v>13</v>
      </c>
    </row>
    <row r="211" spans="1:29" x14ac:dyDescent="0.25">
      <c r="A211" t="s">
        <v>1692</v>
      </c>
      <c r="B211" t="s">
        <v>106</v>
      </c>
      <c r="C211">
        <v>273523.625</v>
      </c>
      <c r="D211" s="3">
        <f>Estimates_on_the_use_of_water__2020__a_3712[[#This Row],[pop_n]]*1000</f>
        <v>273523625</v>
      </c>
      <c r="E211" s="15">
        <f>Estimates_on_the_use_of_water__2020__a_3712[[#This Row],[pop_n]]/1000</f>
        <v>273.52362499999998</v>
      </c>
      <c r="F211" s="15">
        <f>Estimates_on_the_use_of_water__2020__a_3712[[#This Row],[pop_n (m)]]*1000000</f>
        <v>273523625</v>
      </c>
      <c r="G211" s="14">
        <f>ROUND(Estimates_on_the_use_of_water__2020__a_3712[[#This Row],[pop_n (m)]],3)</f>
        <v>273.524</v>
      </c>
      <c r="H211" s="14">
        <f>ROUNDUP(Estimates_on_the_use_of_water__2020__a_3712[[#This Row],[pop_n (m)]],3)</f>
        <v>273.524</v>
      </c>
      <c r="I211" s="9" t="s">
        <v>1693</v>
      </c>
      <c r="J211" s="1">
        <v>0.56640998840000001</v>
      </c>
      <c r="K211" s="2">
        <v>154926513.26337594</v>
      </c>
      <c r="L211" s="1">
        <v>154926.51326337596</v>
      </c>
      <c r="M211" s="2">
        <v>43.359001159999998</v>
      </c>
      <c r="N211" s="18" t="s">
        <v>1694</v>
      </c>
      <c r="O211" s="19">
        <v>0.86</v>
      </c>
      <c r="P211" s="20" t="s">
        <v>1695</v>
      </c>
      <c r="Q211" s="20">
        <f>ROUND(Estimates_on_the_use_of_water__2020__a_3712[[#This Row],[wat_unimp_n]],2)</f>
        <v>5.55</v>
      </c>
      <c r="R211" s="20" t="s">
        <v>1696</v>
      </c>
      <c r="S211">
        <f>ROUND(Estimates_on_the_use_of_water__2020__a_3712[[#This Row],[wat_sur_n]],2)</f>
        <v>1.18</v>
      </c>
      <c r="T211" t="s">
        <v>1697</v>
      </c>
      <c r="U211" t="s">
        <v>1698</v>
      </c>
      <c r="V211" t="s">
        <v>1699</v>
      </c>
      <c r="W211" t="s">
        <v>1700</v>
      </c>
      <c r="X211" t="s">
        <v>1701</v>
      </c>
      <c r="Y211" t="s">
        <v>1702</v>
      </c>
      <c r="Z211" t="s">
        <v>1703</v>
      </c>
      <c r="AA211" t="s">
        <v>1704</v>
      </c>
      <c r="AB211">
        <f>COUNTA(Estimates_on_the_use_of_water__2020__a_3712[[#This Row],[name]:[wat_sur_u]])</f>
        <v>27</v>
      </c>
      <c r="AC211">
        <f>COUNT(Estimates_on_the_use_of_water__2020__a_3712[[#This Row],[name]:[wat_sur_u]])</f>
        <v>13</v>
      </c>
    </row>
    <row r="212" spans="1:29" x14ac:dyDescent="0.25">
      <c r="A212" t="s">
        <v>1705</v>
      </c>
      <c r="B212" t="s">
        <v>29</v>
      </c>
      <c r="C212">
        <v>331002.65629999997</v>
      </c>
      <c r="D212" s="3">
        <f>Estimates_on_the_use_of_water__2020__a_3712[[#This Row],[pop_n]]*1000</f>
        <v>331002656.29999995</v>
      </c>
      <c r="E212" s="15">
        <f>Estimates_on_the_use_of_water__2020__a_3712[[#This Row],[pop_n]]/1000</f>
        <v>331.00265629999996</v>
      </c>
      <c r="F212" s="15">
        <f>Estimates_on_the_use_of_water__2020__a_3712[[#This Row],[pop_n (m)]]*1000000</f>
        <v>331002656.29999995</v>
      </c>
      <c r="G212" s="14">
        <f>ROUND(Estimates_on_the_use_of_water__2020__a_3712[[#This Row],[pop_n (m)]],3)</f>
        <v>331.00299999999999</v>
      </c>
      <c r="H212" s="14">
        <f>ROUNDUP(Estimates_on_the_use_of_water__2020__a_3712[[#This Row],[pop_n (m)]],3)</f>
        <v>331.00299999999999</v>
      </c>
      <c r="I212" s="9" t="s">
        <v>1706</v>
      </c>
      <c r="J212" s="1">
        <v>0.82664001459999992</v>
      </c>
      <c r="K212" s="2">
        <v>273620040.63647074</v>
      </c>
      <c r="L212" s="1">
        <v>273620.04063647072</v>
      </c>
      <c r="M212" s="2">
        <v>17.335998540000006</v>
      </c>
      <c r="N212" s="18" t="s">
        <v>1707</v>
      </c>
      <c r="O212" s="19">
        <v>0</v>
      </c>
      <c r="P212" s="20" t="s">
        <v>1708</v>
      </c>
      <c r="Q212" s="20">
        <f>ROUND(Estimates_on_the_use_of_water__2020__a_3712[[#This Row],[wat_unimp_n]],2)</f>
        <v>0.12</v>
      </c>
      <c r="R212" s="20" t="s">
        <v>2</v>
      </c>
      <c r="S212">
        <f>ROUND(Estimates_on_the_use_of_water__2020__a_3712[[#This Row],[wat_sur_n]],2)</f>
        <v>0</v>
      </c>
      <c r="T212" t="s">
        <v>1709</v>
      </c>
      <c r="U212" t="s">
        <v>2</v>
      </c>
      <c r="V212" t="s">
        <v>1710</v>
      </c>
      <c r="W212" t="s">
        <v>2</v>
      </c>
      <c r="X212" t="s">
        <v>1711</v>
      </c>
      <c r="Y212" t="s">
        <v>2</v>
      </c>
      <c r="Z212" t="s">
        <v>1712</v>
      </c>
      <c r="AA212" t="s">
        <v>2</v>
      </c>
      <c r="AB212">
        <f>COUNTA(Estimates_on_the_use_of_water__2020__a_3712[[#This Row],[name]:[wat_sur_u]])</f>
        <v>27</v>
      </c>
      <c r="AC212">
        <f>COUNT(Estimates_on_the_use_of_water__2020__a_3712[[#This Row],[name]:[wat_sur_u]])</f>
        <v>13</v>
      </c>
    </row>
    <row r="213" spans="1:29" x14ac:dyDescent="0.25">
      <c r="A213" t="s">
        <v>1713</v>
      </c>
      <c r="B213" t="s">
        <v>106</v>
      </c>
      <c r="C213">
        <v>1380004.375</v>
      </c>
      <c r="D213" s="3">
        <f>Estimates_on_the_use_of_water__2020__a_3712[[#This Row],[pop_n]]*1000</f>
        <v>1380004375</v>
      </c>
      <c r="E213" s="15">
        <f>Estimates_on_the_use_of_water__2020__a_3712[[#This Row],[pop_n]]/1000</f>
        <v>1380.004375</v>
      </c>
      <c r="F213" s="15">
        <f>Estimates_on_the_use_of_water__2020__a_3712[[#This Row],[pop_n (m)]]*1000000</f>
        <v>1380004375</v>
      </c>
      <c r="G213" s="14">
        <f>ROUND(Estimates_on_the_use_of_water__2020__a_3712[[#This Row],[pop_n (m)]],3)</f>
        <v>1380.0039999999999</v>
      </c>
      <c r="H213" s="14">
        <f>ROUNDUP(Estimates_on_the_use_of_water__2020__a_3712[[#This Row],[pop_n (m)]],3)</f>
        <v>1380.0049999999999</v>
      </c>
      <c r="I213" s="9" t="s">
        <v>1714</v>
      </c>
      <c r="J213" s="1">
        <v>0.34926002500000003</v>
      </c>
      <c r="K213" s="2">
        <v>481980362.51260942</v>
      </c>
      <c r="L213" s="1">
        <v>481980.3625126094</v>
      </c>
      <c r="M213" s="2">
        <v>65.07399749999999</v>
      </c>
      <c r="N213" s="18" t="s">
        <v>1715</v>
      </c>
      <c r="O213" s="19">
        <v>4.9800000000000004</v>
      </c>
      <c r="P213" s="20" t="s">
        <v>1716</v>
      </c>
      <c r="Q213" s="20">
        <f>ROUND(Estimates_on_the_use_of_water__2020__a_3712[[#This Row],[wat_unimp_n]],2)</f>
        <v>3.96</v>
      </c>
      <c r="R213" s="20" t="s">
        <v>1717</v>
      </c>
      <c r="S213">
        <f>ROUND(Estimates_on_the_use_of_water__2020__a_3712[[#This Row],[wat_sur_n]],2)</f>
        <v>0.56000000000000005</v>
      </c>
      <c r="T213" t="s">
        <v>1718</v>
      </c>
      <c r="U213" t="s">
        <v>1719</v>
      </c>
      <c r="V213" t="s">
        <v>1720</v>
      </c>
      <c r="W213" t="s">
        <v>1721</v>
      </c>
      <c r="X213" t="s">
        <v>1722</v>
      </c>
      <c r="Y213" t="s">
        <v>1723</v>
      </c>
      <c r="Z213" t="s">
        <v>1724</v>
      </c>
      <c r="AA213" t="s">
        <v>1725</v>
      </c>
      <c r="AB213">
        <f>COUNTA(Estimates_on_the_use_of_water__2020__a_3712[[#This Row],[name]:[wat_sur_u]])</f>
        <v>27</v>
      </c>
      <c r="AC213">
        <f>COUNT(Estimates_on_the_use_of_water__2020__a_3712[[#This Row],[name]:[wat_sur_u]])</f>
        <v>13</v>
      </c>
    </row>
    <row r="214" spans="1:29" x14ac:dyDescent="0.25">
      <c r="A214" t="s">
        <v>1726</v>
      </c>
      <c r="B214" t="s">
        <v>34</v>
      </c>
      <c r="C214">
        <v>1463140.5</v>
      </c>
      <c r="D214" s="3">
        <f>Estimates_on_the_use_of_water__2020__a_3712[[#This Row],[pop_n]]*1000</f>
        <v>1463140500</v>
      </c>
      <c r="E214" s="15">
        <f>Estimates_on_the_use_of_water__2020__a_3712[[#This Row],[pop_n]]/1000</f>
        <v>1463.1405</v>
      </c>
      <c r="F214" s="15">
        <f>Estimates_on_the_use_of_water__2020__a_3712[[#This Row],[pop_n (m)]]*1000000</f>
        <v>1463140500</v>
      </c>
      <c r="G214" s="14">
        <f>ROUND(Estimates_on_the_use_of_water__2020__a_3712[[#This Row],[pop_n (m)]],3)</f>
        <v>1463.1410000000001</v>
      </c>
      <c r="H214" s="14">
        <f>ROUNDUP(Estimates_on_the_use_of_water__2020__a_3712[[#This Row],[pop_n (m)]],3)</f>
        <v>1463.1410000000001</v>
      </c>
      <c r="I214" s="9" t="s">
        <v>1727</v>
      </c>
      <c r="J214" s="1">
        <v>0.61713088989999998</v>
      </c>
      <c r="K214" s="2">
        <v>902949198.81373096</v>
      </c>
      <c r="L214" s="1">
        <v>902949.19881373097</v>
      </c>
      <c r="M214" s="2">
        <v>38.286911009999997</v>
      </c>
      <c r="N214" s="18" t="s">
        <v>1728</v>
      </c>
      <c r="O214" s="19">
        <v>0.81</v>
      </c>
      <c r="P214" s="20" t="s">
        <v>1729</v>
      </c>
      <c r="Q214" s="20">
        <f>ROUND(Estimates_on_the_use_of_water__2020__a_3712[[#This Row],[wat_unimp_n]],2)</f>
        <v>4.7300000000000004</v>
      </c>
      <c r="R214" s="20" t="s">
        <v>1730</v>
      </c>
      <c r="S214">
        <f>ROUND(Estimates_on_the_use_of_water__2020__a_3712[[#This Row],[wat_sur_n]],2)</f>
        <v>0.2</v>
      </c>
      <c r="T214" t="s">
        <v>1731</v>
      </c>
      <c r="U214" t="s">
        <v>1732</v>
      </c>
      <c r="V214" t="s">
        <v>1733</v>
      </c>
      <c r="W214" t="s">
        <v>2</v>
      </c>
      <c r="X214" t="s">
        <v>1734</v>
      </c>
      <c r="Y214" t="s">
        <v>1735</v>
      </c>
      <c r="Z214" t="s">
        <v>1736</v>
      </c>
      <c r="AA214" t="s">
        <v>1737</v>
      </c>
      <c r="AB214">
        <f>COUNTA(Estimates_on_the_use_of_water__2020__a_3712[[#This Row],[name]:[wat_sur_u]])</f>
        <v>27</v>
      </c>
      <c r="AC214">
        <f>COUNT(Estimates_on_the_use_of_water__2020__a_3712[[#This Row],[name]:[wat_sur_u]])</f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8D98-8D3D-4707-A363-12C23FD0AC6D}">
  <dimension ref="A1:S101"/>
  <sheetViews>
    <sheetView topLeftCell="A98" workbookViewId="0">
      <selection activeCell="E105" sqref="E105"/>
    </sheetView>
  </sheetViews>
  <sheetFormatPr defaultRowHeight="15" x14ac:dyDescent="0.25"/>
  <cols>
    <col min="1" max="1" width="15.5703125" customWidth="1"/>
    <col min="2" max="2" width="16.42578125" customWidth="1"/>
    <col min="3" max="3" width="24" customWidth="1"/>
    <col min="4" max="4" width="13.28515625" customWidth="1"/>
    <col min="5" max="5" width="15.42578125" bestFit="1" customWidth="1"/>
    <col min="6" max="10" width="17.7109375" customWidth="1"/>
    <col min="11" max="11" width="15.42578125" bestFit="1" customWidth="1"/>
    <col min="12" max="13" width="15.28515625" customWidth="1"/>
    <col min="14" max="14" width="16.85546875" bestFit="1" customWidth="1"/>
    <col min="15" max="15" width="16.85546875" customWidth="1"/>
    <col min="16" max="16" width="20" customWidth="1"/>
    <col min="17" max="17" width="19.5703125" customWidth="1"/>
  </cols>
  <sheetData>
    <row r="1" spans="1:19" s="5" customFormat="1" x14ac:dyDescent="0.25">
      <c r="A1" s="11" t="s">
        <v>1755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s="5" customFormat="1" x14ac:dyDescent="0.25">
      <c r="A2" s="4"/>
      <c r="B2" s="4"/>
      <c r="C2" s="4"/>
      <c r="D2" s="4"/>
      <c r="E2" s="4"/>
      <c r="F2" s="4"/>
      <c r="G2" s="10"/>
      <c r="H2" s="10"/>
      <c r="I2" s="10"/>
      <c r="J2" s="10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B3" s="12" t="s">
        <v>1756</v>
      </c>
      <c r="C3" s="12"/>
      <c r="D3" s="12"/>
      <c r="E3" s="6">
        <f>SUM(Estimates_on_the_use_of_water__2020__a_3712[pop_n_k])</f>
        <v>7786713707.7420826</v>
      </c>
      <c r="H3" s="6">
        <v>7786713707.7420797</v>
      </c>
      <c r="I3" s="6"/>
    </row>
    <row r="4" spans="1:19" x14ac:dyDescent="0.25">
      <c r="E4">
        <f>SUM(Estimates_on_the_use_of_water__2020__a_3712[pop_n])</f>
        <v>7786713.7077420801</v>
      </c>
    </row>
    <row r="6" spans="1:19" x14ac:dyDescent="0.25">
      <c r="A6" s="11" t="s">
        <v>1761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9" x14ac:dyDescent="0.25">
      <c r="B7" s="12" t="s">
        <v>1762</v>
      </c>
      <c r="C7" s="12"/>
      <c r="D7" s="2">
        <f>SUM(Estimates_on_the_use_of_water__2020__a_3712[pop_u_val])</f>
        <v>4375331316.904953</v>
      </c>
      <c r="F7" s="7">
        <f>SUM(Estimates_on_the_use_of_water__2020__a_3712[pop_u_val])</f>
        <v>4375331316.904953</v>
      </c>
      <c r="G7" s="7"/>
      <c r="H7" s="7"/>
      <c r="I7" s="7"/>
      <c r="J7" s="7"/>
    </row>
    <row r="9" spans="1:19" s="5" customFormat="1" x14ac:dyDescent="0.25">
      <c r="A9" s="5" t="s">
        <v>1763</v>
      </c>
    </row>
    <row r="10" spans="1:19" x14ac:dyDescent="0.25">
      <c r="B10" s="1">
        <f>F7/H3</f>
        <v>0.56189703142093195</v>
      </c>
    </row>
    <row r="33" spans="1:13" s="5" customFormat="1" x14ac:dyDescent="0.25">
      <c r="A33" s="5" t="s">
        <v>1764</v>
      </c>
      <c r="K33" s="8"/>
      <c r="L33" s="8"/>
    </row>
    <row r="34" spans="1:13" x14ac:dyDescent="0.25">
      <c r="B34" s="5" t="s">
        <v>1765</v>
      </c>
      <c r="C34" s="5"/>
      <c r="D34" s="5"/>
      <c r="E34" s="7">
        <v>4375331316.904953</v>
      </c>
    </row>
    <row r="35" spans="1:13" x14ac:dyDescent="0.25">
      <c r="B35" s="5" t="s">
        <v>1766</v>
      </c>
      <c r="C35" s="5"/>
      <c r="D35" s="5"/>
      <c r="E35" s="7">
        <v>7786713707.7420797</v>
      </c>
    </row>
    <row r="36" spans="1:13" x14ac:dyDescent="0.25">
      <c r="B36" s="5" t="s">
        <v>1767</v>
      </c>
      <c r="C36" s="5"/>
      <c r="D36" s="5"/>
      <c r="E36" s="7">
        <f>E35-E34</f>
        <v>3411382390.8371267</v>
      </c>
    </row>
    <row r="37" spans="1:13" x14ac:dyDescent="0.25">
      <c r="B37" s="5" t="s">
        <v>1768</v>
      </c>
      <c r="E37">
        <f>(ABS(E35-E34)/((E35+E34)/2))*100</f>
        <v>56.098828509905665</v>
      </c>
    </row>
    <row r="38" spans="1:13" x14ac:dyDescent="0.25">
      <c r="B38" s="5"/>
    </row>
    <row r="39" spans="1:13" x14ac:dyDescent="0.25">
      <c r="B39" s="5"/>
    </row>
    <row r="40" spans="1:13" x14ac:dyDescent="0.25">
      <c r="A40" s="5" t="s">
        <v>1769</v>
      </c>
      <c r="B40" s="5" t="s">
        <v>1770</v>
      </c>
      <c r="C40" s="5" t="s">
        <v>1771</v>
      </c>
      <c r="D40" s="5" t="s">
        <v>1773</v>
      </c>
      <c r="E40" s="5" t="s">
        <v>1774</v>
      </c>
      <c r="F40" s="5" t="s">
        <v>1775</v>
      </c>
      <c r="G40" s="5"/>
      <c r="H40" s="5" t="s">
        <v>1772</v>
      </c>
      <c r="I40" s="5"/>
    </row>
    <row r="41" spans="1:13" x14ac:dyDescent="0.25">
      <c r="A41" s="6">
        <v>7786713707.7420797</v>
      </c>
      <c r="B41" s="7">
        <f>SUM(Estimates_on_the_use_of_water__2020__a_3712[pop_u_val])</f>
        <v>4375331316.904953</v>
      </c>
      <c r="C41" s="7">
        <v>3411382390.8371267</v>
      </c>
      <c r="D41">
        <v>0.56189703142093195</v>
      </c>
      <c r="E41">
        <f>E36/H3</f>
        <v>0.43810296857906805</v>
      </c>
      <c r="F41" s="7">
        <v>3411382390.8371267</v>
      </c>
      <c r="G41" s="7"/>
      <c r="H41">
        <v>56.098828509905665</v>
      </c>
    </row>
    <row r="42" spans="1:13" x14ac:dyDescent="0.25">
      <c r="A42" s="6"/>
      <c r="B42" s="7"/>
      <c r="C42" s="7"/>
      <c r="F42" s="7"/>
      <c r="G42" s="7"/>
    </row>
    <row r="44" spans="1:13" x14ac:dyDescent="0.25">
      <c r="A44" s="16" t="s">
        <v>1788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spans="1:13" s="5" customFormat="1" x14ac:dyDescent="0.25">
      <c r="B45" s="5" t="s">
        <v>1789</v>
      </c>
      <c r="D45" s="17">
        <f>MAX(Estimates_on_the_use_of_water__2020__a_3712[wat_bas_n])</f>
        <v>99.707676649999996</v>
      </c>
    </row>
    <row r="46" spans="1:13" s="5" customFormat="1" x14ac:dyDescent="0.25">
      <c r="B46" s="5" t="s">
        <v>1790</v>
      </c>
      <c r="D46" s="5">
        <f>MAX(Estimates_on_the_use_of_water__2020__a_3712[wat_lim_n2])</f>
        <v>37.43</v>
      </c>
    </row>
    <row r="47" spans="1:13" s="5" customFormat="1" x14ac:dyDescent="0.25">
      <c r="B47" s="5" t="s">
        <v>1792</v>
      </c>
      <c r="D47" s="5">
        <f>MAX(Estimates_on_the_use_of_water__2020__a_3712[wat_unimp_n2])</f>
        <v>33.54</v>
      </c>
    </row>
    <row r="48" spans="1:13" s="5" customFormat="1" x14ac:dyDescent="0.25">
      <c r="B48" s="5" t="s">
        <v>1791</v>
      </c>
      <c r="D48" s="5">
        <f>MAX(Estimates_on_the_use_of_water__2020__a_3712[wat_sur_n2])</f>
        <v>94.43</v>
      </c>
    </row>
    <row r="50" spans="1:13" x14ac:dyDescent="0.25">
      <c r="B50" s="5" t="s">
        <v>1796</v>
      </c>
      <c r="C50" s="5"/>
      <c r="D50" s="17">
        <f>MIN(Estimates_on_the_use_of_water__2020__a_3712[wat_bas_n])</f>
        <v>0</v>
      </c>
    </row>
    <row r="51" spans="1:13" x14ac:dyDescent="0.25">
      <c r="B51" s="5" t="s">
        <v>1797</v>
      </c>
      <c r="C51" s="5"/>
      <c r="D51" s="5">
        <f>MIN(Estimates_on_the_use_of_water__2020__a_3712[wat_lim_n2])</f>
        <v>0</v>
      </c>
    </row>
    <row r="52" spans="1:13" x14ac:dyDescent="0.25">
      <c r="B52" s="5" t="s">
        <v>1798</v>
      </c>
      <c r="C52" s="5"/>
      <c r="D52" s="5">
        <f>MIN(Estimates_on_the_use_of_water__2020__a_3712[wat_unimp_n2])</f>
        <v>0</v>
      </c>
    </row>
    <row r="53" spans="1:13" x14ac:dyDescent="0.25">
      <c r="B53" s="5" t="s">
        <v>1799</v>
      </c>
      <c r="C53" s="5"/>
      <c r="D53" s="5">
        <f>MIN(Estimates_on_the_use_of_water__2020__a_3712[wat_sur_n2])</f>
        <v>0</v>
      </c>
    </row>
    <row r="55" spans="1:13" s="5" customFormat="1" x14ac:dyDescent="0.25">
      <c r="A55" s="5" t="s">
        <v>1800</v>
      </c>
    </row>
    <row r="56" spans="1:13" x14ac:dyDescent="0.25">
      <c r="D56" s="5" t="s">
        <v>1801</v>
      </c>
      <c r="E56" s="5" t="s">
        <v>1802</v>
      </c>
      <c r="F56" s="5" t="s">
        <v>1803</v>
      </c>
      <c r="G56" s="5" t="s">
        <v>1810</v>
      </c>
      <c r="H56" s="5" t="s">
        <v>1807</v>
      </c>
      <c r="I56" s="5" t="s">
        <v>1808</v>
      </c>
      <c r="J56" s="5" t="s">
        <v>1809</v>
      </c>
      <c r="K56" s="5" t="s">
        <v>1804</v>
      </c>
      <c r="L56" s="5" t="s">
        <v>1805</v>
      </c>
      <c r="M56" s="5" t="s">
        <v>1806</v>
      </c>
    </row>
    <row r="57" spans="1:13" x14ac:dyDescent="0.25">
      <c r="C57" s="5" t="s">
        <v>1796</v>
      </c>
      <c r="D57" s="5">
        <f>AVERAGE(Estimates_on_the_use_of_water__2020__a_3712[wat_bas_n])</f>
        <v>47.7769191625</v>
      </c>
      <c r="E57">
        <f>MEDIAN(Estimates_on_the_use_of_water__2020__a_3712[wat_bas_n])</f>
        <v>45.7</v>
      </c>
      <c r="F57">
        <f>MODE(Estimates_on_the_use_of_water__2020__a_3712[wat_bas_n])</f>
        <v>0</v>
      </c>
      <c r="G57">
        <v>99.707676649999996</v>
      </c>
      <c r="H57">
        <f>_xlfn.QUARTILE.INC(Estimates_on_the_use_of_water__2020__a_3712[wat_bas_n], 1)</f>
        <v>0</v>
      </c>
      <c r="I57">
        <f>_xlfn.QUARTILE.INC(Estimates_on_the_use_of_water__2020__a_3712[wat_bas_n], 2)</f>
        <v>45.7</v>
      </c>
      <c r="J57">
        <f>_xlfn.QUARTILE.INC(Estimates_on_the_use_of_water__2020__a_3712[wat_bas_n], 3)</f>
        <v>93.476919162499996</v>
      </c>
      <c r="K57">
        <f>J57-H57</f>
        <v>93.476919162499996</v>
      </c>
      <c r="L57">
        <f>_xlfn.VAR.P(Estimates_on_the_use_of_water__2020__a_3712[wat_bas_n])</f>
        <v>2291.2611910751784</v>
      </c>
      <c r="M57">
        <f>_xlfn.STDEV.P(Estimates_on_the_use_of_water__2020__a_3712[wat_bas_n])</f>
        <v>47.867120146037387</v>
      </c>
    </row>
    <row r="58" spans="1:13" x14ac:dyDescent="0.25">
      <c r="C58" s="5" t="s">
        <v>1797</v>
      </c>
      <c r="D58" s="5">
        <f>AVERAGE(Estimates_on_the_use_of_water__2020__a_3712[wat_lim_n2])</f>
        <v>3.7537089201877945</v>
      </c>
      <c r="E58">
        <f>MEDIAN(Estimates_on_the_use_of_water__2020__a_3712[wat_lim_n2])</f>
        <v>0.43</v>
      </c>
      <c r="F58">
        <f>MODE(Estimates_on_the_use_of_water__2020__a_3712[wat_lim_n2])</f>
        <v>0</v>
      </c>
      <c r="G58">
        <v>37.43</v>
      </c>
      <c r="H58">
        <f>_xlfn.QUARTILE.INC(Estimates_on_the_use_of_water__2020__a_3712[wat_lim_n2], 1)</f>
        <v>0</v>
      </c>
      <c r="I58">
        <f>_xlfn.QUARTILE.INC(Estimates_on_the_use_of_water__2020__a_3712[wat_lim_n2], 2)</f>
        <v>0.43</v>
      </c>
      <c r="J58">
        <f>_xlfn.QUARTILE.INC(Estimates_on_the_use_of_water__2020__a_3712[wat_lim_n2], 3)</f>
        <v>4.08</v>
      </c>
      <c r="K58">
        <f>J58-H58</f>
        <v>4.08</v>
      </c>
      <c r="L58">
        <f>_xlfn.VAR.P(Estimates_on_the_use_of_water__2020__a_3712[wat_lim_n2])</f>
        <v>47.623424272080044</v>
      </c>
      <c r="M58">
        <f>_xlfn.STDEV.P(Estimates_on_the_use_of_water__2020__a_3712[wat_lim_n2])</f>
        <v>6.9009727047772076</v>
      </c>
    </row>
    <row r="59" spans="1:13" x14ac:dyDescent="0.25">
      <c r="C59" s="5" t="s">
        <v>1798</v>
      </c>
      <c r="D59" s="5">
        <f>AVERAGE(Estimates_on_the_use_of_water__2020__a_3712[wat_unimp_n2])</f>
        <v>4.2889201877934262</v>
      </c>
      <c r="E59">
        <f>MEDIAN(Estimates_on_the_use_of_water__2020__a_3712[wat_unimp_n2])</f>
        <v>0.74</v>
      </c>
      <c r="F59">
        <f>MODE(Estimates_on_the_use_of_water__2020__a_3712[wat_unimp_n2])</f>
        <v>0</v>
      </c>
      <c r="G59">
        <v>33.54</v>
      </c>
      <c r="H59">
        <f>_xlfn.QUARTILE.INC(Estimates_on_the_use_of_water__2020__a_3712[wat_unimp_n2], 1)</f>
        <v>0.03</v>
      </c>
      <c r="I59">
        <f>_xlfn.QUARTILE.INC(Estimates_on_the_use_of_water__2020__a_3712[wat_unimp_n2], 2)</f>
        <v>0.74</v>
      </c>
      <c r="J59">
        <f>_xlfn.QUARTILE.INC(Estimates_on_the_use_of_water__2020__a_3712[wat_unimp_n2], 3)</f>
        <v>5.1100000000000003</v>
      </c>
      <c r="K59">
        <f>J59-H59</f>
        <v>5.08</v>
      </c>
      <c r="L59">
        <f>_xlfn.VAR.P(Estimates_on_the_use_of_water__2020__a_3712[wat_unimp_n2])</f>
        <v>50.50809789503846</v>
      </c>
      <c r="M59">
        <f>_xlfn.STDEV.P(Estimates_on_the_use_of_water__2020__a_3712[wat_unimp_n2])</f>
        <v>7.1069049448433219</v>
      </c>
    </row>
    <row r="60" spans="1:13" x14ac:dyDescent="0.25">
      <c r="C60" s="5" t="s">
        <v>1799</v>
      </c>
      <c r="D60" s="5">
        <f>AVERAGE(Estimates_on_the_use_of_water__2020__a_3712[wat_sur_n2])</f>
        <v>2.8464319248826291</v>
      </c>
      <c r="E60">
        <f>MEDIAN(Estimates_on_the_use_of_water__2020__a_3712[wat_sur_n2])</f>
        <v>0</v>
      </c>
      <c r="F60">
        <f>MODE(Estimates_on_the_use_of_water__2020__a_3712[wat_sur_n2])</f>
        <v>0</v>
      </c>
      <c r="G60">
        <v>94.43</v>
      </c>
      <c r="H60">
        <f>_xlfn.QUARTILE.INC(Estimates_on_the_use_of_water__2020__a_3712[wat_sur_n2], 1)</f>
        <v>0</v>
      </c>
      <c r="I60">
        <f>_xlfn.QUARTILE.INC(Estimates_on_the_use_of_water__2020__a_3712[wat_sur_n2], 2)</f>
        <v>0</v>
      </c>
      <c r="J60">
        <f>_xlfn.QUARTILE.INC(Estimates_on_the_use_of_water__2020__a_3712[wat_sur_n2], 3)</f>
        <v>1.86</v>
      </c>
      <c r="K60">
        <f>J60-H60</f>
        <v>1.86</v>
      </c>
      <c r="L60">
        <f>_xlfn.VAR.P(Estimates_on_the_use_of_water__2020__a_3712[wat_sur_n2])</f>
        <v>94.5079008838634</v>
      </c>
      <c r="M60">
        <f>_xlfn.STDEV.P(Estimates_on_the_use_of_water__2020__a_3712[wat_sur_n2])</f>
        <v>9.7215174167340468</v>
      </c>
    </row>
    <row r="100" spans="1:10" s="5" customFormat="1" x14ac:dyDescent="0.25">
      <c r="A100" s="12" t="s">
        <v>1811</v>
      </c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s="5" customFormat="1" x14ac:dyDescent="0.25">
      <c r="A101" s="12" t="s">
        <v>1812</v>
      </c>
      <c r="B101" s="12"/>
      <c r="C101" s="12"/>
      <c r="D101" s="12"/>
      <c r="E101" s="12"/>
      <c r="F101" s="12"/>
    </row>
  </sheetData>
  <mergeCells count="6">
    <mergeCell ref="A100:J100"/>
    <mergeCell ref="A101:F101"/>
    <mergeCell ref="A1:S1"/>
    <mergeCell ref="B3:D3"/>
    <mergeCell ref="A6:M6"/>
    <mergeCell ref="B7:C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FD78-C2A2-4B5B-A849-2864B36A7596}">
  <dimension ref="A3:G4"/>
  <sheetViews>
    <sheetView workbookViewId="0">
      <selection activeCell="G13" sqref="G13"/>
    </sheetView>
  </sheetViews>
  <sheetFormatPr defaultRowHeight="15" x14ac:dyDescent="0.25"/>
  <cols>
    <col min="1" max="1" width="22.42578125" bestFit="1" customWidth="1"/>
    <col min="2" max="2" width="22.28515625" bestFit="1" customWidth="1"/>
    <col min="3" max="3" width="22.42578125" bestFit="1" customWidth="1"/>
    <col min="4" max="4" width="23.85546875" bestFit="1" customWidth="1"/>
    <col min="5" max="5" width="22.85546875" bestFit="1" customWidth="1"/>
    <col min="6" max="6" width="23" bestFit="1" customWidth="1"/>
    <col min="7" max="7" width="28.28515625" bestFit="1" customWidth="1"/>
  </cols>
  <sheetData>
    <row r="3" spans="1:7" x14ac:dyDescent="0.25">
      <c r="A3" t="s">
        <v>1776</v>
      </c>
      <c r="B3" t="s">
        <v>1777</v>
      </c>
      <c r="C3" t="s">
        <v>1778</v>
      </c>
      <c r="D3" t="s">
        <v>1779</v>
      </c>
      <c r="E3" t="s">
        <v>1780</v>
      </c>
      <c r="F3" t="s">
        <v>1781</v>
      </c>
      <c r="G3" t="s">
        <v>1782</v>
      </c>
    </row>
    <row r="4" spans="1:7" x14ac:dyDescent="0.25">
      <c r="A4" s="6">
        <v>7786713707.7420797</v>
      </c>
      <c r="B4" s="7">
        <v>4375331316.904953</v>
      </c>
      <c r="C4" s="7">
        <v>3411382390.8371267</v>
      </c>
      <c r="D4">
        <v>0.56189703142093195</v>
      </c>
      <c r="E4">
        <v>0.43810296857906805</v>
      </c>
      <c r="F4" s="7">
        <v>3411382390.8371267</v>
      </c>
      <c r="G4">
        <v>56.098828509905665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718DC6-19D6-4B90-9C3B-6A94D8ED9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pivot-table</vt:lpstr>
      <vt:lpstr>Estimates-on-the-use-of-water-(</vt:lpstr>
      <vt:lpstr>Global 2020 Report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Ndegwa</dc:creator>
  <cp:lastModifiedBy>Anthony</cp:lastModifiedBy>
  <dcterms:created xsi:type="dcterms:W3CDTF">2026-02-01T18:33:24Z</dcterms:created>
  <dcterms:modified xsi:type="dcterms:W3CDTF">2026-02-02T13:58:09Z</dcterms:modified>
</cp:coreProperties>
</file>