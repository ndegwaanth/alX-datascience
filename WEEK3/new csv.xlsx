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WEEK3\"/>
    </mc:Choice>
  </mc:AlternateContent>
  <xr:revisionPtr revIDLastSave="0" documentId="13_ncr:1_{90A4ACBE-DA5D-4F8F-BF26-D4B140C22C1F}" xr6:coauthVersionLast="47" xr6:coauthVersionMax="47" xr10:uidLastSave="{00000000-0000-0000-0000-000000000000}"/>
  <bookViews>
    <workbookView xWindow="-120" yWindow="-120" windowWidth="20730" windowHeight="11040" activeTab="3" xr2:uid="{D7E3E210-8654-495E-BF22-10C90695BA88}"/>
  </bookViews>
  <sheets>
    <sheet name="Estimates-on-the-use-of-water-(" sheetId="2" r:id="rId1"/>
    <sheet name="Global 2020 Report" sheetId="1" r:id="rId2"/>
    <sheet name="pivot table" sheetId="4" r:id="rId3"/>
    <sheet name="Sheet1" sheetId="5" r:id="rId4"/>
  </sheets>
  <definedNames>
    <definedName name="ExternalData_1" localSheetId="0" hidden="1">'Estimates-on-the-use-of-water-('!$A$1:$U$214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F9" i="5" s="1"/>
  <c r="H10" i="5"/>
  <c r="F10" i="5" s="1"/>
  <c r="H11" i="5"/>
  <c r="H2" i="5"/>
  <c r="F3" i="5"/>
  <c r="F4" i="5"/>
  <c r="F5" i="5"/>
  <c r="F6" i="5"/>
  <c r="F7" i="5"/>
  <c r="F8" i="5"/>
  <c r="F11" i="5"/>
  <c r="F2" i="5"/>
  <c r="C2" i="5"/>
  <c r="C3" i="5"/>
  <c r="C4" i="5"/>
  <c r="C5" i="5"/>
  <c r="C6" i="5"/>
  <c r="C7" i="5"/>
  <c r="C8" i="5"/>
  <c r="C9" i="5"/>
  <c r="C10" i="5"/>
  <c r="C11" i="5"/>
  <c r="D3" i="5"/>
  <c r="D4" i="5"/>
  <c r="D5" i="5"/>
  <c r="D6" i="5"/>
  <c r="D7" i="5"/>
  <c r="D8" i="5"/>
  <c r="D9" i="5"/>
  <c r="D10" i="5"/>
  <c r="D11" i="5"/>
  <c r="D2" i="5"/>
  <c r="K20" i="1"/>
  <c r="E17" i="1"/>
  <c r="E16" i="1"/>
  <c r="E4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H20" i="1" l="1"/>
  <c r="F7" i="1"/>
  <c r="C11" i="1" s="1"/>
  <c r="D7" i="1"/>
  <c r="V139" i="2"/>
  <c r="W123" i="2"/>
  <c r="V15" i="2"/>
  <c r="V212" i="2"/>
  <c r="V204" i="2"/>
  <c r="V200" i="2"/>
  <c r="V196" i="2"/>
  <c r="V188" i="2"/>
  <c r="V184" i="2"/>
  <c r="V180" i="2"/>
  <c r="V176" i="2"/>
  <c r="V172" i="2"/>
  <c r="V164" i="2"/>
  <c r="V156" i="2"/>
  <c r="V152" i="2"/>
  <c r="V148" i="2"/>
  <c r="V144" i="2"/>
  <c r="V140" i="2"/>
  <c r="V132" i="2"/>
  <c r="V124" i="2"/>
  <c r="V120" i="2"/>
  <c r="V116" i="2"/>
  <c r="V108" i="2"/>
  <c r="V104" i="2"/>
  <c r="V100" i="2"/>
  <c r="V92" i="2"/>
  <c r="V88" i="2"/>
  <c r="V84" i="2"/>
  <c r="V76" i="2"/>
  <c r="V72" i="2"/>
  <c r="V68" i="2"/>
  <c r="V60" i="2"/>
  <c r="V56" i="2"/>
  <c r="V48" i="2"/>
  <c r="V40" i="2"/>
  <c r="V36" i="2"/>
  <c r="V32" i="2"/>
  <c r="V28" i="2"/>
  <c r="V24" i="2"/>
  <c r="V16" i="2"/>
  <c r="V8" i="2"/>
  <c r="V4" i="2"/>
  <c r="W207" i="2"/>
  <c r="W179" i="2"/>
  <c r="V171" i="2"/>
  <c r="V163" i="2"/>
  <c r="W151" i="2"/>
  <c r="V131" i="2"/>
  <c r="W95" i="2"/>
  <c r="W67" i="2"/>
  <c r="V47" i="2"/>
  <c r="V23" i="2"/>
  <c r="W7" i="2"/>
  <c r="V54" i="2"/>
  <c r="W38" i="2"/>
  <c r="V207" i="2"/>
  <c r="W199" i="2"/>
  <c r="V191" i="2"/>
  <c r="W183" i="2"/>
  <c r="V175" i="2"/>
  <c r="W167" i="2"/>
  <c r="W159" i="2"/>
  <c r="V151" i="2"/>
  <c r="W143" i="2"/>
  <c r="W131" i="2"/>
  <c r="V123" i="2"/>
  <c r="W115" i="2"/>
  <c r="V107" i="2"/>
  <c r="W99" i="2"/>
  <c r="V91" i="2"/>
  <c r="W83" i="2"/>
  <c r="W75" i="2"/>
  <c r="W55" i="2"/>
  <c r="W211" i="2"/>
  <c r="V203" i="2"/>
  <c r="V195" i="2"/>
  <c r="V187" i="2"/>
  <c r="V179" i="2"/>
  <c r="W171" i="2"/>
  <c r="W163" i="2"/>
  <c r="W155" i="2"/>
  <c r="W147" i="2"/>
  <c r="W139" i="2"/>
  <c r="V135" i="2"/>
  <c r="W127" i="2"/>
  <c r="V119" i="2"/>
  <c r="W111" i="2"/>
  <c r="V103" i="2"/>
  <c r="V95" i="2"/>
  <c r="V87" i="2"/>
  <c r="V79" i="2"/>
  <c r="V71" i="2"/>
  <c r="V67" i="2"/>
  <c r="V63" i="2"/>
  <c r="W59" i="2"/>
  <c r="V51" i="2"/>
  <c r="W47" i="2"/>
  <c r="V43" i="2"/>
  <c r="W39" i="2"/>
  <c r="V35" i="2"/>
  <c r="W31" i="2"/>
  <c r="W27" i="2"/>
  <c r="W23" i="2"/>
  <c r="V19" i="2"/>
  <c r="W15" i="2"/>
  <c r="W11" i="2"/>
  <c r="V7" i="2"/>
  <c r="W3" i="2"/>
  <c r="V192" i="2"/>
  <c r="V168" i="2"/>
  <c r="V155" i="2"/>
  <c r="V136" i="2"/>
  <c r="V96" i="2"/>
  <c r="V64" i="2"/>
  <c r="V44" i="2"/>
  <c r="V31" i="2"/>
  <c r="V12" i="2"/>
  <c r="W195" i="2"/>
  <c r="W135" i="2"/>
  <c r="W79" i="2"/>
  <c r="E3" i="1"/>
  <c r="V208" i="2"/>
  <c r="V160" i="2"/>
  <c r="V128" i="2"/>
  <c r="W112" i="2"/>
  <c r="V80" i="2"/>
  <c r="V52" i="2"/>
  <c r="V20" i="2"/>
  <c r="V147" i="2"/>
  <c r="V39" i="2"/>
  <c r="W166" i="2"/>
  <c r="W107" i="2"/>
  <c r="W51" i="2"/>
  <c r="V198" i="2"/>
  <c r="V182" i="2"/>
  <c r="W134" i="2"/>
  <c r="W118" i="2"/>
  <c r="W102" i="2"/>
  <c r="W70" i="2"/>
  <c r="W6" i="2"/>
  <c r="W209" i="2"/>
  <c r="W197" i="2"/>
  <c r="V189" i="2"/>
  <c r="W181" i="2"/>
  <c r="W173" i="2"/>
  <c r="V165" i="2"/>
  <c r="W161" i="2"/>
  <c r="W149" i="2"/>
  <c r="V141" i="2"/>
  <c r="W133" i="2"/>
  <c r="W125" i="2"/>
  <c r="W117" i="2"/>
  <c r="V109" i="2"/>
  <c r="W101" i="2"/>
  <c r="W93" i="2"/>
  <c r="V85" i="2"/>
  <c r="V77" i="2"/>
  <c r="W69" i="2"/>
  <c r="V61" i="2"/>
  <c r="W53" i="2"/>
  <c r="W45" i="2"/>
  <c r="V37" i="2"/>
  <c r="V29" i="2"/>
  <c r="W21" i="2"/>
  <c r="W13" i="2"/>
  <c r="W5" i="2"/>
  <c r="W200" i="2"/>
  <c r="W192" i="2"/>
  <c r="W184" i="2"/>
  <c r="W176" i="2"/>
  <c r="W168" i="2"/>
  <c r="W156" i="2"/>
  <c r="W148" i="2"/>
  <c r="W140" i="2"/>
  <c r="W132" i="2"/>
  <c r="W124" i="2"/>
  <c r="W120" i="2"/>
  <c r="W116" i="2"/>
  <c r="W108" i="2"/>
  <c r="W104" i="2"/>
  <c r="W100" i="2"/>
  <c r="W96" i="2"/>
  <c r="W92" i="2"/>
  <c r="W88" i="2"/>
  <c r="W84" i="2"/>
  <c r="W76" i="2"/>
  <c r="W72" i="2"/>
  <c r="W68" i="2"/>
  <c r="W64" i="2"/>
  <c r="W60" i="2"/>
  <c r="W56" i="2"/>
  <c r="W48" i="2"/>
  <c r="W44" i="2"/>
  <c r="W40" i="2"/>
  <c r="W36" i="2"/>
  <c r="W32" i="2"/>
  <c r="W28" i="2"/>
  <c r="W24" i="2"/>
  <c r="W16" i="2"/>
  <c r="W12" i="2"/>
  <c r="W8" i="2"/>
  <c r="W4" i="2"/>
  <c r="V213" i="2"/>
  <c r="W205" i="2"/>
  <c r="V201" i="2"/>
  <c r="W193" i="2"/>
  <c r="W185" i="2"/>
  <c r="V177" i="2"/>
  <c r="W169" i="2"/>
  <c r="W157" i="2"/>
  <c r="V153" i="2"/>
  <c r="W145" i="2"/>
  <c r="W137" i="2"/>
  <c r="V129" i="2"/>
  <c r="V121" i="2"/>
  <c r="W113" i="2"/>
  <c r="W105" i="2"/>
  <c r="V97" i="2"/>
  <c r="W89" i="2"/>
  <c r="W81" i="2"/>
  <c r="W73" i="2"/>
  <c r="W65" i="2"/>
  <c r="W57" i="2"/>
  <c r="V49" i="2"/>
  <c r="W41" i="2"/>
  <c r="W33" i="2"/>
  <c r="W25" i="2"/>
  <c r="V17" i="2"/>
  <c r="V9" i="2"/>
  <c r="W212" i="2"/>
  <c r="W204" i="2"/>
  <c r="W196" i="2"/>
  <c r="W188" i="2"/>
  <c r="W180" i="2"/>
  <c r="W172" i="2"/>
  <c r="W164" i="2"/>
  <c r="W152" i="2"/>
  <c r="W144" i="2"/>
  <c r="W136" i="2"/>
  <c r="V183" i="2"/>
  <c r="V99" i="2"/>
  <c r="V75" i="2"/>
  <c r="W203" i="2"/>
  <c r="W191" i="2"/>
  <c r="W175" i="2"/>
  <c r="W119" i="2"/>
  <c r="W103" i="2"/>
  <c r="W91" i="2"/>
  <c r="W63" i="2"/>
  <c r="W35" i="2"/>
  <c r="W19" i="2"/>
  <c r="W214" i="2"/>
  <c r="W206" i="2"/>
  <c r="W190" i="2"/>
  <c r="W174" i="2"/>
  <c r="V166" i="2"/>
  <c r="W158" i="2"/>
  <c r="W150" i="2"/>
  <c r="W142" i="2"/>
  <c r="W126" i="2"/>
  <c r="W110" i="2"/>
  <c r="W94" i="2"/>
  <c r="W86" i="2"/>
  <c r="W78" i="2"/>
  <c r="V70" i="2"/>
  <c r="W62" i="2"/>
  <c r="W54" i="2"/>
  <c r="W46" i="2"/>
  <c r="V38" i="2"/>
  <c r="W30" i="2"/>
  <c r="W22" i="2"/>
  <c r="W14" i="2"/>
  <c r="V115" i="2"/>
  <c r="V159" i="2"/>
  <c r="V143" i="2"/>
  <c r="V127" i="2"/>
  <c r="V3" i="2"/>
  <c r="W187" i="2"/>
  <c r="W71" i="2"/>
  <c r="W43" i="2"/>
  <c r="V199" i="2"/>
  <c r="V83" i="2"/>
  <c r="V59" i="2"/>
  <c r="V167" i="2"/>
  <c r="V27" i="2"/>
  <c r="V11" i="2"/>
  <c r="W87" i="2"/>
  <c r="V211" i="2"/>
  <c r="V111" i="2"/>
  <c r="V55" i="2"/>
  <c r="V214" i="2"/>
  <c r="V150" i="2"/>
  <c r="V86" i="2"/>
  <c r="V22" i="2"/>
  <c r="V210" i="2"/>
  <c r="V206" i="2"/>
  <c r="W202" i="2"/>
  <c r="V194" i="2"/>
  <c r="V190" i="2"/>
  <c r="W186" i="2"/>
  <c r="V178" i="2"/>
  <c r="V174" i="2"/>
  <c r="W170" i="2"/>
  <c r="V162" i="2"/>
  <c r="V158" i="2"/>
  <c r="W154" i="2"/>
  <c r="V146" i="2"/>
  <c r="V142" i="2"/>
  <c r="W138" i="2"/>
  <c r="V130" i="2"/>
  <c r="V126" i="2"/>
  <c r="W122" i="2"/>
  <c r="V114" i="2"/>
  <c r="V110" i="2"/>
  <c r="W106" i="2"/>
  <c r="V98" i="2"/>
  <c r="V94" i="2"/>
  <c r="W90" i="2"/>
  <c r="V82" i="2"/>
  <c r="V78" i="2"/>
  <c r="W74" i="2"/>
  <c r="V66" i="2"/>
  <c r="V62" i="2"/>
  <c r="W58" i="2"/>
  <c r="V50" i="2"/>
  <c r="V46" i="2"/>
  <c r="W42" i="2"/>
  <c r="V34" i="2"/>
  <c r="V30" i="2"/>
  <c r="W26" i="2"/>
  <c r="V18" i="2"/>
  <c r="V14" i="2"/>
  <c r="W10" i="2"/>
  <c r="W2" i="2"/>
  <c r="V186" i="2"/>
  <c r="V170" i="2"/>
  <c r="V154" i="2"/>
  <c r="V138" i="2"/>
  <c r="V122" i="2"/>
  <c r="V106" i="2"/>
  <c r="V90" i="2"/>
  <c r="V74" i="2"/>
  <c r="V58" i="2"/>
  <c r="V42" i="2"/>
  <c r="V26" i="2"/>
  <c r="V10" i="2"/>
  <c r="W194" i="2"/>
  <c r="W178" i="2"/>
  <c r="W162" i="2"/>
  <c r="W114" i="2"/>
  <c r="W98" i="2"/>
  <c r="W66" i="2"/>
  <c r="W50" i="2"/>
  <c r="W34" i="2"/>
  <c r="W18" i="2"/>
  <c r="V202" i="2"/>
  <c r="W210" i="2"/>
  <c r="W146" i="2"/>
  <c r="W130" i="2"/>
  <c r="W82" i="2"/>
  <c r="V2" i="2"/>
  <c r="V205" i="2"/>
  <c r="V193" i="2"/>
  <c r="V181" i="2"/>
  <c r="V169" i="2"/>
  <c r="V161" i="2"/>
  <c r="V149" i="2"/>
  <c r="V133" i="2"/>
  <c r="V125" i="2"/>
  <c r="V113" i="2"/>
  <c r="V101" i="2"/>
  <c r="V89" i="2"/>
  <c r="V73" i="2"/>
  <c r="V65" i="2"/>
  <c r="V53" i="2"/>
  <c r="V41" i="2"/>
  <c r="V25" i="2"/>
  <c r="V5" i="2"/>
  <c r="V209" i="2"/>
  <c r="V197" i="2"/>
  <c r="V185" i="2"/>
  <c r="V173" i="2"/>
  <c r="V157" i="2"/>
  <c r="V145" i="2"/>
  <c r="V137" i="2"/>
  <c r="V117" i="2"/>
  <c r="V105" i="2"/>
  <c r="V93" i="2"/>
  <c r="V81" i="2"/>
  <c r="V69" i="2"/>
  <c r="V57" i="2"/>
  <c r="V45" i="2"/>
  <c r="V33" i="2"/>
  <c r="V21" i="2"/>
  <c r="V13" i="2"/>
  <c r="W213" i="2"/>
  <c r="W201" i="2"/>
  <c r="W189" i="2"/>
  <c r="W177" i="2"/>
  <c r="W165" i="2"/>
  <c r="W153" i="2"/>
  <c r="W141" i="2"/>
  <c r="W129" i="2"/>
  <c r="W121" i="2"/>
  <c r="W109" i="2"/>
  <c r="W97" i="2"/>
  <c r="W85" i="2"/>
  <c r="W77" i="2"/>
  <c r="W61" i="2"/>
  <c r="W49" i="2"/>
  <c r="W37" i="2"/>
  <c r="W29" i="2"/>
  <c r="W17" i="2"/>
  <c r="W9" i="2"/>
  <c r="W20" i="2" l="1"/>
  <c r="V134" i="2"/>
  <c r="V6" i="2"/>
  <c r="V102" i="2"/>
  <c r="W128" i="2"/>
  <c r="W80" i="2"/>
  <c r="W208" i="2"/>
  <c r="W182" i="2"/>
  <c r="W160" i="2"/>
  <c r="W52" i="2"/>
  <c r="W198" i="2"/>
  <c r="V118" i="2"/>
  <c r="V1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9A827-2947-4A03-865F-D633E719F7E6}" keepAlive="1" name="Query - Estimates-on-the-use-of-water-(2020)-a-3712" description="Connection to the 'Estimates-on-the-use-of-water-(2020)-a-3712' query in the workbook." type="5" refreshedVersion="8" background="1" saveData="1">
    <dbPr connection="Provider=Microsoft.Mashup.OleDb.1;Data Source=$Workbook$;Location=Estimates-on-the-use-of-water-(2020)-a-3712;Extended Properties=&quot;&quot;" command="SELECT * FROM [Estimates-on-the-use-of-water-(2020)-a-3712]"/>
  </connection>
</connections>
</file>

<file path=xl/sharedStrings.xml><?xml version="1.0" encoding="utf-8"?>
<sst xmlns="http://schemas.openxmlformats.org/spreadsheetml/2006/main" count="3268" uniqueCount="1926">
  <si>
    <t>Tokelau</t>
  </si>
  <si>
    <t>NAN</t>
  </si>
  <si>
    <t>0</t>
  </si>
  <si>
    <t>99.70767665</t>
  </si>
  <si>
    <t>0.2923233459</t>
  </si>
  <si>
    <t>Niue</t>
  </si>
  <si>
    <t>46.20200348</t>
  </si>
  <si>
    <t>97.01087618</t>
  </si>
  <si>
    <t>2.989123822</t>
  </si>
  <si>
    <t>Falkland Islands (Malvinas)</t>
  </si>
  <si>
    <t>78.50799561</t>
  </si>
  <si>
    <t>95.3089274</t>
  </si>
  <si>
    <t>4.691072596</t>
  </si>
  <si>
    <t>78.17294282</t>
  </si>
  <si>
    <t>21.82705718</t>
  </si>
  <si>
    <t>100</t>
  </si>
  <si>
    <t>Montserrat</t>
  </si>
  <si>
    <t>9.114999771</t>
  </si>
  <si>
    <t>98.07748262</t>
  </si>
  <si>
    <t>1.922517378</t>
  </si>
  <si>
    <t>Saint Pierre and Miquelon</t>
  </si>
  <si>
    <t>89.96199799</t>
  </si>
  <si>
    <t>91.4</t>
  </si>
  <si>
    <t>8.6</t>
  </si>
  <si>
    <t>Saint Helena</t>
  </si>
  <si>
    <t>40.08200073</t>
  </si>
  <si>
    <t>99.1</t>
  </si>
  <si>
    <t>0.9</t>
  </si>
  <si>
    <t>Saint Barthelemy</t>
  </si>
  <si>
    <t>Nauru</t>
  </si>
  <si>
    <t>High income</t>
  </si>
  <si>
    <t>Wallis and Futuna Islands</t>
  </si>
  <si>
    <t>99.14328736</t>
  </si>
  <si>
    <t>0.856712639</t>
  </si>
  <si>
    <t>Tuvalu</t>
  </si>
  <si>
    <t>Upper middle income</t>
  </si>
  <si>
    <t>64.01399994</t>
  </si>
  <si>
    <t>Cook Islands</t>
  </si>
  <si>
    <t>99.97161022</t>
  </si>
  <si>
    <t>0.0283897827</t>
  </si>
  <si>
    <t>Palau</t>
  </si>
  <si>
    <t>80.98799896</t>
  </si>
  <si>
    <t>99.6575455</t>
  </si>
  <si>
    <t>0.3424544984</t>
  </si>
  <si>
    <t>99.75698503</t>
  </si>
  <si>
    <t>0.2430149677</t>
  </si>
  <si>
    <t>99.63420199</t>
  </si>
  <si>
    <t>0.3657980078</t>
  </si>
  <si>
    <t>British Virgin Islands</t>
  </si>
  <si>
    <t>48.51499939</t>
  </si>
  <si>
    <t>99.86438356</t>
  </si>
  <si>
    <t>0.1356164384</t>
  </si>
  <si>
    <t>Gibraltar</t>
  </si>
  <si>
    <t>San Marino</t>
  </si>
  <si>
    <t>97.49900055</t>
  </si>
  <si>
    <t>Liechtenstein</t>
  </si>
  <si>
    <t>14.41600037</t>
  </si>
  <si>
    <t>Saint Martin (French part)</t>
  </si>
  <si>
    <t>99.99927139</t>
  </si>
  <si>
    <t>0.0007286105507</t>
  </si>
  <si>
    <t>Monaco</t>
  </si>
  <si>
    <t>Faeroe Islands</t>
  </si>
  <si>
    <t>42.39799881</t>
  </si>
  <si>
    <t>American Samoa</t>
  </si>
  <si>
    <t>87.15299988</t>
  </si>
  <si>
    <t>99.77377166</t>
  </si>
  <si>
    <t>0.2262283415</t>
  </si>
  <si>
    <t>Greenland</t>
  </si>
  <si>
    <t>87.28200531</t>
  </si>
  <si>
    <t>100.0000017</t>
  </si>
  <si>
    <t>Northern Mariana Islands</t>
  </si>
  <si>
    <t>91.79799652</t>
  </si>
  <si>
    <t>Marshall Islands</t>
  </si>
  <si>
    <t>Upper middle income;59.19400024</t>
  </si>
  <si>
    <t>88.57204698</t>
  </si>
  <si>
    <t>11.387979</t>
  </si>
  <si>
    <t>0.03997402585</t>
  </si>
  <si>
    <t>94.42972</t>
  </si>
  <si>
    <t>5.39028</t>
  </si>
  <si>
    <t>0.18</t>
  </si>
  <si>
    <t>86.9</t>
  </si>
  <si>
    <t>13.1</t>
  </si>
  <si>
    <t/>
  </si>
  <si>
    <t>Bermuda</t>
  </si>
  <si>
    <t>99.90314002</t>
  </si>
  <si>
    <t>0.09685998294</t>
  </si>
  <si>
    <t>Andorra</t>
  </si>
  <si>
    <t>87.91600037</t>
  </si>
  <si>
    <t>100.0000037</t>
  </si>
  <si>
    <t>Isle of Man</t>
  </si>
  <si>
    <t>52.89800262</t>
  </si>
  <si>
    <t>99.075</t>
  </si>
  <si>
    <t>0.925</t>
  </si>
  <si>
    <t>United States Virgin Islands</t>
  </si>
  <si>
    <t>95.93900299</t>
  </si>
  <si>
    <t>98.71826738</t>
  </si>
  <si>
    <t>1.281732624</t>
  </si>
  <si>
    <t>Tonga</t>
  </si>
  <si>
    <t>23.09899902</t>
  </si>
  <si>
    <t>98.73108083</t>
  </si>
  <si>
    <t>0.8814972962</t>
  </si>
  <si>
    <t>0.3874218777</t>
  </si>
  <si>
    <t>98.46807854</t>
  </si>
  <si>
    <t>1.103159706</t>
  </si>
  <si>
    <t>0.4287617551;0</t>
  </si>
  <si>
    <t>99.60665819</t>
  </si>
  <si>
    <t>0.143540536</t>
  </si>
  <si>
    <t>0.2498012758</t>
  </si>
  <si>
    <t>Kiribati</t>
  </si>
  <si>
    <t>Lower middle income</t>
  </si>
  <si>
    <t>55.59399796</t>
  </si>
  <si>
    <t>77.97092085</t>
  </si>
  <si>
    <t>4.076899625</t>
  </si>
  <si>
    <t>17.95217953</t>
  </si>
  <si>
    <t>60.99418489</t>
  </si>
  <si>
    <t>2.096609799</t>
  </si>
  <si>
    <t>36.90920532</t>
  </si>
  <si>
    <t>91.53117485</t>
  </si>
  <si>
    <t>5.658666461</t>
  </si>
  <si>
    <t>2.810158691</t>
  </si>
  <si>
    <t>Guam</t>
  </si>
  <si>
    <t>94.93800354</t>
  </si>
  <si>
    <t>99.6952</t>
  </si>
  <si>
    <t>0.3048</t>
  </si>
  <si>
    <t>Saint Lucia</t>
  </si>
  <si>
    <t>18.8409996</t>
  </si>
  <si>
    <t>96.88784457</t>
  </si>
  <si>
    <t>1.815652166</t>
  </si>
  <si>
    <t>1.296503269</t>
  </si>
  <si>
    <t>96.81402383</t>
  </si>
  <si>
    <t>1.734152255</t>
  </si>
  <si>
    <t>1.451823918</t>
  </si>
  <si>
    <t>97.20582219</t>
  </si>
  <si>
    <t>2.166718886</t>
  </si>
  <si>
    <t>0.6274589237</t>
  </si>
  <si>
    <t>Samoa</t>
  </si>
  <si>
    <t>17.88899994</t>
  </si>
  <si>
    <t>91.83772455</t>
  </si>
  <si>
    <t>6.520899952</t>
  </si>
  <si>
    <t>1.418623428</t>
  </si>
  <si>
    <t>0.2227520679</t>
  </si>
  <si>
    <t>91.78032287</t>
  </si>
  <si>
    <t>6.220703339</t>
  </si>
  <si>
    <t>1.72769216</t>
  </si>
  <si>
    <t>0.2712816327</t>
  </si>
  <si>
    <t>92.10119</t>
  </si>
  <si>
    <t>7.89881</t>
  </si>
  <si>
    <t>Sao Tome and Principe</t>
  </si>
  <si>
    <t>74.35400391</t>
  </si>
  <si>
    <t>78.22645516</t>
  </si>
  <si>
    <t>20.23798298</t>
  </si>
  <si>
    <t>0.4435199284</t>
  </si>
  <si>
    <t>1.09204193</t>
  </si>
  <si>
    <t>74.30061449</t>
  </si>
  <si>
    <t>19.71184258</t>
  </si>
  <si>
    <t>1.729405704</t>
  </si>
  <si>
    <t>4.258137228</t>
  </si>
  <si>
    <t>79.5805429</t>
  </si>
  <si>
    <t>20.4194571</t>
  </si>
  <si>
    <t>Mayotte</t>
  </si>
  <si>
    <t>45.75099945</t>
  </si>
  <si>
    <t>96.37117971</t>
  </si>
  <si>
    <t>3.628820295</t>
  </si>
  <si>
    <t>French Polynesia</t>
  </si>
  <si>
    <t>61.97500229</t>
  </si>
  <si>
    <t>New Caledonia</t>
  </si>
  <si>
    <t>71.51799774</t>
  </si>
  <si>
    <t>99.30532057</t>
  </si>
  <si>
    <t>0.6946794278</t>
  </si>
  <si>
    <t>Barbados</t>
  </si>
  <si>
    <t>31.19099998</t>
  </si>
  <si>
    <t>98.51445042</t>
  </si>
  <si>
    <t>0.2676005761</t>
  </si>
  <si>
    <t>1.217949005</t>
  </si>
  <si>
    <t>French Guiana</t>
  </si>
  <si>
    <t>85.81999969</t>
  </si>
  <si>
    <t>93.78221635</t>
  </si>
  <si>
    <t>6.217783652</t>
  </si>
  <si>
    <t>Vanuatu</t>
  </si>
  <si>
    <t>25.52500153</t>
  </si>
  <si>
    <t>91.23119075</t>
  </si>
  <si>
    <t>1.06238505</t>
  </si>
  <si>
    <t>7.706424202</t>
  </si>
  <si>
    <t>88.39720123</t>
  </si>
  <si>
    <t>1.255132675</t>
  </si>
  <si>
    <t>10.3476661</t>
  </si>
  <si>
    <t>99.5</t>
  </si>
  <si>
    <t>0.5</t>
  </si>
  <si>
    <t>Iceland</t>
  </si>
  <si>
    <t>93.897995</t>
  </si>
  <si>
    <t>99.99999721</t>
  </si>
  <si>
    <t>0.000002794650015</t>
  </si>
  <si>
    <t>Martinique</t>
  </si>
  <si>
    <t>89.13999939</t>
  </si>
  <si>
    <t>99.84197078</t>
  </si>
  <si>
    <t>0.1580292158</t>
  </si>
  <si>
    <t>Belize</t>
  </si>
  <si>
    <t>46.02500153</t>
  </si>
  <si>
    <t>98.40195463</t>
  </si>
  <si>
    <t>1.249110629</t>
  </si>
  <si>
    <t>0.3489347411</t>
  </si>
  <si>
    <t>97.99520758</t>
  </si>
  <si>
    <t>1.358317682</t>
  </si>
  <si>
    <t>0.6464747393</t>
  </si>
  <si>
    <t>98.87896</t>
  </si>
  <si>
    <t>1.12104</t>
  </si>
  <si>
    <t>Guadeloupe</t>
  </si>
  <si>
    <t>98.49899292</t>
  </si>
  <si>
    <t>99.80312604</t>
  </si>
  <si>
    <t>0.1968739613</t>
  </si>
  <si>
    <t>Brunei Darussalam</t>
  </si>
  <si>
    <t>78.25000763</t>
  </si>
  <si>
    <t>99.9000368</t>
  </si>
  <si>
    <t>0.09996320036</t>
  </si>
  <si>
    <t>99.65</t>
  </si>
  <si>
    <t>0.35</t>
  </si>
  <si>
    <t>Malta</t>
  </si>
  <si>
    <t>94.7440033</t>
  </si>
  <si>
    <t>100.0000004</t>
  </si>
  <si>
    <t>Maldives</t>
  </si>
  <si>
    <t>40.66899872</t>
  </si>
  <si>
    <t>99.5444386</t>
  </si>
  <si>
    <t>0.0480506913</t>
  </si>
  <si>
    <t>0.407510705</t>
  </si>
  <si>
    <t>99.9190125</t>
  </si>
  <si>
    <t>0.0809875</t>
  </si>
  <si>
    <t>98.99798893</t>
  </si>
  <si>
    <t>1.002011069</t>
  </si>
  <si>
    <t>Cabo Verde</t>
  </si>
  <si>
    <t>7.904150846</t>
  </si>
  <si>
    <t>3.209147716</t>
  </si>
  <si>
    <t>0.1170950144</t>
  </si>
  <si>
    <t>80.11452544</t>
  </si>
  <si>
    <t>9.911127022</t>
  </si>
  <si>
    <t>9.623217003</t>
  </si>
  <si>
    <t>0.3511305397</t>
  </si>
  <si>
    <t>93.1</t>
  </si>
  <si>
    <t>6.9</t>
  </si>
  <si>
    <t>Suriname</t>
  </si>
  <si>
    <t>66.14900208</t>
  </si>
  <si>
    <t>97.98963167</t>
  </si>
  <si>
    <t>1.067246941</t>
  </si>
  <si>
    <t>0.3793365073</t>
  </si>
  <si>
    <t>0.563784884</t>
  </si>
  <si>
    <t>96.57441263</t>
  </si>
  <si>
    <t>1.60029586</t>
  </si>
  <si>
    <t>0.1598017947</t>
  </si>
  <si>
    <t>1.66548972</t>
  </si>
  <si>
    <t>98.71385387</t>
  </si>
  <si>
    <t>0.7944652371</t>
  </si>
  <si>
    <t>0.4916808925</t>
  </si>
  <si>
    <t>Luxembourg</t>
  </si>
  <si>
    <t>91.4529953</t>
  </si>
  <si>
    <t>99.87993254</t>
  </si>
  <si>
    <t>0.1200674649</t>
  </si>
  <si>
    <t>98.5952381</t>
  </si>
  <si>
    <t>1.404761905</t>
  </si>
  <si>
    <t>Montenegro</t>
  </si>
  <si>
    <t>67.48800659</t>
  </si>
  <si>
    <t>98.85691652</t>
  </si>
  <si>
    <t>0.5454788204</t>
  </si>
  <si>
    <t>0.592312011</t>
  </si>
  <si>
    <t>0.005292650894</t>
  </si>
  <si>
    <t>98.16188754</t>
  </si>
  <si>
    <t>1.821833386</t>
  </si>
  <si>
    <t>0.01627906977</t>
  </si>
  <si>
    <t>99.19173959</t>
  </si>
  <si>
    <t>0.8082604128</t>
  </si>
  <si>
    <t>China, Macao SAR</t>
  </si>
  <si>
    <t>Solomon Islands</t>
  </si>
  <si>
    <t>24.67000008</t>
  </si>
  <si>
    <t>67.30102554</t>
  </si>
  <si>
    <t>5.79547831</t>
  </si>
  <si>
    <t>21.26784313</t>
  </si>
  <si>
    <t>5.635653025</t>
  </si>
  <si>
    <t>59.40526749</t>
  </si>
  <si>
    <t>6.528523649</t>
  </si>
  <si>
    <t>26.955911</t>
  </si>
  <si>
    <t>7.110297857</t>
  </si>
  <si>
    <t>91.41077689</t>
  </si>
  <si>
    <t>3.557120425</t>
  </si>
  <si>
    <t>3.899286137</t>
  </si>
  <si>
    <t>1.132816553</t>
  </si>
  <si>
    <t>Bhutan</t>
  </si>
  <si>
    <t>42.31599808</t>
  </si>
  <si>
    <t>97.31322263</t>
  </si>
  <si>
    <t>2.460712607</t>
  </si>
  <si>
    <t>0.1764242183</t>
  </si>
  <si>
    <t>0.04964054142</t>
  </si>
  <si>
    <t>96.73119365</t>
  </si>
  <si>
    <t>3.268806351</t>
  </si>
  <si>
    <t>98.10662849</t>
  </si>
  <si>
    <t>1.3591415</t>
  </si>
  <si>
    <t>0.4169208475</t>
  </si>
  <si>
    <t>0.1173091586</t>
  </si>
  <si>
    <t>Guyana</t>
  </si>
  <si>
    <t>26.7859993</t>
  </si>
  <si>
    <t>95.55480685</t>
  </si>
  <si>
    <t>1.205244408</t>
  </si>
  <si>
    <t>1.143069849</t>
  </si>
  <si>
    <t>2.096878897</t>
  </si>
  <si>
    <t>93.9284905</t>
  </si>
  <si>
    <t>1.646193862</t>
  </si>
  <si>
    <t>1.561274833</t>
  </si>
  <si>
    <t>2.864040809</t>
  </si>
  <si>
    <t>Réunion</t>
  </si>
  <si>
    <t>99.65900421</t>
  </si>
  <si>
    <t>Fiji</t>
  </si>
  <si>
    <t>57.24700546</t>
  </si>
  <si>
    <t>94.30106524</t>
  </si>
  <si>
    <t>3.318602766</t>
  </si>
  <si>
    <t>2.380331999</t>
  </si>
  <si>
    <t>89.08802405</t>
  </si>
  <si>
    <t>5.759897938</t>
  </si>
  <si>
    <t>5.152078012</t>
  </si>
  <si>
    <t>98.19424406</t>
  </si>
  <si>
    <t>1.495409344</t>
  </si>
  <si>
    <t>0.3103465922</t>
  </si>
  <si>
    <t>Djibouti</t>
  </si>
  <si>
    <t>78.06199646</t>
  </si>
  <si>
    <t>76.04992021</t>
  </si>
  <si>
    <t>14.7574817</t>
  </si>
  <si>
    <t>7.015876051</t>
  </si>
  <si>
    <t>2.176722038</t>
  </si>
  <si>
    <t>47.28073293</t>
  </si>
  <si>
    <t>12.06161014</t>
  </si>
  <si>
    <t>30.73550468</t>
  </si>
  <si>
    <t>9.922152249</t>
  </si>
  <si>
    <t>84.13501493</t>
  </si>
  <si>
    <t>15.51511107</t>
  </si>
  <si>
    <t>0.3498740029</t>
  </si>
  <si>
    <t>Eswatini</t>
  </si>
  <si>
    <t>24.17100143</t>
  </si>
  <si>
    <t>70.75307095</t>
  </si>
  <si>
    <t>9.507067163</t>
  </si>
  <si>
    <t>9.835567931</t>
  </si>
  <si>
    <t>9.904293959</t>
  </si>
  <si>
    <t>62.46644874</t>
  </si>
  <si>
    <t>12.29969513</t>
  </si>
  <si>
    <t>12.45046093</t>
  </si>
  <si>
    <t>12.78339519</t>
  </si>
  <si>
    <t>96.74976305</t>
  </si>
  <si>
    <t>0.7460644731</t>
  </si>
  <si>
    <t>1.632164244</t>
  </si>
  <si>
    <t>0.8720082294</t>
  </si>
  <si>
    <t>Cyprus</t>
  </si>
  <si>
    <t>66.82099915</t>
  </si>
  <si>
    <t>99.76517318</t>
  </si>
  <si>
    <t>0.2348268167</t>
  </si>
  <si>
    <t>99.84576172</t>
  </si>
  <si>
    <t>0.1542382836</t>
  </si>
  <si>
    <t>99.72515812</t>
  </si>
  <si>
    <t>0.2748418825</t>
  </si>
  <si>
    <t>Mauritius</t>
  </si>
  <si>
    <t>40.75999832</t>
  </si>
  <si>
    <t>99.8662547</t>
  </si>
  <si>
    <t>0.1337453014</t>
  </si>
  <si>
    <t>99.82768234</t>
  </si>
  <si>
    <t>0.1723176618</t>
  </si>
  <si>
    <t>99.92231522</t>
  </si>
  <si>
    <t>0.07768478119</t>
  </si>
  <si>
    <t>Timor-Leste</t>
  </si>
  <si>
    <t>31.31999969</t>
  </si>
  <si>
    <t>85.4956012</t>
  </si>
  <si>
    <t>1.88586597</t>
  </si>
  <si>
    <t>8.360029397</t>
  </si>
  <si>
    <t>4.258503433</t>
  </si>
  <si>
    <t>80.48779562</t>
  </si>
  <si>
    <t>2.049364675</t>
  </si>
  <si>
    <t>11.26233968</t>
  </si>
  <si>
    <t>6.200500018</t>
  </si>
  <si>
    <t>96.47695792</t>
  </si>
  <si>
    <t>1.527338152</t>
  </si>
  <si>
    <t>1.995703929</t>
  </si>
  <si>
    <t>Estonia</t>
  </si>
  <si>
    <t>69.22900391</t>
  </si>
  <si>
    <t>99.59078178</t>
  </si>
  <si>
    <t>0.4092182232</t>
  </si>
  <si>
    <t>99.98545421</t>
  </si>
  <si>
    <t>0.01454579307</t>
  </si>
  <si>
    <t>Trinidad and Tobago</t>
  </si>
  <si>
    <t>53.2140007</t>
  </si>
  <si>
    <t>98.87517077</t>
  </si>
  <si>
    <t>1.124829231</t>
  </si>
  <si>
    <t>Bahrain</t>
  </si>
  <si>
    <t>89.50600433</t>
  </si>
  <si>
    <t>Latvia</t>
  </si>
  <si>
    <t>68.31500244</t>
  </si>
  <si>
    <t>98.78260115</t>
  </si>
  <si>
    <t>0.6823007424</t>
  </si>
  <si>
    <t>0.5350981037</t>
  </si>
  <si>
    <t>98.57922314</t>
  </si>
  <si>
    <t>1.42077686</t>
  </si>
  <si>
    <t>98.87692469</t>
  </si>
  <si>
    <t>0.9987568151</t>
  </si>
  <si>
    <t>0.1243184908</t>
  </si>
  <si>
    <t>Guinea-Bissau</t>
  </si>
  <si>
    <t>Low income</t>
  </si>
  <si>
    <t>44.19599915</t>
  </si>
  <si>
    <t>59.01691221</t>
  </si>
  <si>
    <t>14.03457137</t>
  </si>
  <si>
    <t>26.6263769</t>
  </si>
  <si>
    <t>0.3221395192</t>
  </si>
  <si>
    <t>49.8319053</t>
  </si>
  <si>
    <t>9.285773026</t>
  </si>
  <si>
    <t>40.31645129</t>
  </si>
  <si>
    <t>0.5658703845</t>
  </si>
  <si>
    <t>70.61434791</t>
  </si>
  <si>
    <t>20.03063358</t>
  </si>
  <si>
    <t>9.340625284</t>
  </si>
  <si>
    <t>0.01439322693</t>
  </si>
  <si>
    <t>Slovenia</t>
  </si>
  <si>
    <t>55.11800385</t>
  </si>
  <si>
    <t>North Macedonia</t>
  </si>
  <si>
    <t>58.48199844</t>
  </si>
  <si>
    <t>97.74281579</t>
  </si>
  <si>
    <t>1.63499414</t>
  </si>
  <si>
    <t>0.5742284762</t>
  </si>
  <si>
    <t>0.04796159706</t>
  </si>
  <si>
    <t>97.46871457</t>
  </si>
  <si>
    <t>1.505202232</t>
  </si>
  <si>
    <t>0.9105631982</t>
  </si>
  <si>
    <t>0.11552</t>
  </si>
  <si>
    <t>97.93740299</t>
  </si>
  <si>
    <t>1.727136954</t>
  </si>
  <si>
    <t>0.3354600563</t>
  </si>
  <si>
    <t>Lesotho</t>
  </si>
  <si>
    <t>29.02799988</t>
  </si>
  <si>
    <t>72.17603927</t>
  </si>
  <si>
    <t>10.40592597</t>
  </si>
  <si>
    <t>12.21725464</t>
  </si>
  <si>
    <t>5.200780116</t>
  </si>
  <si>
    <t>63.65035482</t>
  </si>
  <si>
    <t>13.55843013</t>
  </si>
  <si>
    <t>15.73132479</t>
  </si>
  <si>
    <t>7.059890254</t>
  </si>
  <si>
    <t>93.02090855</t>
  </si>
  <si>
    <t>2.698211997</t>
  </si>
  <si>
    <t>3.625530038</t>
  </si>
  <si>
    <t>0.65534942</t>
  </si>
  <si>
    <t>Gabon</t>
  </si>
  <si>
    <t>90.09200287</t>
  </si>
  <si>
    <t>85.3419306</t>
  </si>
  <si>
    <t>7.735263103</t>
  </si>
  <si>
    <t>6.922808357</t>
  </si>
  <si>
    <t>44.74588901</t>
  </si>
  <si>
    <t>10.51114859</t>
  </si>
  <si>
    <t>44.7429624</t>
  </si>
  <si>
    <t>89.80653917</t>
  </si>
  <si>
    <t>7.42998076</t>
  </si>
  <si>
    <t>2.763480072</t>
  </si>
  <si>
    <t>Botswana</t>
  </si>
  <si>
    <t>70.8769989</t>
  </si>
  <si>
    <t>92.21356307</t>
  </si>
  <si>
    <t>4.72303897</t>
  </si>
  <si>
    <t>1.732526476</t>
  </si>
  <si>
    <t>1.330871481</t>
  </si>
  <si>
    <t>79.04372386</t>
  </si>
  <si>
    <t>15.15494718</t>
  </si>
  <si>
    <t>1.596119156</t>
  </si>
  <si>
    <t>4.20520981</t>
  </si>
  <si>
    <t>97.62498058</t>
  </si>
  <si>
    <t>0.4366200322</t>
  </si>
  <si>
    <t>1.788579159</t>
  </si>
  <si>
    <t>0.1498202281</t>
  </si>
  <si>
    <t>Gambia</t>
  </si>
  <si>
    <t>62.58199692</t>
  </si>
  <si>
    <t>80.94040714</t>
  </si>
  <si>
    <t>8.597391391</t>
  </si>
  <si>
    <t>10.35285207</t>
  </si>
  <si>
    <t>0.1093493927</t>
  </si>
  <si>
    <t>69.18852321</t>
  </si>
  <si>
    <t>16.49783239</t>
  </si>
  <si>
    <t>14.24376547</t>
  </si>
  <si>
    <t>0.0698789368</t>
  </si>
  <si>
    <t>87.96690427</t>
  </si>
  <si>
    <t>3.873689522</t>
  </si>
  <si>
    <t>8.026457278</t>
  </si>
  <si>
    <t>0.1329489253</t>
  </si>
  <si>
    <t>Namibia</t>
  </si>
  <si>
    <t>52.03300095</t>
  </si>
  <si>
    <t>84.27003628</t>
  </si>
  <si>
    <t>7.08762751</t>
  </si>
  <si>
    <t>3.740143722</t>
  </si>
  <si>
    <t>4.902192485</t>
  </si>
  <si>
    <t>71.25616743</t>
  </si>
  <si>
    <t>11.97218925</t>
  </si>
  <si>
    <t>7.081803759</t>
  </si>
  <si>
    <t>9.689839563</t>
  </si>
  <si>
    <t>96.26696535</t>
  </si>
  <si>
    <t>2.584758965</t>
  </si>
  <si>
    <t>0.6596102638</t>
  </si>
  <si>
    <t>0.4886654211</t>
  </si>
  <si>
    <t>Lithuania</t>
  </si>
  <si>
    <t>68.04599762</t>
  </si>
  <si>
    <t>98.01334724</t>
  </si>
  <si>
    <t>1.98665276</t>
  </si>
  <si>
    <t>93.78278023</t>
  </si>
  <si>
    <t>6.217219771</t>
  </si>
  <si>
    <t>Puerto Rico</t>
  </si>
  <si>
    <t>93.58100128</t>
  </si>
  <si>
    <t>Albania</t>
  </si>
  <si>
    <t>62.11199951</t>
  </si>
  <si>
    <t>95.06803883</t>
  </si>
  <si>
    <t>1.884656092</t>
  </si>
  <si>
    <t>3.047305081</t>
  </si>
  <si>
    <t>94.09135806</t>
  </si>
  <si>
    <t>2.305264955</t>
  </si>
  <si>
    <t>3.603376986</t>
  </si>
  <si>
    <t>95.66380912</t>
  </si>
  <si>
    <t>1.62808683</t>
  </si>
  <si>
    <t>2.708104054</t>
  </si>
  <si>
    <t>Qatar</t>
  </si>
  <si>
    <t>99.23500061</t>
  </si>
  <si>
    <t>99.56810194</t>
  </si>
  <si>
    <t>0.4318980637</t>
  </si>
  <si>
    <t>Jamaica</t>
  </si>
  <si>
    <t>56.31100082</t>
  </si>
  <si>
    <t>91.0299445</t>
  </si>
  <si>
    <t>5.367570914</t>
  </si>
  <si>
    <t>1.864010203</t>
  </si>
  <si>
    <t>1.738474379</t>
  </si>
  <si>
    <t>85.39991216</t>
  </si>
  <si>
    <t>8.490737371</t>
  </si>
  <si>
    <t>2.568971895</t>
  </si>
  <si>
    <t>3.540378574</t>
  </si>
  <si>
    <t>95.39801591</t>
  </si>
  <si>
    <t>2.944456223</t>
  </si>
  <si>
    <t>1.317064322</t>
  </si>
  <si>
    <t>0.34046355</t>
  </si>
  <si>
    <t>Armenia</t>
  </si>
  <si>
    <t>63.31299973</t>
  </si>
  <si>
    <t>99.97118069</t>
  </si>
  <si>
    <t>0.02881930801</t>
  </si>
  <si>
    <t>99.95448122</t>
  </si>
  <si>
    <t>0.04551878364</t>
  </si>
  <si>
    <t>Mongolia</t>
  </si>
  <si>
    <t>68.65699768</t>
  </si>
  <si>
    <t>85.49562527</t>
  </si>
  <si>
    <t>2.14642893</t>
  </si>
  <si>
    <t>6.633366714</t>
  </si>
  <si>
    <t>5.724579081</t>
  </si>
  <si>
    <t>61.07075114</t>
  </si>
  <si>
    <t>3.084170572</t>
  </si>
  <si>
    <t>17.58078116</t>
  </si>
  <si>
    <t>18.26429713</t>
  </si>
  <si>
    <t>96.64596558</t>
  </si>
  <si>
    <t>1.718335079</t>
  </si>
  <si>
    <t>1.635699341</t>
  </si>
  <si>
    <t>Bosnia and Herzegovina</t>
  </si>
  <si>
    <t>49.02000046</t>
  </si>
  <si>
    <t>96.11389762</t>
  </si>
  <si>
    <t>3.823663938</t>
  </si>
  <si>
    <t>0.06243843752</t>
  </si>
  <si>
    <t>97.33333333</t>
  </si>
  <si>
    <t>2.666666667</t>
  </si>
  <si>
    <t>94.8457044</t>
  </si>
  <si>
    <t>5.026922206</t>
  </si>
  <si>
    <t>0.1273733928</t>
  </si>
  <si>
    <t>Uruguay</t>
  </si>
  <si>
    <t>95.51499939</t>
  </si>
  <si>
    <t>99.49575756</t>
  </si>
  <si>
    <t>0.5042424412</t>
  </si>
  <si>
    <t>95.30083</t>
  </si>
  <si>
    <t>4.69917</t>
  </si>
  <si>
    <t>99.69273444</t>
  </si>
  <si>
    <t>0.3072655617</t>
  </si>
  <si>
    <t>Georgia</t>
  </si>
  <si>
    <t>59.4529953</t>
  </si>
  <si>
    <t>97.3481397</t>
  </si>
  <si>
    <t>2.632761379</t>
  </si>
  <si>
    <t>0.01909892327</t>
  </si>
  <si>
    <t>94.2718842</t>
  </si>
  <si>
    <t>5.703923618</t>
  </si>
  <si>
    <t>0.02419218345</t>
  </si>
  <si>
    <t>99.44615394</t>
  </si>
  <si>
    <t>0.538220742</t>
  </si>
  <si>
    <t>0.01562531586</t>
  </si>
  <si>
    <t>Republic of Moldova</t>
  </si>
  <si>
    <t>42.84900284</t>
  </si>
  <si>
    <t>90.56996224</t>
  </si>
  <si>
    <t>1.519776762</t>
  </si>
  <si>
    <t>7.910260997</t>
  </si>
  <si>
    <t>85.48103812</t>
  </si>
  <si>
    <t>1.52256302</t>
  </si>
  <si>
    <t>12.99639886</t>
  </si>
  <si>
    <t>97.35744448</t>
  </si>
  <si>
    <t>1.516060408</t>
  </si>
  <si>
    <t>1.126495111</t>
  </si>
  <si>
    <t>Croatia</t>
  </si>
  <si>
    <t>57.55299759</t>
  </si>
  <si>
    <t>Kuwait</t>
  </si>
  <si>
    <t>Panama</t>
  </si>
  <si>
    <t>68.41400146</t>
  </si>
  <si>
    <t>94.37254436</t>
  </si>
  <si>
    <t>1.873480592</t>
  </si>
  <si>
    <t>2.262304247</t>
  </si>
  <si>
    <t>1.491670799</t>
  </si>
  <si>
    <t>86.32308326</t>
  </si>
  <si>
    <t>1.791982583</t>
  </si>
  <si>
    <t>7.162364342</t>
  </si>
  <si>
    <t>4.722569811</t>
  </si>
  <si>
    <t>98.08889267</t>
  </si>
  <si>
    <t>1.911107333</t>
  </si>
  <si>
    <t>Mauritania</t>
  </si>
  <si>
    <t>55.32699585</t>
  </si>
  <si>
    <t>71.68104923</t>
  </si>
  <si>
    <t>13.47689193</t>
  </si>
  <si>
    <t>14.82032681</t>
  </si>
  <si>
    <t>0.02173203433</t>
  </si>
  <si>
    <t>49.9113389</t>
  </si>
  <si>
    <t>18.49039689</t>
  </si>
  <si>
    <t>31.5496173</t>
  </si>
  <si>
    <t>0.04864690722</t>
  </si>
  <si>
    <t>89.25869465</t>
  </si>
  <si>
    <t>9.428808083</t>
  </si>
  <si>
    <t>1.31249727</t>
  </si>
  <si>
    <t>New Zealand</t>
  </si>
  <si>
    <t>86.6989975</t>
  </si>
  <si>
    <t>100.0000013</t>
  </si>
  <si>
    <t>Central African Republic</t>
  </si>
  <si>
    <t>42.19799805</t>
  </si>
  <si>
    <t>37.20240205</t>
  </si>
  <si>
    <t>25.68237348</t>
  </si>
  <si>
    <t>33.53911377</t>
  </si>
  <si>
    <t>3.576110708</t>
  </si>
  <si>
    <t>28.10659415</t>
  </si>
  <si>
    <t>19.4058899</t>
  </si>
  <si>
    <t>46.37307301</t>
  </si>
  <si>
    <t>6.114442944</t>
  </si>
  <si>
    <t>49.66166495</t>
  </si>
  <si>
    <t>34.27978009</t>
  </si>
  <si>
    <t>15.95940214</t>
  </si>
  <si>
    <t>0.09915281712</t>
  </si>
  <si>
    <t>Ireland</t>
  </si>
  <si>
    <t>63.65299988</t>
  </si>
  <si>
    <t>97.39970651</t>
  </si>
  <si>
    <t>2.600293485</t>
  </si>
  <si>
    <t>98.13492075</t>
  </si>
  <si>
    <t>1.865079247</t>
  </si>
  <si>
    <t>96.97988603</t>
  </si>
  <si>
    <t>3.020113966</t>
  </si>
  <si>
    <t>Liberia</t>
  </si>
  <si>
    <t>52.08899689</t>
  </si>
  <si>
    <t>75.26179159</t>
  </si>
  <si>
    <t>8.700657475</t>
  </si>
  <si>
    <t>3.488080869</t>
  </si>
  <si>
    <t>12.54947006</t>
  </si>
  <si>
    <t>64.10021689</t>
  </si>
  <si>
    <t>6.537775797</t>
  </si>
  <si>
    <t>3.383709875</t>
  </si>
  <si>
    <t>25.97829744</t>
  </si>
  <si>
    <t>85.52810963</t>
  </si>
  <si>
    <t>10.69005698</t>
  </si>
  <si>
    <t>3.58408039</t>
  </si>
  <si>
    <t>0.1977530006</t>
  </si>
  <si>
    <t>Costa Rica</t>
  </si>
  <si>
    <t>80.77099609</t>
  </si>
  <si>
    <t>99.81053693</t>
  </si>
  <si>
    <t>0.1894594746</t>
  </si>
  <si>
    <t>0.000003594451897</t>
  </si>
  <si>
    <t>99.64625</t>
  </si>
  <si>
    <t>0.35375</t>
  </si>
  <si>
    <t>99.84965286</t>
  </si>
  <si>
    <t>0.1503471429</t>
  </si>
  <si>
    <t>West Bank and Gaza Strip</t>
  </si>
  <si>
    <t>76.71899414</t>
  </si>
  <si>
    <t>97.88039722</t>
  </si>
  <si>
    <t>1.029979486</t>
  </si>
  <si>
    <t>1.089623295</t>
  </si>
  <si>
    <t>98.71555642</t>
  </si>
  <si>
    <t>0.3174006273</t>
  </si>
  <si>
    <t>0.9670429576</t>
  </si>
  <si>
    <t>97.62696443</t>
  </si>
  <si>
    <t>1.246217358</t>
  </si>
  <si>
    <t>1.126818208</t>
  </si>
  <si>
    <t>Oman</t>
  </si>
  <si>
    <t>86.27599335</t>
  </si>
  <si>
    <t>92.16802469</t>
  </si>
  <si>
    <t>7.541419893</t>
  </si>
  <si>
    <t>0.2604052036</t>
  </si>
  <si>
    <t>0.03015021745</t>
  </si>
  <si>
    <t>76.25077991</t>
  </si>
  <si>
    <t>21.63212113</t>
  </si>
  <si>
    <t>1.897409218</t>
  </si>
  <si>
    <t>0.2196897375</t>
  </si>
  <si>
    <t>94.7</t>
  </si>
  <si>
    <t>5.3</t>
  </si>
  <si>
    <t>Norway</t>
  </si>
  <si>
    <t>82.97399139</t>
  </si>
  <si>
    <t>99.9999955</t>
  </si>
  <si>
    <t>0.000004503407453</t>
  </si>
  <si>
    <t>Slovakia</t>
  </si>
  <si>
    <t>53.75999832</t>
  </si>
  <si>
    <t>99.78769858</t>
  </si>
  <si>
    <t>0.2123014241</t>
  </si>
  <si>
    <t>99.60509406</t>
  </si>
  <si>
    <t>0.3949059374</t>
  </si>
  <si>
    <t>Congo</t>
  </si>
  <si>
    <t>67.82900238</t>
  </si>
  <si>
    <t>73.78451158</t>
  </si>
  <si>
    <t>10.46117203</t>
  </si>
  <si>
    <t>9.559180722</t>
  </si>
  <si>
    <t>6.195135664</t>
  </si>
  <si>
    <t>45.72441318</t>
  </si>
  <si>
    <t>10.6323901</t>
  </si>
  <si>
    <t>24.40516973</t>
  </si>
  <si>
    <t>19.23802699</t>
  </si>
  <si>
    <t>87.09329616</t>
  </si>
  <si>
    <t>10.37996439</t>
  </si>
  <si>
    <t>2.517789997</t>
  </si>
  <si>
    <t>0.008949452055</t>
  </si>
  <si>
    <t>Finland</t>
  </si>
  <si>
    <t>85.51700592</t>
  </si>
  <si>
    <t>100.0000033</t>
  </si>
  <si>
    <t>Denmark</t>
  </si>
  <si>
    <t>88.11600494</t>
  </si>
  <si>
    <t>100.0000011</t>
  </si>
  <si>
    <t>Singapore</t>
  </si>
  <si>
    <t>Turkmenistan</t>
  </si>
  <si>
    <t>52.51600266</t>
  </si>
  <si>
    <t>El Salvador</t>
  </si>
  <si>
    <t>73.44400024</t>
  </si>
  <si>
    <t>97.94657541</t>
  </si>
  <si>
    <t>0.2072632319</t>
  </si>
  <si>
    <t>0.3151739969</t>
  </si>
  <si>
    <t>1.530987366</t>
  </si>
  <si>
    <t>93.45439508</t>
  </si>
  <si>
    <t>0.7804762049</t>
  </si>
  <si>
    <t>5.765128712</t>
  </si>
  <si>
    <t>99.57087001</t>
  </si>
  <si>
    <t>0.4291299944</t>
  </si>
  <si>
    <t>Kyrgyzstan</t>
  </si>
  <si>
    <t>36.85599899</t>
  </si>
  <si>
    <t>91.69930522</t>
  </si>
  <si>
    <t>1.900734111</t>
  </si>
  <si>
    <t>1.8656487</t>
  </si>
  <si>
    <t>4.534311965</t>
  </si>
  <si>
    <t>87.258429</t>
  </si>
  <si>
    <t>2.606070485</t>
  </si>
  <si>
    <t>2.954593684</t>
  </si>
  <si>
    <t>7.180906832</t>
  </si>
  <si>
    <t>99.30769231</t>
  </si>
  <si>
    <t>0.6923076923</t>
  </si>
  <si>
    <t>Nicaragua</t>
  </si>
  <si>
    <t>59.01200104</t>
  </si>
  <si>
    <t>81.7087538</t>
  </si>
  <si>
    <t>1.506645682</t>
  </si>
  <si>
    <t>13.53053114</t>
  </si>
  <si>
    <t>3.254069378</t>
  </si>
  <si>
    <t>59.10744663</t>
  </si>
  <si>
    <t>3.520974285</t>
  </si>
  <si>
    <t>29.78017368</t>
  </si>
  <si>
    <t>7.5914054</t>
  </si>
  <si>
    <t>97.40695661</t>
  </si>
  <si>
    <t>0.1075523143</t>
  </si>
  <si>
    <t>2.244007656</t>
  </si>
  <si>
    <t>0.2414834229</t>
  </si>
  <si>
    <t>Lebanon</t>
  </si>
  <si>
    <t>88.92499542</t>
  </si>
  <si>
    <t>92.6</t>
  </si>
  <si>
    <t>7.4</t>
  </si>
  <si>
    <t>Libya</t>
  </si>
  <si>
    <t>80.69100189</t>
  </si>
  <si>
    <t>99.8915238</t>
  </si>
  <si>
    <t>0.1084762012</t>
  </si>
  <si>
    <t>Bulgaria</t>
  </si>
  <si>
    <t>75.68599701</t>
  </si>
  <si>
    <t>99.01141694</t>
  </si>
  <si>
    <t>0.9885830607</t>
  </si>
  <si>
    <t>97.40128797</t>
  </si>
  <si>
    <t>2.598712031</t>
  </si>
  <si>
    <t>99.5286704</t>
  </si>
  <si>
    <t>0.4713296007</t>
  </si>
  <si>
    <t>Paraguay</t>
  </si>
  <si>
    <t>62.18299484</t>
  </si>
  <si>
    <t>99.59346633</t>
  </si>
  <si>
    <t>0.4065302439</t>
  </si>
  <si>
    <t>0.0000034229177</t>
  </si>
  <si>
    <t>99.11122753</t>
  </si>
  <si>
    <t>0.8887724684</t>
  </si>
  <si>
    <t>99.88674854</t>
  </si>
  <si>
    <t>0.1132514643</t>
  </si>
  <si>
    <t>Lao People's Democratic Republic</t>
  </si>
  <si>
    <t>36.29000092</t>
  </si>
  <si>
    <t>85.21974318</t>
  </si>
  <si>
    <t>3.566857739</t>
  </si>
  <si>
    <t>10.62886799</t>
  </si>
  <si>
    <t>0.5845310938</t>
  </si>
  <si>
    <t>78.47295942</t>
  </si>
  <si>
    <t>5.598583786</t>
  </si>
  <si>
    <t>15.0109696</t>
  </si>
  <si>
    <t>0.9174871957</t>
  </si>
  <si>
    <t>97.06426222</t>
  </si>
  <si>
    <t>2.935737778</t>
  </si>
  <si>
    <t>China, Hong Kong SAR</t>
  </si>
  <si>
    <t>Sierra Leone</t>
  </si>
  <si>
    <t>42.92300034</t>
  </si>
  <si>
    <t>63.76628562</t>
  </si>
  <si>
    <t>9.023316357</t>
  </si>
  <si>
    <t>15.5639457;11.64645233</t>
  </si>
  <si>
    <t>52.75270267</t>
  </si>
  <si>
    <t>5.221136889</t>
  </si>
  <si>
    <t>23.14294909</t>
  </si>
  <si>
    <t>18.88321135</t>
  </si>
  <si>
    <t>78.41163766</t>
  </si>
  <si>
    <t>14.07927743</t>
  </si>
  <si>
    <t>5.485735437</t>
  </si>
  <si>
    <t>2.023349475</t>
  </si>
  <si>
    <t>Togo</t>
  </si>
  <si>
    <t>42.79999924</t>
  </si>
  <si>
    <t>68.58372009</t>
  </si>
  <si>
    <t>6.065434765</t>
  </si>
  <si>
    <t>14.16432245</t>
  </si>
  <si>
    <t>11.18652269</t>
  </si>
  <si>
    <t>52.11755275</t>
  </si>
  <si>
    <t>8.187542019</t>
  </si>
  <si>
    <t>20.7910842</t>
  </si>
  <si>
    <t>18.90382103</t>
  </si>
  <si>
    <t>90.58991001</t>
  </si>
  <si>
    <t>3.229348056</t>
  </si>
  <si>
    <t>5.307990528</t>
  </si>
  <si>
    <t>0.8727514049</t>
  </si>
  <si>
    <t>Switzerland</t>
  </si>
  <si>
    <t>73.91500092</t>
  </si>
  <si>
    <t>100.0000028</t>
  </si>
  <si>
    <t>Israel</t>
  </si>
  <si>
    <t>92.58699799</t>
  </si>
  <si>
    <t>Serbia</t>
  </si>
  <si>
    <t>56.44599915</t>
  </si>
  <si>
    <t>95.29552932</t>
  </si>
  <si>
    <t>4.244199279</t>
  </si>
  <si>
    <t>0.4437204778</t>
  </si>
  <si>
    <t>0.01655092647</t>
  </si>
  <si>
    <t>95.84497475</t>
  </si>
  <si>
    <t>3.545864028</t>
  </si>
  <si>
    <t>0.5711602866</t>
  </si>
  <si>
    <t>0.03800093141</t>
  </si>
  <si>
    <t>94.87156989</t>
  </si>
  <si>
    <t>4.783037865</t>
  </si>
  <si>
    <t>0.3453922445</t>
  </si>
  <si>
    <t>Papua New Guinea</t>
  </si>
  <si>
    <t>13.34500027</t>
  </si>
  <si>
    <t>45.34401752</t>
  </si>
  <si>
    <t>2.128564452</t>
  </si>
  <si>
    <t>22.15762495</t>
  </si>
  <si>
    <t>30.36979308</t>
  </si>
  <si>
    <t>39.07134367</t>
  </si>
  <si>
    <t>2.429850293</t>
  </si>
  <si>
    <t>24.43180086</t>
  </si>
  <si>
    <t>34.06700517</t>
  </si>
  <si>
    <t>86.07527164</t>
  </si>
  <si>
    <t>0.1721822608</t>
  </si>
  <si>
    <t>7.390385564</t>
  </si>
  <si>
    <t>6.362160532</t>
  </si>
  <si>
    <t>Austria</t>
  </si>
  <si>
    <t>58.7480011</t>
  </si>
  <si>
    <t>Belarus</t>
  </si>
  <si>
    <t>79.48300171</t>
  </si>
  <si>
    <t>96.53472608</t>
  </si>
  <si>
    <t>3.37211955</t>
  </si>
  <si>
    <t>0.09315436837</t>
  </si>
  <si>
    <t>98.56412231</t>
  </si>
  <si>
    <t>0.9955971951</t>
  </si>
  <si>
    <t>0.4402804931</t>
  </si>
  <si>
    <t>96.01087362</t>
  </si>
  <si>
    <t>3.985572644</t>
  </si>
  <si>
    <t>0.003553731977</t>
  </si>
  <si>
    <t>Tajikistan</t>
  </si>
  <si>
    <t>27.50599861</t>
  </si>
  <si>
    <t>81.85241502</t>
  </si>
  <si>
    <t>2.568363935</t>
  </si>
  <si>
    <t>3.421857005</t>
  </si>
  <si>
    <t>12.15736404</t>
  </si>
  <si>
    <t>76.6435992</t>
  </si>
  <si>
    <t>3.207143928</t>
  </si>
  <si>
    <t>4.140706948</t>
  </si>
  <si>
    <t>16.00854992</t>
  </si>
  <si>
    <t>95.58062386</t>
  </si>
  <si>
    <t>0.8848144763</t>
  </si>
  <si>
    <t>1.527268323</t>
  </si>
  <si>
    <t>2.007293339</t>
  </si>
  <si>
    <t>Hungary</t>
  </si>
  <si>
    <t>71.94200134</t>
  </si>
  <si>
    <t>99.99999747</t>
  </si>
  <si>
    <t>0.000002527244192</t>
  </si>
  <si>
    <t>United Arab Emirates</t>
  </si>
  <si>
    <t>87.04799652</t>
  </si>
  <si>
    <t>99.965596</t>
  </si>
  <si>
    <t>0.034404</t>
  </si>
  <si>
    <t>Honduras</t>
  </si>
  <si>
    <t>58.35899734</t>
  </si>
  <si>
    <t>95.68922113</t>
  </si>
  <si>
    <t>0.4256206085</t>
  </si>
  <si>
    <t>3.885158264</t>
  </si>
  <si>
    <t>89.87579955</t>
  </si>
  <si>
    <t>0.8067095079</t>
  </si>
  <si>
    <t>9.317490946</t>
  </si>
  <si>
    <t>99.83728281</t>
  </si>
  <si>
    <t>0.1537015262</t>
  </si>
  <si>
    <t>0.009015663296</t>
  </si>
  <si>
    <t>Sweden</t>
  </si>
  <si>
    <t>87.97699738</t>
  </si>
  <si>
    <t>99.82686763</t>
  </si>
  <si>
    <t>0.1731323735</t>
  </si>
  <si>
    <t>99.71937474</t>
  </si>
  <si>
    <t>0.2806252626</t>
  </si>
  <si>
    <t>99.84155768</t>
  </si>
  <si>
    <t>0.1584423157</t>
  </si>
  <si>
    <t>Azerbaijan</t>
  </si>
  <si>
    <t>56.39700317</t>
  </si>
  <si>
    <t>96.04337613</t>
  </si>
  <si>
    <t>1.04278118</t>
  </si>
  <si>
    <t>2.913842688</t>
  </si>
  <si>
    <t>90.92579795</t>
  </si>
  <si>
    <t>2.391535671</t>
  </si>
  <si>
    <t>6.682666377</t>
  </si>
  <si>
    <t>Portugal</t>
  </si>
  <si>
    <t>66.30999756</t>
  </si>
  <si>
    <t>99.91199367</t>
  </si>
  <si>
    <t>0.08800633369</t>
  </si>
  <si>
    <t>99.73877609</t>
  </si>
  <si>
    <t>0.2612239122</t>
  </si>
  <si>
    <t>Jordan</t>
  </si>
  <si>
    <t>91.41799927</t>
  </si>
  <si>
    <t>98.94030296</t>
  </si>
  <si>
    <t>0.1462147369</t>
  </si>
  <si>
    <t>0.8536474704</t>
  </si>
  <si>
    <t>0.05983483179</t>
  </si>
  <si>
    <t>97.31147869</t>
  </si>
  <si>
    <t>0.6239465945</t>
  </si>
  <si>
    <t>2.024714716</t>
  </si>
  <si>
    <t>0.03986</t>
  </si>
  <si>
    <t>99.09321259</t>
  </si>
  <si>
    <t>0.1013669408</t>
  </si>
  <si>
    <t>0.7437104707</t>
  </si>
  <si>
    <t>0.06171</t>
  </si>
  <si>
    <t>Greece</t>
  </si>
  <si>
    <t>79.71500397</t>
  </si>
  <si>
    <t>100.0000023</t>
  </si>
  <si>
    <t>Czech Republic</t>
  </si>
  <si>
    <t>74.06100464</t>
  </si>
  <si>
    <t>99.88059167</t>
  </si>
  <si>
    <t>0.1194083325</t>
  </si>
  <si>
    <t>99.8175993</t>
  </si>
  <si>
    <t>0.1824006965</t>
  </si>
  <si>
    <t>99.90265093</t>
  </si>
  <si>
    <t>0.0973490679</t>
  </si>
  <si>
    <t>Dominican Republic</t>
  </si>
  <si>
    <t>82.54000092</t>
  </si>
  <si>
    <t>96.68681192</t>
  </si>
  <si>
    <t>0.4670386504</t>
  </si>
  <si>
    <t>1.269428783</t>
  </si>
  <si>
    <t>1.576720644</t>
  </si>
  <si>
    <t>90.30446437</t>
  </si>
  <si>
    <t>1.385315508</t>
  </si>
  <si>
    <t>1.115118127</t>
  </si>
  <si>
    <t>7.195101991</t>
  </si>
  <si>
    <t>98.03689158</t>
  </si>
  <si>
    <t>0.2727920359</t>
  </si>
  <si>
    <t>1.302073396</t>
  </si>
  <si>
    <t>0.3882429922</t>
  </si>
  <si>
    <t>South Sudan</t>
  </si>
  <si>
    <t>20.1989994</t>
  </si>
  <si>
    <t>40.95092717</t>
  </si>
  <si>
    <t>37.42696287</t>
  </si>
  <si>
    <t>13.53755519</t>
  </si>
  <si>
    <t>8.084554762</t>
  </si>
  <si>
    <t>33.59362881</t>
  </si>
  <si>
    <t>42.16438068</t>
  </si>
  <si>
    <t>14.11109616</t>
  </si>
  <si>
    <t>10.13089435</t>
  </si>
  <si>
    <t>70.01770445</t>
  </si>
  <si>
    <t>18.71066092</t>
  </si>
  <si>
    <t>11.27163464</t>
  </si>
  <si>
    <t>Cuba</t>
  </si>
  <si>
    <t>77.19400024</t>
  </si>
  <si>
    <t>97.00269616</t>
  </si>
  <si>
    <t>1.471384542</t>
  </si>
  <si>
    <t>1.252811506</t>
  </si>
  <si>
    <t>0.2731077963</t>
  </si>
  <si>
    <t>94.38665114</t>
  </si>
  <si>
    <t>2.591752445</t>
  </si>
  <si>
    <t>1.905972935</t>
  </si>
  <si>
    <t>1.115623477</t>
  </si>
  <si>
    <t>97.77557664</t>
  </si>
  <si>
    <t>1.1403859</t>
  </si>
  <si>
    <t>1.059840374</t>
  </si>
  <si>
    <t>0.02419708411</t>
  </si>
  <si>
    <t>Haiti</t>
  </si>
  <si>
    <t>57.08799744</t>
  </si>
  <si>
    <t>66.6953084</t>
  </si>
  <si>
    <t>9.814543652</t>
  </si>
  <si>
    <t>23.49014795</t>
  </si>
  <si>
    <t>42.8457001</t>
  </si>
  <si>
    <t>13.25598695</t>
  </si>
  <si>
    <t>43.89831295</t>
  </si>
  <si>
    <t>84.62262129</t>
  </si>
  <si>
    <t>7.227673879</t>
  </si>
  <si>
    <t>8.149704835</t>
  </si>
  <si>
    <t>Belgium</t>
  </si>
  <si>
    <t>98.07899475</t>
  </si>
  <si>
    <t>99.99999645</t>
  </si>
  <si>
    <t>0.000003554796791</t>
  </si>
  <si>
    <t>Bolivia (Plurinational State of)</t>
  </si>
  <si>
    <t>70.1230011</t>
  </si>
  <si>
    <t>93.39007163</t>
  </si>
  <si>
    <t>0.1365905296</t>
  </si>
  <si>
    <t>1.575010843</t>
  </si>
  <si>
    <t>4.898326997</t>
  </si>
  <si>
    <t>79.93664283</t>
  </si>
  <si>
    <t>0.2447364082</t>
  </si>
  <si>
    <t>3.954133693</t>
  </si>
  <si>
    <t>15.86448707</t>
  </si>
  <si>
    <t>99.12211832</t>
  </si>
  <si>
    <t>0.09051328947</t>
  </si>
  <si>
    <t>0.5613453808</t>
  </si>
  <si>
    <t>0.2260230112</t>
  </si>
  <si>
    <t>Tunisia</t>
  </si>
  <si>
    <t>69.56800079</t>
  </si>
  <si>
    <t>97.54330899</t>
  </si>
  <si>
    <t>1.63135067</t>
  </si>
  <si>
    <t>0.8253403378</t>
  </si>
  <si>
    <t>93.93623193</t>
  </si>
  <si>
    <t>3.351687357</t>
  </si>
  <si>
    <t>2.71208071</t>
  </si>
  <si>
    <t>99.12119763</t>
  </si>
  <si>
    <t>0.8788023684</t>
  </si>
  <si>
    <t>Burundi</t>
  </si>
  <si>
    <t>13.70800018</t>
  </si>
  <si>
    <t>62.20712225</t>
  </si>
  <si>
    <t>19.43969314</t>
  </si>
  <si>
    <t>14.75825969</t>
  </si>
  <si>
    <t>3.594924913</t>
  </si>
  <si>
    <t>57.68576527</t>
  </si>
  <si>
    <t>21.25148213</t>
  </si>
  <si>
    <t>16.89675238</t>
  </si>
  <si>
    <t>4.166000219</t>
  </si>
  <si>
    <t>90.66911086</t>
  </si>
  <si>
    <t>8.034462869</t>
  </si>
  <si>
    <t>1.296426269</t>
  </si>
  <si>
    <t>Benin</t>
  </si>
  <si>
    <t>48.4149971</t>
  </si>
  <si>
    <t>65.41412299</t>
  </si>
  <si>
    <t>9.317535586</t>
  </si>
  <si>
    <t>21.97254088</t>
  </si>
  <si>
    <t>3.295800547</t>
  </si>
  <si>
    <t>58.05226799</t>
  </si>
  <si>
    <t>12.70520504</t>
  </si>
  <si>
    <t>23.97796833</t>
  </si>
  <si>
    <t>5.264558634;73.25800004</t>
  </si>
  <si>
    <t>5.708056353</t>
  </si>
  <si>
    <t>19.83580681</t>
  </si>
  <si>
    <t>1.198136794</t>
  </si>
  <si>
    <t>Rwanda</t>
  </si>
  <si>
    <t>17.43200111</t>
  </si>
  <si>
    <t>60.41450115</t>
  </si>
  <si>
    <t>22.3207193</t>
  </si>
  <si>
    <t>13.15480415</t>
  </si>
  <si>
    <t>4.109975401</t>
  </si>
  <si>
    <t>55.64246823</t>
  </si>
  <si>
    <t>25.08014133</t>
  </si>
  <si>
    <t>14.77886772</t>
  </si>
  <si>
    <t>4.498522714</t>
  </si>
  <si>
    <t>83.0175993</t>
  </si>
  <si>
    <t>9.250506251</t>
  </si>
  <si>
    <t>5.462303057</t>
  </si>
  <si>
    <t>2.269591394</t>
  </si>
  <si>
    <t>Guinea</t>
  </si>
  <si>
    <t>36.875</t>
  </si>
  <si>
    <t>63.96178874</t>
  </si>
  <si>
    <t>21.2815915</t>
  </si>
  <si>
    <t>6.296119406</t>
  </si>
  <si>
    <t>8.460500354</t>
  </si>
  <si>
    <t>50.74817899</t>
  </si>
  <si>
    <t>26.14432944</t>
  </si>
  <si>
    <t>9.704719143</t>
  </si>
  <si>
    <t>13.40277243</t>
  </si>
  <si>
    <t>86.58169007</t>
  </si>
  <si>
    <t>12.95724153</t>
  </si>
  <si>
    <t>0.461068398</t>
  </si>
  <si>
    <t>Zimbabwe</t>
  </si>
  <si>
    <t>32.24200058</t>
  </si>
  <si>
    <t>62.66645761</t>
  </si>
  <si>
    <t>14.1975397</t>
  </si>
  <si>
    <t>16.27785545</t>
  </si>
  <si>
    <t>6.858147242</t>
  </si>
  <si>
    <t>48.28242885</t>
  </si>
  <si>
    <t>18.59098467</t>
  </si>
  <si>
    <t>23.01364655</t>
  </si>
  <si>
    <t>10.11293992</t>
  </si>
  <si>
    <t>92.89512895</t>
  </si>
  <si>
    <t>4.964517757</t>
  </si>
  <si>
    <t>2.122298674</t>
  </si>
  <si>
    <t>0.01805461538</t>
  </si>
  <si>
    <t>Somalia</t>
  </si>
  <si>
    <t>46.14099884</t>
  </si>
  <si>
    <t>56.47697339</t>
  </si>
  <si>
    <t>27.70419956</t>
  </si>
  <si>
    <t>13.41704303</t>
  </si>
  <si>
    <t>2.401784021</t>
  </si>
  <si>
    <t>37.07586282</t>
  </si>
  <si>
    <t>36.64324958</t>
  </si>
  <si>
    <t>21.82149546</t>
  </si>
  <si>
    <t>4.459392143</t>
  </si>
  <si>
    <t>79.12330574</t>
  </si>
  <si>
    <t>17.26991556</t>
  </si>
  <si>
    <t>3.606778703</t>
  </si>
  <si>
    <t>Chad</t>
  </si>
  <si>
    <t>23.52000046</t>
  </si>
  <si>
    <t>46.18753479</t>
  </si>
  <si>
    <t>14.74028929</t>
  </si>
  <si>
    <t>31.56245714</t>
  </si>
  <si>
    <t>7.509718784</t>
  </si>
  <si>
    <t>37.57521525</t>
  </si>
  <si>
    <t>14.35396111</t>
  </si>
  <si>
    <t>38.52496761</t>
  </si>
  <si>
    <t>9.545856027</t>
  </si>
  <si>
    <t>74.19222309</t>
  </si>
  <si>
    <t>15.99651381</t>
  </si>
  <si>
    <t>8.922452721</t>
  </si>
  <si>
    <t>0.8888103843</t>
  </si>
  <si>
    <t>Cambodia</t>
  </si>
  <si>
    <t>24.23200035</t>
  </si>
  <si>
    <t>71.21988497</t>
  </si>
  <si>
    <t>13.90222204</t>
  </si>
  <si>
    <t>5.677218558</t>
  </si>
  <si>
    <t>9.200674434</t>
  </si>
  <si>
    <t>65.06715583</t>
  </si>
  <si>
    <t>15.51772278</t>
  </si>
  <si>
    <t>7.492899307</t>
  </si>
  <si>
    <t>11.92222209</t>
  </si>
  <si>
    <t>90.45807717</t>
  </si>
  <si>
    <t>8.85091472</t>
  </si>
  <si>
    <t>0.6910081144</t>
  </si>
  <si>
    <t>Senegal</t>
  </si>
  <si>
    <t>48.12200165</t>
  </si>
  <si>
    <t>84.90523779</t>
  </si>
  <si>
    <t>2.387217509</t>
  </si>
  <si>
    <t>12.60781566</t>
  </si>
  <si>
    <t>0.09972904042</t>
  </si>
  <si>
    <t>75.2429282</t>
  </si>
  <si>
    <t>4.052382433</t>
  </si>
  <si>
    <t>20.51245174</t>
  </si>
  <si>
    <t>0.1922376314</t>
  </si>
  <si>
    <t>95.32170094</t>
  </si>
  <si>
    <t>0.5920836567</t>
  </si>
  <si>
    <t>4.086215402</t>
  </si>
  <si>
    <t>Netherlands</t>
  </si>
  <si>
    <t>92.23600006</t>
  </si>
  <si>
    <t>99.99999929</t>
  </si>
  <si>
    <t>0.000000712408621</t>
  </si>
  <si>
    <t>Syrian Arab Republic</t>
  </si>
  <si>
    <t>55.47500229</t>
  </si>
  <si>
    <t>93.92585718</t>
  </si>
  <si>
    <t>5.873730768</t>
  </si>
  <si>
    <t>0.2004120542</t>
  </si>
  <si>
    <t>92.082745</t>
  </si>
  <si>
    <t>7.917255</t>
  </si>
  <si>
    <t>95.40516436</t>
  </si>
  <si>
    <t>4.233570117</t>
  </si>
  <si>
    <t>0.361265525</t>
  </si>
  <si>
    <t>Ecuador</t>
  </si>
  <si>
    <t>64.16600037</t>
  </si>
  <si>
    <t>95.35976356</t>
  </si>
  <si>
    <t>0.003451463449</t>
  </si>
  <si>
    <t>2.604485389</t>
  </si>
  <si>
    <t>2.032299589</t>
  </si>
  <si>
    <t>87.05074495</t>
  </si>
  <si>
    <t>0.009631811022</t>
  </si>
  <si>
    <t>7.26819549</t>
  </si>
  <si>
    <t>5.671427747</t>
  </si>
  <si>
    <t>Guatemala</t>
  </si>
  <si>
    <t>51.83599854</t>
  </si>
  <si>
    <t>94.00642827</t>
  </si>
  <si>
    <t>1.034150511</t>
  </si>
  <si>
    <t>3.215911815</t>
  </si>
  <si>
    <t>1.743509404</t>
  </si>
  <si>
    <t>90.1193298</t>
  </si>
  <si>
    <t>1.849169999</t>
  </si>
  <si>
    <t>4.583438691</t>
  </si>
  <si>
    <t>3.448061508</t>
  </si>
  <si>
    <t>97.61816944</t>
  </si>
  <si>
    <t>0.2768660057</t>
  </si>
  <si>
    <t>1.94525887</t>
  </si>
  <si>
    <t>0.1597056849</t>
  </si>
  <si>
    <t>Zambia</t>
  </si>
  <si>
    <t>44.6289978</t>
  </si>
  <si>
    <t>65.41238357</t>
  </si>
  <si>
    <t>6.15393902</t>
  </si>
  <si>
    <t>21.57684071</t>
  </si>
  <si>
    <t>6.856836706</t>
  </si>
  <si>
    <t>48.22728833</t>
  </si>
  <si>
    <t>8.331703613</t>
  </si>
  <si>
    <t>31.60865444</t>
  </si>
  <si>
    <t>11.83235362</t>
  </si>
  <si>
    <t>86.73385466</t>
  </si>
  <si>
    <t>3.451996194</t>
  </si>
  <si>
    <t>9.130414105</t>
  </si>
  <si>
    <t>0.6837350463</t>
  </si>
  <si>
    <t>Kazakhstan</t>
  </si>
  <si>
    <t>57.67100143</t>
  </si>
  <si>
    <t>95.43497032</t>
  </si>
  <si>
    <t>1.941425039</t>
  </si>
  <si>
    <t>2.545956934</t>
  </si>
  <si>
    <t>0.07764770471</t>
  </si>
  <si>
    <t>91.93925234</t>
  </si>
  <si>
    <t>1.862616064</t>
  </si>
  <si>
    <t>6.014693049</t>
  </si>
  <si>
    <t>0.1834385438</t>
  </si>
  <si>
    <t>98.00073133</t>
  </si>
  <si>
    <t>1.999268673</t>
  </si>
  <si>
    <t>Chile</t>
  </si>
  <si>
    <t>87.72699738</t>
  </si>
  <si>
    <t>99.99999872</t>
  </si>
  <si>
    <t>0.000001277139333</t>
  </si>
  <si>
    <t>Malawi</t>
  </si>
  <si>
    <t>17.42700005</t>
  </si>
  <si>
    <t>70.04772851</t>
  </si>
  <si>
    <t>21.95081497</t>
  </si>
  <si>
    <t>5.776304407</t>
  </si>
  <si>
    <t>2.22515211</t>
  </si>
  <si>
    <t>66.58504376</t>
  </si>
  <si>
    <t>24.41415803</t>
  </si>
  <si>
    <t>6.383874146</t>
  </si>
  <si>
    <t>2.616924066</t>
  </si>
  <si>
    <t>86.45469821</t>
  </si>
  <si>
    <t>10.27894825</t>
  </si>
  <si>
    <t>2.897503996</t>
  </si>
  <si>
    <t>0.3688495446</t>
  </si>
  <si>
    <t>Romania</t>
  </si>
  <si>
    <t>54.19400024</t>
  </si>
  <si>
    <t>Mali</t>
  </si>
  <si>
    <t>43.90900421</t>
  </si>
  <si>
    <t>82.54729103</t>
  </si>
  <si>
    <t>3.854734527</t>
  </si>
  <si>
    <t>12.24697135</t>
  </si>
  <si>
    <t>1.35100309</t>
  </si>
  <si>
    <t>72.08089521</t>
  </si>
  <si>
    <t>3.78241223</t>
  </si>
  <si>
    <t>21.72810084</t>
  </si>
  <si>
    <t>2.408591717</t>
  </si>
  <si>
    <t>95.91745475</t>
  </si>
  <si>
    <t>3.947121723</t>
  </si>
  <si>
    <t>0.1354235314</t>
  </si>
  <si>
    <t>Burkina Faso</t>
  </si>
  <si>
    <t>30.60700035</t>
  </si>
  <si>
    <t>47.21485446</t>
  </si>
  <si>
    <t>31.2730034</t>
  </si>
  <si>
    <t>21.15863263</t>
  </si>
  <si>
    <t>0.3535095024</t>
  </si>
  <si>
    <t>32.7182589</t>
  </si>
  <si>
    <t>38.62690254</t>
  </si>
  <si>
    <t>28.3404457</t>
  </si>
  <si>
    <t>0.3143928626</t>
  </si>
  <si>
    <t>80.08191854</t>
  </si>
  <si>
    <t>14.60004919</t>
  </si>
  <si>
    <t>4.875836487</t>
  </si>
  <si>
    <t>0.4421957805</t>
  </si>
  <si>
    <t>Sri Lanka</t>
  </si>
  <si>
    <t>18.71299934</t>
  </si>
  <si>
    <t>92.22757937</t>
  </si>
  <si>
    <t>0.5954581495</t>
  </si>
  <si>
    <t>5.348927064</t>
  </si>
  <si>
    <t>1.82803542</t>
  </si>
  <si>
    <t>90.5374357</t>
  </si>
  <si>
    <t>0.7032099038</t>
  </si>
  <si>
    <t>6.510488612</t>
  </si>
  <si>
    <t>2.248865782</t>
  </si>
  <si>
    <t>99.56938019</t>
  </si>
  <si>
    <t>0.1273977901</t>
  </si>
  <si>
    <t>0.3032220202</t>
  </si>
  <si>
    <t>Niger</t>
  </si>
  <si>
    <t>16.62599945</t>
  </si>
  <si>
    <t>46.91179747</t>
  </si>
  <si>
    <t>21.6538987</t>
  </si>
  <si>
    <t>27.02751244</t>
  </si>
  <si>
    <t>4.406791392</t>
  </si>
  <si>
    <t>39.15415932</t>
  </si>
  <si>
    <t>23.98774039</t>
  </si>
  <si>
    <t>31.99150648</t>
  </si>
  <si>
    <t>4.866593813</t>
  </si>
  <si>
    <t>85.81383976</t>
  </si>
  <si>
    <t>9.950440829</t>
  </si>
  <si>
    <t>2.13468778</t>
  </si>
  <si>
    <t>2.101031634</t>
  </si>
  <si>
    <t>Australia</t>
  </si>
  <si>
    <t>86.24099731</t>
  </si>
  <si>
    <t>99.96981182</t>
  </si>
  <si>
    <t>0.03018817873</t>
  </si>
  <si>
    <t>99.965</t>
  </si>
  <si>
    <t>0.035</t>
  </si>
  <si>
    <t>Democratic People's Republic of Korea</t>
  </si>
  <si>
    <t>62.38100052</t>
  </si>
  <si>
    <t>93.84384303</t>
  </si>
  <si>
    <t>0.6831311872</t>
  </si>
  <si>
    <t>5.20969278</t>
  </si>
  <si>
    <t>0.2633330058</t>
  </si>
  <si>
    <t>88.75362488</t>
  </si>
  <si>
    <t>0.3564402606</t>
  </si>
  <si>
    <t>10.18993486</t>
  </si>
  <si>
    <t>0.7</t>
  </si>
  <si>
    <t>96.91351044</t>
  </si>
  <si>
    <t>0.8801428799</t>
  </si>
  <si>
    <t>2.206346677</t>
  </si>
  <si>
    <t>Côte d'Ivoire</t>
  </si>
  <si>
    <t>51.70599747</t>
  </si>
  <si>
    <t>70.90907039</t>
  </si>
  <si>
    <t>8.935421702</t>
  </si>
  <si>
    <t>14.19244161</t>
  </si>
  <si>
    <t>5.963066293</t>
  </si>
  <si>
    <t>55.72244686</t>
  </si>
  <si>
    <t>13.34316829</t>
  </si>
  <si>
    <t>23.17527956</t>
  </si>
  <si>
    <t>7.759105289</t>
  </si>
  <si>
    <t>85.09355329</t>
  </si>
  <si>
    <t>4.818535156</t>
  </si>
  <si>
    <t>5.80236656</t>
  </si>
  <si>
    <t>4.285544994</t>
  </si>
  <si>
    <t>Cameroon</t>
  </si>
  <si>
    <t>57.56000519</t>
  </si>
  <si>
    <t>65.72041818</t>
  </si>
  <si>
    <t>12.87474863</t>
  </si>
  <si>
    <t>15.00100626</t>
  </si>
  <si>
    <t>6.403826927</t>
  </si>
  <si>
    <t>43.52758112</t>
  </si>
  <si>
    <t>12.67259943</t>
  </si>
  <si>
    <t>30.12380645</t>
  </si>
  <si>
    <t>13.676013</t>
  </si>
  <si>
    <t>82.08358486</t>
  </si>
  <si>
    <t>13.02379677</t>
  </si>
  <si>
    <t>3.850701351</t>
  </si>
  <si>
    <t>1.041917019</t>
  </si>
  <si>
    <t>Madagascar</t>
  </si>
  <si>
    <t>38.5340004</t>
  </si>
  <si>
    <t>53.38588491</t>
  </si>
  <si>
    <t>2.71797298</t>
  </si>
  <si>
    <t>32.31145967</t>
  </si>
  <si>
    <t>11.58468244</t>
  </si>
  <si>
    <t>36.40642028</t>
  </si>
  <si>
    <t>1.601776163</t>
  </si>
  <si>
    <t>43.95389345</t>
  </si>
  <si>
    <t>18.03791011</t>
  </si>
  <si>
    <t>80.47000694</t>
  </si>
  <si>
    <t>4.498430298</t>
  </si>
  <si>
    <t>13.74049434</t>
  </si>
  <si>
    <t>1.291068417</t>
  </si>
  <si>
    <t>Venezuela (Bolivarian Republic of)</t>
  </si>
  <si>
    <t>88.27899933</t>
  </si>
  <si>
    <t>93.68580071</t>
  </si>
  <si>
    <t>0.4707829181</t>
  </si>
  <si>
    <t>5.843416373</t>
  </si>
  <si>
    <t>Nepal</t>
  </si>
  <si>
    <t>20.57600021</t>
  </si>
  <si>
    <t>90.07454179</t>
  </si>
  <si>
    <t>3.979825725</t>
  </si>
  <si>
    <t>4.699081176</t>
  </si>
  <si>
    <t>1.246551314</t>
  </si>
  <si>
    <t>90.20327165</t>
  </si>
  <si>
    <t>4.207348246</t>
  </si>
  <si>
    <t>4.269023951</t>
  </si>
  <si>
    <t>1.320356149</t>
  </si>
  <si>
    <t>89.57763316</t>
  </si>
  <si>
    <t>3.101581411</t>
  </si>
  <si>
    <t>6.359123168</t>
  </si>
  <si>
    <t>0.9616622585</t>
  </si>
  <si>
    <t>Yemen</t>
  </si>
  <si>
    <t>37.90799713</t>
  </si>
  <si>
    <t>60.66356984</t>
  </si>
  <si>
    <t>28.9627418</t>
  </si>
  <si>
    <t>7.77785276</t>
  </si>
  <si>
    <t>2.595835594</t>
  </si>
  <si>
    <t>50.68133437</t>
  </si>
  <si>
    <t>33.53021373</t>
  </si>
  <si>
    <t>11.60782393</t>
  </si>
  <si>
    <t>4.180627978</t>
  </si>
  <si>
    <t>77.01412934</t>
  </si>
  <si>
    <t>21.48137937</t>
  </si>
  <si>
    <t>1.504491286</t>
  </si>
  <si>
    <t>Ghana</t>
  </si>
  <si>
    <t>57.34899902</t>
  </si>
  <si>
    <t>85.79099665</t>
  </si>
  <si>
    <t>6.586062113</t>
  </si>
  <si>
    <t>2.812216176</t>
  </si>
  <si>
    <t>4.810725058</t>
  </si>
  <si>
    <t>71.89275005</t>
  </si>
  <si>
    <t>11.93454827</t>
  </si>
  <si>
    <t>4.999356483</t>
  </si>
  <si>
    <t>11.17334519</t>
  </si>
  <si>
    <t>96.12725952</t>
  </si>
  <si>
    <t>2.608342455</t>
  </si>
  <si>
    <t>1.185613803</t>
  </si>
  <si>
    <t>0.07878421819</t>
  </si>
  <si>
    <t>Mozambique</t>
  </si>
  <si>
    <t>37.0739975</t>
  </si>
  <si>
    <t>63.36942563</t>
  </si>
  <si>
    <t>9.975784507</t>
  </si>
  <si>
    <t>16.72614511</t>
  </si>
  <si>
    <t>9.928644759</t>
  </si>
  <si>
    <t>48.8666865</t>
  </si>
  <si>
    <t>12.64088359</t>
  </si>
  <si>
    <t>23.6862564</t>
  </si>
  <si>
    <t>14.80617352</t>
  </si>
  <si>
    <t>87.98504792</t>
  </si>
  <si>
    <t>5.452291027</t>
  </si>
  <si>
    <t>4.912684644</t>
  </si>
  <si>
    <t>1.649976404</t>
  </si>
  <si>
    <t>Malaysia</t>
  </si>
  <si>
    <t>77.15999603</t>
  </si>
  <si>
    <t>97.09990707</t>
  </si>
  <si>
    <t>0.3545396865</t>
  </si>
  <si>
    <t>2.545553241</t>
  </si>
  <si>
    <t>90.19744812</t>
  </si>
  <si>
    <t>0.5444513971</t>
  </si>
  <si>
    <t>9.258100478</t>
  </si>
  <si>
    <t>99.14309591</t>
  </si>
  <si>
    <t>0.2983242605</t>
  </si>
  <si>
    <t>0.4685798319</t>
  </si>
  <si>
    <t>0.09</t>
  </si>
  <si>
    <t>Angola</t>
  </si>
  <si>
    <t>66.82499695</t>
  </si>
  <si>
    <t>57.16773762</t>
  </si>
  <si>
    <t>9.287349919</t>
  </si>
  <si>
    <t>19.45082534</t>
  </si>
  <si>
    <t>14.09408712</t>
  </si>
  <si>
    <t>27.80822661</t>
  </si>
  <si>
    <t>8.740488389</t>
  </si>
  <si>
    <t>22.93315258</t>
  </si>
  <si>
    <t>40.51813242</t>
  </si>
  <si>
    <t>71.74314862</t>
  </si>
  <si>
    <t>9.558837489</t>
  </si>
  <si>
    <t>17.72203473</t>
  </si>
  <si>
    <t>0.9759791629</t>
  </si>
  <si>
    <t>Peru</t>
  </si>
  <si>
    <t>78.2970047</t>
  </si>
  <si>
    <t>93.13936621</t>
  </si>
  <si>
    <t>0.8495593511</t>
  </si>
  <si>
    <t>4.150468349</t>
  </si>
  <si>
    <t>1.860606087</t>
  </si>
  <si>
    <t>80.79943849</t>
  </si>
  <si>
    <t>1.596943771</t>
  </si>
  <si>
    <t>9.612691163</t>
  </si>
  <si>
    <t>7.990926578</t>
  </si>
  <si>
    <t>96.55984408</t>
  </si>
  <si>
    <t>0.6423932356</t>
  </si>
  <si>
    <t>2.636408693</t>
  </si>
  <si>
    <t>0.1613539953</t>
  </si>
  <si>
    <t>Uzbekistan</t>
  </si>
  <si>
    <t>50.41599655</t>
  </si>
  <si>
    <t>97.82878485</t>
  </si>
  <si>
    <t>0.22384422</t>
  </si>
  <si>
    <t>1.947370925</t>
  </si>
  <si>
    <t>96.07258236</t>
  </si>
  <si>
    <t>3.927417637</t>
  </si>
  <si>
    <t>99.55600556</t>
  </si>
  <si>
    <t>0.4439944434</t>
  </si>
  <si>
    <t>Saudi Arabia</t>
  </si>
  <si>
    <t>84.28700256</t>
  </si>
  <si>
    <t>Morocco</t>
  </si>
  <si>
    <t>63.53199768</t>
  </si>
  <si>
    <t>90.40234468</t>
  </si>
  <si>
    <t>5.263549601</t>
  </si>
  <si>
    <t>2.8776725</t>
  </si>
  <si>
    <t>1.456433219</t>
  </si>
  <si>
    <t>77.34612896</t>
  </si>
  <si>
    <t>12.03707816</t>
  </si>
  <si>
    <t>6.623063373</t>
  </si>
  <si>
    <t>3.993729502</t>
  </si>
  <si>
    <t>97.89674601</t>
  </si>
  <si>
    <t>1.375477117</t>
  </si>
  <si>
    <t>0.7277768759</t>
  </si>
  <si>
    <t>Canada</t>
  </si>
  <si>
    <t>81.56200409</t>
  </si>
  <si>
    <t>99.22181066</t>
  </si>
  <si>
    <t>0.7781893369</t>
  </si>
  <si>
    <t>99.0604959</t>
  </si>
  <si>
    <t>0.9395041006</t>
  </si>
  <si>
    <t>99.25827766</t>
  </si>
  <si>
    <t>0.7417223371</t>
  </si>
  <si>
    <t>Poland</t>
  </si>
  <si>
    <t>60.04300308</t>
  </si>
  <si>
    <t>99.96659155</t>
  </si>
  <si>
    <t>0.03340844529</t>
  </si>
  <si>
    <t>99.94435484</t>
  </si>
  <si>
    <t>0.05564516129</t>
  </si>
  <si>
    <t>Afghanistan</t>
  </si>
  <si>
    <t>26.02599907</t>
  </si>
  <si>
    <t>75.09141325</t>
  </si>
  <si>
    <t>1.447541688</t>
  </si>
  <si>
    <t>14.56026288</t>
  </si>
  <si>
    <t>8.900782174</t>
  </si>
  <si>
    <t>66.32791521</t>
  </si>
  <si>
    <t>1.956824851</t>
  </si>
  <si>
    <t>19.68294895</t>
  </si>
  <si>
    <t>12.03231098</t>
  </si>
  <si>
    <t>Iraq</t>
  </si>
  <si>
    <t>70.89299774</t>
  </si>
  <si>
    <t>98.35990325</t>
  </si>
  <si>
    <t>0.8921603495</t>
  </si>
  <si>
    <t>0.000002427900808</t>
  </si>
  <si>
    <t>0.7479339713</t>
  </si>
  <si>
    <t>94.83114678</t>
  </si>
  <si>
    <t>2.599251339</t>
  </si>
  <si>
    <t>2.569601877</t>
  </si>
  <si>
    <t>99.80873103</t>
  </si>
  <si>
    <t>0.19126897</t>
  </si>
  <si>
    <t>Ukraine</t>
  </si>
  <si>
    <t>69.60800171</t>
  </si>
  <si>
    <t>93.92828195</t>
  </si>
  <si>
    <t>5.671978717</t>
  </si>
  <si>
    <t>0.07590450129</t>
  </si>
  <si>
    <t>0.323834836</t>
  </si>
  <si>
    <t>91.27727011</t>
  </si>
  <si>
    <t>8.14845779</t>
  </si>
  <si>
    <t>0.1090456533</t>
  </si>
  <si>
    <t>0.4652264446</t>
  </si>
  <si>
    <t>Sudan</t>
  </si>
  <si>
    <t>35.25299835</t>
  </si>
  <si>
    <t>60.4486756</t>
  </si>
  <si>
    <t>26.67001975</t>
  </si>
  <si>
    <t>3.650217875</t>
  </si>
  <si>
    <t>9.231086774</t>
  </si>
  <si>
    <t>53.19902707</t>
  </si>
  <si>
    <t>27.45764451</t>
  </si>
  <si>
    <t>5.637660008</t>
  </si>
  <si>
    <t>13.70566842</t>
  </si>
  <si>
    <t>73.76365956</t>
  </si>
  <si>
    <t>25.22343986</t>
  </si>
  <si>
    <t>1.012900581</t>
  </si>
  <si>
    <t>Algeria</t>
  </si>
  <si>
    <t>73.73300171</t>
  </si>
  <si>
    <t>94.43732996</t>
  </si>
  <si>
    <t>4.985880842</t>
  </si>
  <si>
    <t>0.5318366638</t>
  </si>
  <si>
    <t>0.04495253272</t>
  </si>
  <si>
    <t>90.03753791</t>
  </si>
  <si>
    <t>8.79672214</t>
  </si>
  <si>
    <t>0.9946030281</t>
  </si>
  <si>
    <t>0.1711369258</t>
  </si>
  <si>
    <t>96.00473586</t>
  </si>
  <si>
    <t>3.628288591</t>
  </si>
  <si>
    <t>0.3669755478</t>
  </si>
  <si>
    <t>Argentina</t>
  </si>
  <si>
    <t>92.11100006</t>
  </si>
  <si>
    <t>99.79042065</t>
  </si>
  <si>
    <t>0.2095793501</t>
  </si>
  <si>
    <t>Uganda</t>
  </si>
  <si>
    <t>24.95400047</t>
  </si>
  <si>
    <t>55.85504921</t>
  </si>
  <si>
    <t>27.28286</t>
  </si>
  <si>
    <t>12.16590654</t>
  </si>
  <si>
    <t>4.696184252</t>
  </si>
  <si>
    <t>48.23118958</t>
  </si>
  <si>
    <t>31.78469426</t>
  </si>
  <si>
    <t>14.07616061</t>
  </si>
  <si>
    <t>5.907955546</t>
  </si>
  <si>
    <t>78.7828518</t>
  </si>
  <si>
    <t>13.74416783</t>
  </si>
  <si>
    <t>6.421044133</t>
  </si>
  <si>
    <t>1.051936238</t>
  </si>
  <si>
    <t>Spain</t>
  </si>
  <si>
    <t>80.80999756</t>
  </si>
  <si>
    <t>99.92561261</t>
  </si>
  <si>
    <t>0.07438739142</t>
  </si>
  <si>
    <t>99.90794521</t>
  </si>
  <si>
    <t>0.09205479452</t>
  </si>
  <si>
    <t>Colombia</t>
  </si>
  <si>
    <t>81.42499542</t>
  </si>
  <si>
    <t>97.49165711</t>
  </si>
  <si>
    <t>0.1861521591</t>
  </si>
  <si>
    <t>0.9536162228</t>
  </si>
  <si>
    <t>1.368574512</t>
  </si>
  <si>
    <t>86.76707282</t>
  </si>
  <si>
    <t>0.7312282016</t>
  </si>
  <si>
    <t>5.13386897</t>
  </si>
  <si>
    <t>7.367830005</t>
  </si>
  <si>
    <t>99.9381928</t>
  </si>
  <si>
    <t>0.0618072</t>
  </si>
  <si>
    <t>Republic of Korea</t>
  </si>
  <si>
    <t>81.41400146</t>
  </si>
  <si>
    <t>99.93139665</t>
  </si>
  <si>
    <t>0.06860335296</t>
  </si>
  <si>
    <t>Kenya</t>
  </si>
  <si>
    <t>27.99499893</t>
  </si>
  <si>
    <t>61.63289158</t>
  </si>
  <si>
    <t>9.54187005</t>
  </si>
  <si>
    <t>9.780087524</t>
  </si>
  <si>
    <t>19.04515084</t>
  </si>
  <si>
    <t>51.77997893</t>
  </si>
  <si>
    <t>11.56900419</t>
  </si>
  <si>
    <t>12.51911322</t>
  </si>
  <si>
    <t>24.13190366</t>
  </si>
  <si>
    <t>86.97523145</t>
  </si>
  <si>
    <t>4.327944725</t>
  </si>
  <si>
    <t>2.73514263</t>
  </si>
  <si>
    <t>5.961681193</t>
  </si>
  <si>
    <t>Myanmar</t>
  </si>
  <si>
    <t>31.14100075</t>
  </si>
  <si>
    <t>83.71819191</t>
  </si>
  <si>
    <t>1.595436949</t>
  </si>
  <si>
    <t>5.10942478</t>
  </si>
  <si>
    <t>9.576946362</t>
  </si>
  <si>
    <t>78.42256469</t>
  </si>
  <si>
    <t>2.316962142</t>
  </si>
  <si>
    <t>6.592393694</t>
  </si>
  <si>
    <t>12.66807947</t>
  </si>
  <si>
    <t>95.42788606</t>
  </si>
  <si>
    <t>1.830283006</t>
  </si>
  <si>
    <t>2.741830931</t>
  </si>
  <si>
    <t>South Africa</t>
  </si>
  <si>
    <t>67.35400391</t>
  </si>
  <si>
    <t>93.88505744</t>
  </si>
  <si>
    <t>2.772736186</t>
  </si>
  <si>
    <t>1.410816657</t>
  </si>
  <si>
    <t>1.931389712</t>
  </si>
  <si>
    <t>83.32948118</t>
  </si>
  <si>
    <t>6.977359359</t>
  </si>
  <si>
    <t>3.776999287</t>
  </si>
  <si>
    <t>5.916160173</t>
  </si>
  <si>
    <t>99.00126484</t>
  </si>
  <si>
    <t>0.734785403</t>
  </si>
  <si>
    <t>0.2639497547</t>
  </si>
  <si>
    <t>United Republic of Tanzania</t>
  </si>
  <si>
    <t>35.22700119</t>
  </si>
  <si>
    <t>60.71679759</t>
  </si>
  <si>
    <t>11.29007067</t>
  </si>
  <si>
    <t>14.51775136</t>
  </si>
  <si>
    <t>13.47538038</t>
  </si>
  <si>
    <t>45.44696534</t>
  </si>
  <si>
    <t>13.98368881</t>
  </si>
  <si>
    <t>21.21996133</t>
  </si>
  <si>
    <t>19.34938452</t>
  </si>
  <si>
    <t>88.7939249</t>
  </si>
  <si>
    <t>6.337231166</t>
  </si>
  <si>
    <t>2.194178786</t>
  </si>
  <si>
    <t>2.674665152</t>
  </si>
  <si>
    <t>Italy</t>
  </si>
  <si>
    <t>71.03899384</t>
  </si>
  <si>
    <t>99.91703407</t>
  </si>
  <si>
    <t>0.08296592591</t>
  </si>
  <si>
    <t>France</t>
  </si>
  <si>
    <t>80.97499847</t>
  </si>
  <si>
    <t>99.9999985</t>
  </si>
  <si>
    <t>0.00000149610841</t>
  </si>
  <si>
    <t>United Kingdom</t>
  </si>
  <si>
    <t>83.90299988</t>
  </si>
  <si>
    <t>99.99999856</t>
  </si>
  <si>
    <t>0.00000143853282</t>
  </si>
  <si>
    <t>Thailand</t>
  </si>
  <si>
    <t>51.43000031</t>
  </si>
  <si>
    <t>Germany</t>
  </si>
  <si>
    <t>77.45300293</t>
  </si>
  <si>
    <t>Iran (Islamic Republic of)</t>
  </si>
  <si>
    <t>75.87400055</t>
  </si>
  <si>
    <t>97.48263633</t>
  </si>
  <si>
    <t>1.938311229</t>
  </si>
  <si>
    <t>0.5137973631</t>
  </si>
  <si>
    <t>0.06525508185</t>
  </si>
  <si>
    <t>93.82873538</t>
  </si>
  <si>
    <t>4.297948765</t>
  </si>
  <si>
    <t>1.602839669</t>
  </si>
  <si>
    <t>0.2704761905</t>
  </si>
  <si>
    <t>98.64448672</t>
  </si>
  <si>
    <t>1.188006671</t>
  </si>
  <si>
    <t>0.1675066077</t>
  </si>
  <si>
    <t>Turkey</t>
  </si>
  <si>
    <t>76.10500336</t>
  </si>
  <si>
    <t>97.01426916</t>
  </si>
  <si>
    <t>2.023078075</t>
  </si>
  <si>
    <t>0.7376749545</t>
  </si>
  <si>
    <t>0.2249778093</t>
  </si>
  <si>
    <t>96.02516977</t>
  </si>
  <si>
    <t>2.684574639</t>
  </si>
  <si>
    <t>0.7882555911</t>
  </si>
  <si>
    <t>0.502</t>
  </si>
  <si>
    <t>97.32481783</t>
  </si>
  <si>
    <t>1.815385203</t>
  </si>
  <si>
    <t>0.7217969634</t>
  </si>
  <si>
    <t>0.138</t>
  </si>
  <si>
    <t>Democratic Republic of the Congo</t>
  </si>
  <si>
    <t>45.63800049</t>
  </si>
  <si>
    <t>45.95212696</t>
  </si>
  <si>
    <t>13.44122447</t>
  </si>
  <si>
    <t>32.54231607</t>
  </si>
  <si>
    <t>8.064332495</t>
  </si>
  <si>
    <t>21.98279234</t>
  </si>
  <si>
    <t>12.68294146</t>
  </si>
  <si>
    <t>51.21598167</t>
  </si>
  <si>
    <t>14.11828453</t>
  </si>
  <si>
    <t>74.50335478</t>
  </si>
  <si>
    <t>14.34445818</t>
  </si>
  <si>
    <t>10.29905862</t>
  </si>
  <si>
    <t>0.8531284131</t>
  </si>
  <si>
    <t>Viet Nam</t>
  </si>
  <si>
    <t>37.34000015</t>
  </si>
  <si>
    <t>96.88435687</t>
  </si>
  <si>
    <t>3.115643126</t>
  </si>
  <si>
    <t>95.51453844</t>
  </si>
  <si>
    <t>4.48546156</t>
  </si>
  <si>
    <t>99.18304001</t>
  </si>
  <si>
    <t>0.816959987</t>
  </si>
  <si>
    <t>Egypt</t>
  </si>
  <si>
    <t>42.78300095</t>
  </si>
  <si>
    <t>99.44017596</t>
  </si>
  <si>
    <t>0.2376091086</t>
  </si>
  <si>
    <t>0.3222149265</t>
  </si>
  <si>
    <t>99.33283515</t>
  </si>
  <si>
    <t>0.3359418224</t>
  </si>
  <si>
    <t>0.3312230319</t>
  </si>
  <si>
    <t>99.5837311</t>
  </si>
  <si>
    <t>0.1061012067</t>
  </si>
  <si>
    <t>0.3101676943</t>
  </si>
  <si>
    <t>Philippines</t>
  </si>
  <si>
    <t>47.40799713</t>
  </si>
  <si>
    <t>94.10903456</t>
  </si>
  <si>
    <t>2.856486137</t>
  </si>
  <si>
    <t>3.034479307</t>
  </si>
  <si>
    <t>91.06193322</t>
  </si>
  <si>
    <t>3.959520428</t>
  </si>
  <si>
    <t>4.978546347</t>
  </si>
  <si>
    <t>97.4893325</t>
  </si>
  <si>
    <t>1.632836465</t>
  </si>
  <si>
    <t>0.877831036</t>
  </si>
  <si>
    <t>Ethiopia</t>
  </si>
  <si>
    <t>21.69499969</t>
  </si>
  <si>
    <t>49.61557274</t>
  </si>
  <si>
    <t>26.74071964</t>
  </si>
  <si>
    <t>18.63506013</t>
  </si>
  <si>
    <t>5.008647486</t>
  </si>
  <si>
    <t>40.03013919</t>
  </si>
  <si>
    <t>30.18668334</t>
  </si>
  <si>
    <t>23.49561327</t>
  </si>
  <si>
    <t>6.287564203</t>
  </si>
  <si>
    <t>84.21282816</t>
  </si>
  <si>
    <t>14.30300858</t>
  </si>
  <si>
    <t>1.091582355</t>
  </si>
  <si>
    <t>0.392580896</t>
  </si>
  <si>
    <t>Japan</t>
  </si>
  <si>
    <t>91.78199768</t>
  </si>
  <si>
    <t>99.07891245</t>
  </si>
  <si>
    <t>0.9210875467</t>
  </si>
  <si>
    <t>Mexico</t>
  </si>
  <si>
    <t>80.73099518</t>
  </si>
  <si>
    <t>99.67956828</t>
  </si>
  <si>
    <t>0.3204317169</t>
  </si>
  <si>
    <t>98.33706893</t>
  </si>
  <si>
    <t>1.662931067</t>
  </si>
  <si>
    <t>Russian Federation</t>
  </si>
  <si>
    <t>74.75400543</t>
  </si>
  <si>
    <t>96.99254807</t>
  </si>
  <si>
    <t>0.6219963766</t>
  </si>
  <si>
    <t>2.38545555</t>
  </si>
  <si>
    <t>91.54410196</t>
  </si>
  <si>
    <t>1.583163513</t>
  </si>
  <si>
    <t>6.872734531</t>
  </si>
  <si>
    <t>98.83259961</t>
  </si>
  <si>
    <t>0.2973899687</t>
  </si>
  <si>
    <t>0.6700104236</t>
  </si>
  <si>
    <t>0.2</t>
  </si>
  <si>
    <t>Bangladesh</t>
  </si>
  <si>
    <t>38.17700195</t>
  </si>
  <si>
    <t>97.69796025</t>
  </si>
  <si>
    <t>1.156425878</t>
  </si>
  <si>
    <t>0.4626557002</t>
  </si>
  <si>
    <t>0.6829581735</t>
  </si>
  <si>
    <t>97.88023776</t>
  </si>
  <si>
    <t>0.8581049804</t>
  </si>
  <si>
    <t>0.3164802414</t>
  </si>
  <si>
    <t>0.9451770151</t>
  </si>
  <si>
    <t>97.40277797</t>
  </si>
  <si>
    <t>1.639520121</t>
  </si>
  <si>
    <t>0.6993752147</t>
  </si>
  <si>
    <t>0.2583266934</t>
  </si>
  <si>
    <t>Nigeria</t>
  </si>
  <si>
    <t>51.95800018</t>
  </si>
  <si>
    <t>77.60905338</t>
  </si>
  <si>
    <t>4.979399343</t>
  </si>
  <si>
    <t>11.79691148</t>
  </si>
  <si>
    <t>5.614635794</t>
  </si>
  <si>
    <t>61.65821003</t>
  </si>
  <si>
    <t>7.128924583</t>
  </si>
  <si>
    <t>20.92487535</t>
  </si>
  <si>
    <t>10.28799004</t>
  </si>
  <si>
    <t>92.35770519</t>
  </si>
  <si>
    <t>2.99188065</t>
  </si>
  <si>
    <t>3.356908786</t>
  </si>
  <si>
    <t>1.29350537</t>
  </si>
  <si>
    <t>Brazil</t>
  </si>
  <si>
    <t>87.07299805</t>
  </si>
  <si>
    <t>99.32085299</t>
  </si>
  <si>
    <t>0.1265490039</t>
  </si>
  <si>
    <t>0.5525980099</t>
  </si>
  <si>
    <t>95.94525953</t>
  </si>
  <si>
    <t>0.9789509154</t>
  </si>
  <si>
    <t>3.075789551</t>
  </si>
  <si>
    <t>99.82200131</t>
  </si>
  <si>
    <t>0.1779986949</t>
  </si>
  <si>
    <t>Pakistan</t>
  </si>
  <si>
    <t>37.16500092</t>
  </si>
  <si>
    <t>90.14896508</t>
  </si>
  <si>
    <t>3.822279525</t>
  </si>
  <si>
    <t>4.413307574</t>
  </si>
  <si>
    <t>1.61544782</t>
  </si>
  <si>
    <t>88.59986076</t>
  </si>
  <si>
    <t>3.852278117</t>
  </si>
  <si>
    <t>5.174596509</t>
  </si>
  <si>
    <t>2.373264617</t>
  </si>
  <si>
    <t>92.76804985</t>
  </si>
  <si>
    <t>3.771561162</t>
  </si>
  <si>
    <t>3.126184571</t>
  </si>
  <si>
    <t>0.3342044223</t>
  </si>
  <si>
    <t>Indonesia</t>
  </si>
  <si>
    <t>56.64099884</t>
  </si>
  <si>
    <t>92.41534961</t>
  </si>
  <si>
    <t>0.8554746335</t>
  </si>
  <si>
    <t>5.553871666</t>
  </si>
  <si>
    <t>1.175304087</t>
  </si>
  <si>
    <t>85.66796238</t>
  </si>
  <si>
    <t>1.17809123</t>
  </si>
  <si>
    <t>10.61491462</t>
  </si>
  <si>
    <t>2.539031772</t>
  </si>
  <si>
    <t>97.58051207</t>
  </si>
  <si>
    <t>0.6085098345</t>
  </si>
  <si>
    <t>1.679615139</t>
  </si>
  <si>
    <t>0.1313629588</t>
  </si>
  <si>
    <t>United States of America</t>
  </si>
  <si>
    <t>82.66400146</t>
  </si>
  <si>
    <t>99.88352668</t>
  </si>
  <si>
    <t>0.1164733182</t>
  </si>
  <si>
    <t>99.67078734</t>
  </si>
  <si>
    <t>0.3292126628</t>
  </si>
  <si>
    <t>99.92814447</t>
  </si>
  <si>
    <t>0.0718555296</t>
  </si>
  <si>
    <t>India</t>
  </si>
  <si>
    <t>34.9260025</t>
  </si>
  <si>
    <t>90.48952503</t>
  </si>
  <si>
    <t>4.983602562</t>
  </si>
  <si>
    <t>3.963153945</t>
  </si>
  <si>
    <t>0.5637184626</t>
  </si>
  <si>
    <t>88.78250313</t>
  </si>
  <si>
    <t>5.902210054</t>
  </si>
  <si>
    <t>4.57637573</t>
  </si>
  <si>
    <t>0.7389110856</t>
  </si>
  <si>
    <t>93.6700363</t>
  </si>
  <si>
    <t>3.272056027</t>
  </si>
  <si>
    <t>2.820607523</t>
  </si>
  <si>
    <t>0.2373001538</t>
  </si>
  <si>
    <t>China</t>
  </si>
  <si>
    <t>61.71308899</t>
  </si>
  <si>
    <t>94.26111059</t>
  </si>
  <si>
    <t>0.8147213297</t>
  </si>
  <si>
    <t>4.725451938</t>
  </si>
  <si>
    <t>0.1987161441</t>
  </si>
  <si>
    <t>89.66123351</t>
  </si>
  <si>
    <t>1.832679086</t>
  </si>
  <si>
    <t>8.506087409</t>
  </si>
  <si>
    <t>97.11488267</t>
  </si>
  <si>
    <t>0.1831784927</t>
  </si>
  <si>
    <t>2.37993884</t>
  </si>
  <si>
    <t>0.322</t>
  </si>
  <si>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</si>
  <si>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</si>
  <si>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</si>
  <si>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</si>
  <si>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</si>
  <si>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</si>
  <si>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</si>
  <si>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</si>
  <si>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</si>
  <si>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</si>
  <si>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</si>
  <si>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</si>
  <si>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</si>
  <si>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</si>
  <si>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</si>
  <si>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</si>
  <si>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</si>
  <si>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value_cnta</t>
  </si>
  <si>
    <t>determine the total national population size using the feature pop_n. Add the estimated world population (7.821 billion) to this sheet as wel</t>
  </si>
  <si>
    <t xml:space="preserve">total population in 1k format = </t>
  </si>
  <si>
    <t>pop_u_val</t>
  </si>
  <si>
    <t>pop_u_val_%</t>
  </si>
  <si>
    <t>pop_u_percent</t>
  </si>
  <si>
    <t>pop_n_k</t>
  </si>
  <si>
    <t>determine the total urban population from our dataset using the newly created pop_u_val feature.</t>
  </si>
  <si>
    <t>total population =</t>
  </si>
  <si>
    <t>percentage population in the urban area</t>
  </si>
  <si>
    <t>`=</t>
  </si>
  <si>
    <t>percentage difference to determine the difference between the number of people included in our dataset and the estimated number of people in the world in 2020</t>
  </si>
  <si>
    <t xml:space="preserve">urban population total = </t>
  </si>
  <si>
    <t xml:space="preserve">total population =  </t>
  </si>
  <si>
    <t xml:space="preserve">population difference = </t>
  </si>
  <si>
    <t>percentage difference =</t>
  </si>
  <si>
    <t>total population</t>
  </si>
  <si>
    <t>urban poulation</t>
  </si>
  <si>
    <t>rural population</t>
  </si>
  <si>
    <t>percentage difference</t>
  </si>
  <si>
    <t>urban percentage</t>
  </si>
  <si>
    <t>rural percentage</t>
  </si>
  <si>
    <t>pop u difference</t>
  </si>
  <si>
    <t>Sum of total population</t>
  </si>
  <si>
    <t>Sum of urban poulation</t>
  </si>
  <si>
    <t>Sum of rural population</t>
  </si>
  <si>
    <t>Sum of urban percentage</t>
  </si>
  <si>
    <t>Sum of rural percentage</t>
  </si>
  <si>
    <t>Sum of pop u difference</t>
  </si>
  <si>
    <t>Sum of percentage difference</t>
  </si>
  <si>
    <t>pop_r</t>
  </si>
  <si>
    <t>Names</t>
  </si>
  <si>
    <t>Anthony</t>
  </si>
  <si>
    <t>dollars</t>
  </si>
  <si>
    <t>euro</t>
  </si>
  <si>
    <t>extract-num</t>
  </si>
  <si>
    <t>Addis Ababa 123</t>
  </si>
  <si>
    <t>Nairobi 23</t>
  </si>
  <si>
    <t>Thika 345</t>
  </si>
  <si>
    <t>Kigali 09</t>
  </si>
  <si>
    <t>Kiambu 678</t>
  </si>
  <si>
    <t>Kakamega 4567</t>
  </si>
  <si>
    <t>Migori 367</t>
  </si>
  <si>
    <t>Kisumu 690</t>
  </si>
  <si>
    <t>Mary Land 087</t>
  </si>
  <si>
    <t>Ethiopia 190</t>
  </si>
  <si>
    <t>states&amp;code</t>
  </si>
  <si>
    <t>state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</si>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</sst>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E+00"/>
    <numFmt numFmtId="165" formatCode="[$€-C07]\ #,##0.00"/>
    <numFmt numFmtId="166" formatCode="[$$-409]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64" fontId="1" fillId="0" borderId="0" xfId="0" applyNumberFormat="1" applyFont="1"/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1" fillId="0" borderId="0" xfId="0" applyNumberFormat="1" applyFon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'Estimates-on-the-use-of-water-('!$C$1</c:f>
              <c:strCache>
                <c:ptCount val="1"/>
                <c:pt idx="0">
                  <c:v>pop_n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'Estimates-on-the-use-of-water-('!$C$2:$C$214</c15:sqref>
                  </c15:fullRef>
                </c:ext>
              </c:extLst>
              <c:f>'Estimates-on-the-use-of-water-('!$C$3:$C$214</c:f>
              <c:numCache>
                <c:formatCode>General</c:formatCode>
                <c:ptCount val="212"/>
                <c:pt idx="0">
                  <c:v>1.618000031</c:v>
                </c:pt>
                <c:pt idx="1">
                  <c:v>3.4830000399999999</c:v>
                </c:pt>
                <c:pt idx="2">
                  <c:v>4.9990000720000003</c:v>
                </c:pt>
                <c:pt idx="3">
                  <c:v>5.795000076</c:v>
                </c:pt>
                <c:pt idx="4">
                  <c:v>6.0710000989999999</c:v>
                </c:pt>
                <c:pt idx="5">
                  <c:v>9.8849999999999998</c:v>
                </c:pt>
                <c:pt idx="6">
                  <c:v>10.833999629999999</c:v>
                </c:pt>
                <c:pt idx="7">
                  <c:v>11.24600029</c:v>
                </c:pt>
                <c:pt idx="8">
                  <c:v>11.791999819999999</c:v>
                </c:pt>
                <c:pt idx="9">
                  <c:v>17.56399918</c:v>
                </c:pt>
                <c:pt idx="10">
                  <c:v>18.091999049999998</c:v>
                </c:pt>
                <c:pt idx="11">
                  <c:v>30.23699951</c:v>
                </c:pt>
                <c:pt idx="12">
                  <c:v>33.691001890000003</c:v>
                </c:pt>
                <c:pt idx="13">
                  <c:v>33.937999730000001</c:v>
                </c:pt>
                <c:pt idx="14">
                  <c:v>38.137001040000001</c:v>
                </c:pt>
                <c:pt idx="15">
                  <c:v>38.658999999999999</c:v>
                </c:pt>
                <c:pt idx="16">
                  <c:v>39.243999479999999</c:v>
                </c:pt>
                <c:pt idx="17">
                  <c:v>48.865001679999999</c:v>
                </c:pt>
                <c:pt idx="18">
                  <c:v>55.196998600000001</c:v>
                </c:pt>
                <c:pt idx="19">
                  <c:v>56.771999360000002</c:v>
                </c:pt>
                <c:pt idx="20">
                  <c:v>57.556999210000001</c:v>
                </c:pt>
                <c:pt idx="21">
                  <c:v>77.793991090000006</c:v>
                </c:pt>
                <c:pt idx="22">
                  <c:v>62.272998809999997</c:v>
                </c:pt>
                <c:pt idx="23">
                  <c:v>77.26499939</c:v>
                </c:pt>
                <c:pt idx="24">
                  <c:v>85.031997680000003</c:v>
                </c:pt>
                <c:pt idx="25">
                  <c:v>104.4229965</c:v>
                </c:pt>
                <c:pt idx="26">
                  <c:v>105.6969986</c:v>
                </c:pt>
                <c:pt idx="27">
                  <c:v>119.44599909999999</c:v>
                </c:pt>
                <c:pt idx="28">
                  <c:v>168.78300479999999</c:v>
                </c:pt>
                <c:pt idx="29">
                  <c:v>183.62899780000001</c:v>
                </c:pt>
                <c:pt idx="30">
                  <c:v>198.4100037</c:v>
                </c:pt>
                <c:pt idx="31">
                  <c:v>219.16099550000001</c:v>
                </c:pt>
                <c:pt idx="32">
                  <c:v>272.81298829999997</c:v>
                </c:pt>
                <c:pt idx="33">
                  <c:v>280.90399170000001</c:v>
                </c:pt>
                <c:pt idx="34">
                  <c:v>285.4909973</c:v>
                </c:pt>
                <c:pt idx="35">
                  <c:v>287.37100220000002</c:v>
                </c:pt>
                <c:pt idx="36">
                  <c:v>298.68200680000001</c:v>
                </c:pt>
                <c:pt idx="37">
                  <c:v>307.14999390000003</c:v>
                </c:pt>
                <c:pt idx="38">
                  <c:v>341.25</c:v>
                </c:pt>
                <c:pt idx="39">
                  <c:v>375.26501459999997</c:v>
                </c:pt>
                <c:pt idx="40">
                  <c:v>397.62100220000002</c:v>
                </c:pt>
                <c:pt idx="41">
                  <c:v>400.12701420000002</c:v>
                </c:pt>
                <c:pt idx="42">
                  <c:v>437.48300169999999</c:v>
                </c:pt>
                <c:pt idx="43">
                  <c:v>441.53900149999998</c:v>
                </c:pt>
                <c:pt idx="44">
                  <c:v>540.54199219999998</c:v>
                </c:pt>
                <c:pt idx="45">
                  <c:v>555.98797609999997</c:v>
                </c:pt>
                <c:pt idx="46">
                  <c:v>586.63397220000002</c:v>
                </c:pt>
                <c:pt idx="47">
                  <c:v>625.97601320000001</c:v>
                </c:pt>
                <c:pt idx="48">
                  <c:v>628.06201169999997</c:v>
                </c:pt>
                <c:pt idx="49">
                  <c:v>649.34198000000004</c:v>
                </c:pt>
                <c:pt idx="50">
                  <c:v>686.87799070000005</c:v>
                </c:pt>
                <c:pt idx="51">
                  <c:v>771.61199950000002</c:v>
                </c:pt>
                <c:pt idx="52">
                  <c:v>786.55902100000003</c:v>
                </c:pt>
                <c:pt idx="53">
                  <c:v>895.30798340000001</c:v>
                </c:pt>
                <c:pt idx="54">
                  <c:v>896.44396970000003</c:v>
                </c:pt>
                <c:pt idx="55">
                  <c:v>988.00201419999996</c:v>
                </c:pt>
                <c:pt idx="56">
                  <c:v>1160.1639399999999</c:v>
                </c:pt>
                <c:pt idx="57">
                  <c:v>1207.360962</c:v>
                </c:pt>
                <c:pt idx="58">
                  <c:v>1271.7669679999999</c:v>
                </c:pt>
                <c:pt idx="59">
                  <c:v>1318.4420170000001</c:v>
                </c:pt>
                <c:pt idx="60">
                  <c:v>1326.5389399999999</c:v>
                </c:pt>
                <c:pt idx="61">
                  <c:v>1399.490967</c:v>
                </c:pt>
                <c:pt idx="62">
                  <c:v>1701.5830080000001</c:v>
                </c:pt>
                <c:pt idx="63">
                  <c:v>1886.2020259999999</c:v>
                </c:pt>
                <c:pt idx="64">
                  <c:v>1967.998047</c:v>
                </c:pt>
                <c:pt idx="65">
                  <c:v>2078.931885</c:v>
                </c:pt>
                <c:pt idx="66">
                  <c:v>2083.3798830000001</c:v>
                </c:pt>
                <c:pt idx="67">
                  <c:v>2142.251953</c:v>
                </c:pt>
                <c:pt idx="68">
                  <c:v>2225.7280270000001</c:v>
                </c:pt>
                <c:pt idx="69">
                  <c:v>2351.625</c:v>
                </c:pt>
                <c:pt idx="70">
                  <c:v>2416.6640630000002</c:v>
                </c:pt>
                <c:pt idx="71">
                  <c:v>2540.9160160000001</c:v>
                </c:pt>
                <c:pt idx="72">
                  <c:v>2722.2910160000001</c:v>
                </c:pt>
                <c:pt idx="73">
                  <c:v>2860.8400879999999</c:v>
                </c:pt>
                <c:pt idx="74">
                  <c:v>2877.8000489999999</c:v>
                </c:pt>
                <c:pt idx="75">
                  <c:v>2881.0600589999999</c:v>
                </c:pt>
                <c:pt idx="76">
                  <c:v>2961.1608890000002</c:v>
                </c:pt>
                <c:pt idx="77">
                  <c:v>2963.2338869999999</c:v>
                </c:pt>
                <c:pt idx="78">
                  <c:v>3278.2919919999999</c:v>
                </c:pt>
                <c:pt idx="79">
                  <c:v>3280.8149410000001</c:v>
                </c:pt>
                <c:pt idx="80">
                  <c:v>3473.7270509999998</c:v>
                </c:pt>
                <c:pt idx="81">
                  <c:v>3989.1750489999999</c:v>
                </c:pt>
                <c:pt idx="82">
                  <c:v>4033.9628910000001</c:v>
                </c:pt>
                <c:pt idx="83">
                  <c:v>4105.2680659999996</c:v>
                </c:pt>
                <c:pt idx="84">
                  <c:v>4270.5629879999997</c:v>
                </c:pt>
                <c:pt idx="85">
                  <c:v>4314.7680659999996</c:v>
                </c:pt>
                <c:pt idx="86">
                  <c:v>4649.6601559999999</c:v>
                </c:pt>
                <c:pt idx="87">
                  <c:v>4822.2329099999997</c:v>
                </c:pt>
                <c:pt idx="88">
                  <c:v>4829.7641599999997</c:v>
                </c:pt>
                <c:pt idx="89">
                  <c:v>4937.7958980000003</c:v>
                </c:pt>
                <c:pt idx="90">
                  <c:v>5057.6767579999996</c:v>
                </c:pt>
                <c:pt idx="91">
                  <c:v>5094.1137699999999</c:v>
                </c:pt>
                <c:pt idx="92">
                  <c:v>5101.4160160000001</c:v>
                </c:pt>
                <c:pt idx="93">
                  <c:v>5106.6220700000003</c:v>
                </c:pt>
                <c:pt idx="94">
                  <c:v>5421.2421880000002</c:v>
                </c:pt>
                <c:pt idx="95">
                  <c:v>5459.6430659999996</c:v>
                </c:pt>
                <c:pt idx="96">
                  <c:v>5518.091797</c:v>
                </c:pt>
                <c:pt idx="97">
                  <c:v>5540.7177730000003</c:v>
                </c:pt>
                <c:pt idx="98">
                  <c:v>5792.203125</c:v>
                </c:pt>
                <c:pt idx="99">
                  <c:v>5850.3427730000003</c:v>
                </c:pt>
                <c:pt idx="100">
                  <c:v>6031.1870120000003</c:v>
                </c:pt>
                <c:pt idx="101">
                  <c:v>6486.201172</c:v>
                </c:pt>
                <c:pt idx="102">
                  <c:v>6524.1909180000002</c:v>
                </c:pt>
                <c:pt idx="103">
                  <c:v>6624.5541990000002</c:v>
                </c:pt>
                <c:pt idx="104">
                  <c:v>6825.4418949999999</c:v>
                </c:pt>
                <c:pt idx="105">
                  <c:v>6871.2871089999999</c:v>
                </c:pt>
                <c:pt idx="106">
                  <c:v>6948.4448240000002</c:v>
                </c:pt>
                <c:pt idx="107">
                  <c:v>7132.5297849999997</c:v>
                </c:pt>
                <c:pt idx="108">
                  <c:v>7275.5561520000001</c:v>
                </c:pt>
                <c:pt idx="109">
                  <c:v>7496.9877930000002</c:v>
                </c:pt>
                <c:pt idx="110">
                  <c:v>7976.9848629999997</c:v>
                </c:pt>
                <c:pt idx="111">
                  <c:v>8278.7373050000006</c:v>
                </c:pt>
                <c:pt idx="112">
                  <c:v>8654.6181639999995</c:v>
                </c:pt>
                <c:pt idx="113">
                  <c:v>8655.5410159999992</c:v>
                </c:pt>
                <c:pt idx="114">
                  <c:v>8737.3701170000004</c:v>
                </c:pt>
                <c:pt idx="115">
                  <c:v>8947.0273440000001</c:v>
                </c:pt>
                <c:pt idx="116">
                  <c:v>9006.4003909999992</c:v>
                </c:pt>
                <c:pt idx="117">
                  <c:v>9449.3212889999995</c:v>
                </c:pt>
                <c:pt idx="118">
                  <c:v>9537.6416019999997</c:v>
                </c:pt>
                <c:pt idx="119">
                  <c:v>9660.3496090000008</c:v>
                </c:pt>
                <c:pt idx="120">
                  <c:v>9890.4003909999992</c:v>
                </c:pt>
                <c:pt idx="121">
                  <c:v>9904.6083980000003</c:v>
                </c:pt>
                <c:pt idx="122">
                  <c:v>10099.26953</c:v>
                </c:pt>
                <c:pt idx="123">
                  <c:v>10139.174800000001</c:v>
                </c:pt>
                <c:pt idx="124">
                  <c:v>10196.70703</c:v>
                </c:pt>
                <c:pt idx="125">
                  <c:v>10203.139649999999</c:v>
                </c:pt>
                <c:pt idx="126">
                  <c:v>10423.05566</c:v>
                </c:pt>
                <c:pt idx="127">
                  <c:v>10708.98242</c:v>
                </c:pt>
                <c:pt idx="128">
                  <c:v>10847.9043</c:v>
                </c:pt>
                <c:pt idx="129">
                  <c:v>11193.728520000001</c:v>
                </c:pt>
                <c:pt idx="130">
                  <c:v>11326.61621</c:v>
                </c:pt>
                <c:pt idx="131">
                  <c:v>11402.5332</c:v>
                </c:pt>
                <c:pt idx="132">
                  <c:v>11589.61621</c:v>
                </c:pt>
                <c:pt idx="133">
                  <c:v>11673.0293</c:v>
                </c:pt>
                <c:pt idx="134">
                  <c:v>11818.61816</c:v>
                </c:pt>
                <c:pt idx="135">
                  <c:v>11890.78125</c:v>
                </c:pt>
                <c:pt idx="136">
                  <c:v>12123.19824</c:v>
                </c:pt>
                <c:pt idx="137">
                  <c:v>12952.208979999999</c:v>
                </c:pt>
                <c:pt idx="138">
                  <c:v>13132.79199</c:v>
                </c:pt>
                <c:pt idx="139">
                  <c:v>14862.92676</c:v>
                </c:pt>
                <c:pt idx="140">
                  <c:v>15893.21875</c:v>
                </c:pt>
                <c:pt idx="141">
                  <c:v>16425.859380000002</c:v>
                </c:pt>
                <c:pt idx="142">
                  <c:v>16718.970700000002</c:v>
                </c:pt>
                <c:pt idx="143">
                  <c:v>16743.929690000001</c:v>
                </c:pt>
                <c:pt idx="144">
                  <c:v>17134.873049999998</c:v>
                </c:pt>
                <c:pt idx="145">
                  <c:v>17500.65625</c:v>
                </c:pt>
                <c:pt idx="146">
                  <c:v>17643.060549999998</c:v>
                </c:pt>
                <c:pt idx="147">
                  <c:v>17915.566409999999</c:v>
                </c:pt>
                <c:pt idx="148">
                  <c:v>18383.95508</c:v>
                </c:pt>
                <c:pt idx="149">
                  <c:v>18776.707030000001</c:v>
                </c:pt>
                <c:pt idx="150">
                  <c:v>19116.208979999999</c:v>
                </c:pt>
                <c:pt idx="151">
                  <c:v>19129.95508</c:v>
                </c:pt>
                <c:pt idx="152">
                  <c:v>19237.681639999999</c:v>
                </c:pt>
                <c:pt idx="153">
                  <c:v>20250.833979999999</c:v>
                </c:pt>
                <c:pt idx="154">
                  <c:v>20903.277340000001</c:v>
                </c:pt>
                <c:pt idx="155">
                  <c:v>21413.25</c:v>
                </c:pt>
                <c:pt idx="156">
                  <c:v>24206.636719999999</c:v>
                </c:pt>
                <c:pt idx="157">
                  <c:v>25499.880860000001</c:v>
                </c:pt>
                <c:pt idx="158">
                  <c:v>25778.814450000002</c:v>
                </c:pt>
                <c:pt idx="159">
                  <c:v>26378.275389999999</c:v>
                </c:pt>
                <c:pt idx="160">
                  <c:v>26545.863280000001</c:v>
                </c:pt>
                <c:pt idx="161">
                  <c:v>27691.019530000001</c:v>
                </c:pt>
                <c:pt idx="162">
                  <c:v>28435.943360000001</c:v>
                </c:pt>
                <c:pt idx="163">
                  <c:v>29136.808590000001</c:v>
                </c:pt>
                <c:pt idx="164">
                  <c:v>29825.96875</c:v>
                </c:pt>
                <c:pt idx="165">
                  <c:v>31072.945309999999</c:v>
                </c:pt>
                <c:pt idx="166">
                  <c:v>31255.435549999998</c:v>
                </c:pt>
                <c:pt idx="167">
                  <c:v>32365.998049999998</c:v>
                </c:pt>
                <c:pt idx="168">
                  <c:v>32866.269529999998</c:v>
                </c:pt>
                <c:pt idx="169">
                  <c:v>32971.847659999999</c:v>
                </c:pt>
                <c:pt idx="170">
                  <c:v>33469.199220000002</c:v>
                </c:pt>
                <c:pt idx="171">
                  <c:v>34813.867189999997</c:v>
                </c:pt>
                <c:pt idx="172">
                  <c:v>36910.558590000001</c:v>
                </c:pt>
                <c:pt idx="173">
                  <c:v>37742.15625</c:v>
                </c:pt>
                <c:pt idx="174">
                  <c:v>37846.605470000002</c:v>
                </c:pt>
                <c:pt idx="175">
                  <c:v>38928.339840000001</c:v>
                </c:pt>
                <c:pt idx="176">
                  <c:v>40222.503909999999</c:v>
                </c:pt>
                <c:pt idx="177">
                  <c:v>43733.757810000003</c:v>
                </c:pt>
                <c:pt idx="178">
                  <c:v>43849.269529999998</c:v>
                </c:pt>
                <c:pt idx="179">
                  <c:v>43851.042970000002</c:v>
                </c:pt>
                <c:pt idx="180">
                  <c:v>45195.777340000001</c:v>
                </c:pt>
                <c:pt idx="181">
                  <c:v>45741</c:v>
                </c:pt>
                <c:pt idx="182">
                  <c:v>46754.78125</c:v>
                </c:pt>
                <c:pt idx="183">
                  <c:v>50882.882810000003</c:v>
                </c:pt>
                <c:pt idx="184">
                  <c:v>51269.183590000001</c:v>
                </c:pt>
                <c:pt idx="185">
                  <c:v>53771.300779999998</c:v>
                </c:pt>
                <c:pt idx="186">
                  <c:v>54409.792970000002</c:v>
                </c:pt>
                <c:pt idx="187">
                  <c:v>59308.691409999999</c:v>
                </c:pt>
                <c:pt idx="188">
                  <c:v>59734.214840000001</c:v>
                </c:pt>
                <c:pt idx="189">
                  <c:v>60461.828130000002</c:v>
                </c:pt>
                <c:pt idx="190">
                  <c:v>65273.511720000002</c:v>
                </c:pt>
                <c:pt idx="191">
                  <c:v>67886.007809999996</c:v>
                </c:pt>
                <c:pt idx="192">
                  <c:v>69799.976559999996</c:v>
                </c:pt>
                <c:pt idx="193">
                  <c:v>83783.945309999996</c:v>
                </c:pt>
                <c:pt idx="194">
                  <c:v>83992.953129999994</c:v>
                </c:pt>
                <c:pt idx="195">
                  <c:v>84339.070309999996</c:v>
                </c:pt>
                <c:pt idx="196">
                  <c:v>89561.40625</c:v>
                </c:pt>
                <c:pt idx="197">
                  <c:v>97338.585940000004</c:v>
                </c:pt>
                <c:pt idx="198">
                  <c:v>102334.4063</c:v>
                </c:pt>
                <c:pt idx="199">
                  <c:v>109581.08590000001</c:v>
                </c:pt>
                <c:pt idx="200">
                  <c:v>114963.58590000001</c:v>
                </c:pt>
                <c:pt idx="201">
                  <c:v>126476.46090000001</c:v>
                </c:pt>
                <c:pt idx="202">
                  <c:v>128932.75</c:v>
                </c:pt>
                <c:pt idx="203">
                  <c:v>145934.45310000001</c:v>
                </c:pt>
                <c:pt idx="204">
                  <c:v>164689.39060000001</c:v>
                </c:pt>
                <c:pt idx="205">
                  <c:v>206139.5938</c:v>
                </c:pt>
                <c:pt idx="206">
                  <c:v>212559.4063</c:v>
                </c:pt>
                <c:pt idx="207">
                  <c:v>220892.32810000001</c:v>
                </c:pt>
                <c:pt idx="208">
                  <c:v>273523.625</c:v>
                </c:pt>
                <c:pt idx="209">
                  <c:v>331002.65629999997</c:v>
                </c:pt>
                <c:pt idx="210">
                  <c:v>1380004.375</c:v>
                </c:pt>
                <c:pt idx="211">
                  <c:v>1463140.5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'Estimates-on-the-use-of-water-('!$C$2:$C$214</c15:sqref>
                  </c15:fullRef>
                </c:ext>
              </c:extLst>
              <c:f>'Estimates-on-the-use-of-water-('!$C$3:$C$214</c:f>
              <c:numCache>
                <c:formatCode>General</c:formatCode>
                <c:ptCount val="212"/>
                <c:pt idx="0">
                  <c:v>1.618000031</c:v>
                </c:pt>
                <c:pt idx="1">
                  <c:v>3.4830000399999999</c:v>
                </c:pt>
                <c:pt idx="2">
                  <c:v>4.9990000720000003</c:v>
                </c:pt>
                <c:pt idx="3">
                  <c:v>5.795000076</c:v>
                </c:pt>
                <c:pt idx="4">
                  <c:v>6.0710000989999999</c:v>
                </c:pt>
                <c:pt idx="5">
                  <c:v>9.8849999999999998</c:v>
                </c:pt>
                <c:pt idx="6">
                  <c:v>10.833999629999999</c:v>
                </c:pt>
                <c:pt idx="7">
                  <c:v>11.24600029</c:v>
                </c:pt>
                <c:pt idx="8">
                  <c:v>11.791999819999999</c:v>
                </c:pt>
                <c:pt idx="9">
                  <c:v>17.56399918</c:v>
                </c:pt>
                <c:pt idx="10">
                  <c:v>18.091999049999998</c:v>
                </c:pt>
                <c:pt idx="11">
                  <c:v>30.23699951</c:v>
                </c:pt>
                <c:pt idx="12">
                  <c:v>33.691001890000003</c:v>
                </c:pt>
                <c:pt idx="13">
                  <c:v>33.937999730000001</c:v>
                </c:pt>
                <c:pt idx="14">
                  <c:v>38.137001040000001</c:v>
                </c:pt>
                <c:pt idx="15">
                  <c:v>38.658999999999999</c:v>
                </c:pt>
                <c:pt idx="16">
                  <c:v>39.243999479999999</c:v>
                </c:pt>
                <c:pt idx="17">
                  <c:v>48.865001679999999</c:v>
                </c:pt>
                <c:pt idx="18">
                  <c:v>55.196998600000001</c:v>
                </c:pt>
                <c:pt idx="19">
                  <c:v>56.771999360000002</c:v>
                </c:pt>
                <c:pt idx="20">
                  <c:v>57.556999210000001</c:v>
                </c:pt>
                <c:pt idx="21">
                  <c:v>77.793991090000006</c:v>
                </c:pt>
                <c:pt idx="22">
                  <c:v>62.272998809999997</c:v>
                </c:pt>
                <c:pt idx="23">
                  <c:v>77.26499939</c:v>
                </c:pt>
                <c:pt idx="24">
                  <c:v>85.031997680000003</c:v>
                </c:pt>
                <c:pt idx="25">
                  <c:v>104.4229965</c:v>
                </c:pt>
                <c:pt idx="26">
                  <c:v>105.6969986</c:v>
                </c:pt>
                <c:pt idx="27">
                  <c:v>119.44599909999999</c:v>
                </c:pt>
                <c:pt idx="28">
                  <c:v>168.78300479999999</c:v>
                </c:pt>
                <c:pt idx="29">
                  <c:v>183.62899780000001</c:v>
                </c:pt>
                <c:pt idx="30">
                  <c:v>198.4100037</c:v>
                </c:pt>
                <c:pt idx="31">
                  <c:v>219.16099550000001</c:v>
                </c:pt>
                <c:pt idx="32">
                  <c:v>272.81298829999997</c:v>
                </c:pt>
                <c:pt idx="33">
                  <c:v>280.90399170000001</c:v>
                </c:pt>
                <c:pt idx="34">
                  <c:v>285.4909973</c:v>
                </c:pt>
                <c:pt idx="35">
                  <c:v>287.37100220000002</c:v>
                </c:pt>
                <c:pt idx="36">
                  <c:v>298.68200680000001</c:v>
                </c:pt>
                <c:pt idx="37">
                  <c:v>307.14999390000003</c:v>
                </c:pt>
                <c:pt idx="38">
                  <c:v>341.25</c:v>
                </c:pt>
                <c:pt idx="39">
                  <c:v>375.26501459999997</c:v>
                </c:pt>
                <c:pt idx="40">
                  <c:v>397.62100220000002</c:v>
                </c:pt>
                <c:pt idx="41">
                  <c:v>400.12701420000002</c:v>
                </c:pt>
                <c:pt idx="42">
                  <c:v>437.48300169999999</c:v>
                </c:pt>
                <c:pt idx="43">
                  <c:v>441.53900149999998</c:v>
                </c:pt>
                <c:pt idx="44">
                  <c:v>540.54199219999998</c:v>
                </c:pt>
                <c:pt idx="45">
                  <c:v>555.98797609999997</c:v>
                </c:pt>
                <c:pt idx="46">
                  <c:v>586.63397220000002</c:v>
                </c:pt>
                <c:pt idx="47">
                  <c:v>625.97601320000001</c:v>
                </c:pt>
                <c:pt idx="48">
                  <c:v>628.06201169999997</c:v>
                </c:pt>
                <c:pt idx="49">
                  <c:v>649.34198000000004</c:v>
                </c:pt>
                <c:pt idx="50">
                  <c:v>686.87799070000005</c:v>
                </c:pt>
                <c:pt idx="51">
                  <c:v>771.61199950000002</c:v>
                </c:pt>
                <c:pt idx="52">
                  <c:v>786.55902100000003</c:v>
                </c:pt>
                <c:pt idx="53">
                  <c:v>895.30798340000001</c:v>
                </c:pt>
                <c:pt idx="54">
                  <c:v>896.44396970000003</c:v>
                </c:pt>
                <c:pt idx="55">
                  <c:v>988.00201419999996</c:v>
                </c:pt>
                <c:pt idx="56">
                  <c:v>1160.1639399999999</c:v>
                </c:pt>
                <c:pt idx="57">
                  <c:v>1207.360962</c:v>
                </c:pt>
                <c:pt idx="58">
                  <c:v>1271.7669679999999</c:v>
                </c:pt>
                <c:pt idx="59">
                  <c:v>1318.4420170000001</c:v>
                </c:pt>
                <c:pt idx="60">
                  <c:v>1326.5389399999999</c:v>
                </c:pt>
                <c:pt idx="61">
                  <c:v>1399.490967</c:v>
                </c:pt>
                <c:pt idx="62">
                  <c:v>1701.5830080000001</c:v>
                </c:pt>
                <c:pt idx="63">
                  <c:v>1886.2020259999999</c:v>
                </c:pt>
                <c:pt idx="64">
                  <c:v>1967.998047</c:v>
                </c:pt>
                <c:pt idx="65">
                  <c:v>2078.931885</c:v>
                </c:pt>
                <c:pt idx="66">
                  <c:v>2083.3798830000001</c:v>
                </c:pt>
                <c:pt idx="67">
                  <c:v>2142.251953</c:v>
                </c:pt>
                <c:pt idx="68">
                  <c:v>2225.7280270000001</c:v>
                </c:pt>
                <c:pt idx="69">
                  <c:v>2351.625</c:v>
                </c:pt>
                <c:pt idx="70">
                  <c:v>2416.6640630000002</c:v>
                </c:pt>
                <c:pt idx="71">
                  <c:v>2540.9160160000001</c:v>
                </c:pt>
                <c:pt idx="72">
                  <c:v>2722.2910160000001</c:v>
                </c:pt>
                <c:pt idx="73">
                  <c:v>2860.8400879999999</c:v>
                </c:pt>
                <c:pt idx="74">
                  <c:v>2877.8000489999999</c:v>
                </c:pt>
                <c:pt idx="75">
                  <c:v>2881.0600589999999</c:v>
                </c:pt>
                <c:pt idx="76">
                  <c:v>2961.1608890000002</c:v>
                </c:pt>
                <c:pt idx="77">
                  <c:v>2963.2338869999999</c:v>
                </c:pt>
                <c:pt idx="78">
                  <c:v>3278.2919919999999</c:v>
                </c:pt>
                <c:pt idx="79">
                  <c:v>3280.8149410000001</c:v>
                </c:pt>
                <c:pt idx="80">
                  <c:v>3473.7270509999998</c:v>
                </c:pt>
                <c:pt idx="81">
                  <c:v>3989.1750489999999</c:v>
                </c:pt>
                <c:pt idx="82">
                  <c:v>4033.9628910000001</c:v>
                </c:pt>
                <c:pt idx="83">
                  <c:v>4105.2680659999996</c:v>
                </c:pt>
                <c:pt idx="84">
                  <c:v>4270.5629879999997</c:v>
                </c:pt>
                <c:pt idx="85">
                  <c:v>4314.7680659999996</c:v>
                </c:pt>
                <c:pt idx="86">
                  <c:v>4649.6601559999999</c:v>
                </c:pt>
                <c:pt idx="87">
                  <c:v>4822.2329099999997</c:v>
                </c:pt>
                <c:pt idx="88">
                  <c:v>4829.7641599999997</c:v>
                </c:pt>
                <c:pt idx="89">
                  <c:v>4937.7958980000003</c:v>
                </c:pt>
                <c:pt idx="90">
                  <c:v>5057.6767579999996</c:v>
                </c:pt>
                <c:pt idx="91">
                  <c:v>5094.1137699999999</c:v>
                </c:pt>
                <c:pt idx="92">
                  <c:v>5101.4160160000001</c:v>
                </c:pt>
                <c:pt idx="93">
                  <c:v>5106.6220700000003</c:v>
                </c:pt>
                <c:pt idx="94">
                  <c:v>5421.2421880000002</c:v>
                </c:pt>
                <c:pt idx="95">
                  <c:v>5459.6430659999996</c:v>
                </c:pt>
                <c:pt idx="96">
                  <c:v>5518.091797</c:v>
                </c:pt>
                <c:pt idx="97">
                  <c:v>5540.7177730000003</c:v>
                </c:pt>
                <c:pt idx="98">
                  <c:v>5792.203125</c:v>
                </c:pt>
                <c:pt idx="99">
                  <c:v>5850.3427730000003</c:v>
                </c:pt>
                <c:pt idx="100">
                  <c:v>6031.1870120000003</c:v>
                </c:pt>
                <c:pt idx="101">
                  <c:v>6486.201172</c:v>
                </c:pt>
                <c:pt idx="102">
                  <c:v>6524.1909180000002</c:v>
                </c:pt>
                <c:pt idx="103">
                  <c:v>6624.5541990000002</c:v>
                </c:pt>
                <c:pt idx="104">
                  <c:v>6825.4418949999999</c:v>
                </c:pt>
                <c:pt idx="105">
                  <c:v>6871.2871089999999</c:v>
                </c:pt>
                <c:pt idx="106">
                  <c:v>6948.4448240000002</c:v>
                </c:pt>
                <c:pt idx="107">
                  <c:v>7132.5297849999997</c:v>
                </c:pt>
                <c:pt idx="108">
                  <c:v>7275.5561520000001</c:v>
                </c:pt>
                <c:pt idx="109">
                  <c:v>7496.9877930000002</c:v>
                </c:pt>
                <c:pt idx="110">
                  <c:v>7976.9848629999997</c:v>
                </c:pt>
                <c:pt idx="111">
                  <c:v>8278.7373050000006</c:v>
                </c:pt>
                <c:pt idx="112">
                  <c:v>8654.6181639999995</c:v>
                </c:pt>
                <c:pt idx="113">
                  <c:v>8655.5410159999992</c:v>
                </c:pt>
                <c:pt idx="114">
                  <c:v>8737.3701170000004</c:v>
                </c:pt>
                <c:pt idx="115">
                  <c:v>8947.0273440000001</c:v>
                </c:pt>
                <c:pt idx="116">
                  <c:v>9006.4003909999992</c:v>
                </c:pt>
                <c:pt idx="117">
                  <c:v>9449.3212889999995</c:v>
                </c:pt>
                <c:pt idx="118">
                  <c:v>9537.6416019999997</c:v>
                </c:pt>
                <c:pt idx="119">
                  <c:v>9660.3496090000008</c:v>
                </c:pt>
                <c:pt idx="120">
                  <c:v>9890.4003909999992</c:v>
                </c:pt>
                <c:pt idx="121">
                  <c:v>9904.6083980000003</c:v>
                </c:pt>
                <c:pt idx="122">
                  <c:v>10099.26953</c:v>
                </c:pt>
                <c:pt idx="123">
                  <c:v>10139.174800000001</c:v>
                </c:pt>
                <c:pt idx="124">
                  <c:v>10196.70703</c:v>
                </c:pt>
                <c:pt idx="125">
                  <c:v>10203.139649999999</c:v>
                </c:pt>
                <c:pt idx="126">
                  <c:v>10423.05566</c:v>
                </c:pt>
                <c:pt idx="127">
                  <c:v>10708.98242</c:v>
                </c:pt>
                <c:pt idx="128">
                  <c:v>10847.9043</c:v>
                </c:pt>
                <c:pt idx="129">
                  <c:v>11193.728520000001</c:v>
                </c:pt>
                <c:pt idx="130">
                  <c:v>11326.61621</c:v>
                </c:pt>
                <c:pt idx="131">
                  <c:v>11402.5332</c:v>
                </c:pt>
                <c:pt idx="132">
                  <c:v>11589.61621</c:v>
                </c:pt>
                <c:pt idx="133">
                  <c:v>11673.0293</c:v>
                </c:pt>
                <c:pt idx="134">
                  <c:v>11818.61816</c:v>
                </c:pt>
                <c:pt idx="135">
                  <c:v>11890.78125</c:v>
                </c:pt>
                <c:pt idx="136">
                  <c:v>12123.19824</c:v>
                </c:pt>
                <c:pt idx="137">
                  <c:v>12952.208979999999</c:v>
                </c:pt>
                <c:pt idx="138">
                  <c:v>13132.79199</c:v>
                </c:pt>
                <c:pt idx="139">
                  <c:v>14862.92676</c:v>
                </c:pt>
                <c:pt idx="140">
                  <c:v>15893.21875</c:v>
                </c:pt>
                <c:pt idx="141">
                  <c:v>16425.859380000002</c:v>
                </c:pt>
                <c:pt idx="142">
                  <c:v>16718.970700000002</c:v>
                </c:pt>
                <c:pt idx="143">
                  <c:v>16743.929690000001</c:v>
                </c:pt>
                <c:pt idx="144">
                  <c:v>17134.873049999998</c:v>
                </c:pt>
                <c:pt idx="145">
                  <c:v>17500.65625</c:v>
                </c:pt>
                <c:pt idx="146">
                  <c:v>17643.060549999998</c:v>
                </c:pt>
                <c:pt idx="147">
                  <c:v>17915.566409999999</c:v>
                </c:pt>
                <c:pt idx="148">
                  <c:v>18383.95508</c:v>
                </c:pt>
                <c:pt idx="149">
                  <c:v>18776.707030000001</c:v>
                </c:pt>
                <c:pt idx="150">
                  <c:v>19116.208979999999</c:v>
                </c:pt>
                <c:pt idx="151">
                  <c:v>19129.95508</c:v>
                </c:pt>
                <c:pt idx="152">
                  <c:v>19237.681639999999</c:v>
                </c:pt>
                <c:pt idx="153">
                  <c:v>20250.833979999999</c:v>
                </c:pt>
                <c:pt idx="154">
                  <c:v>20903.277340000001</c:v>
                </c:pt>
                <c:pt idx="155">
                  <c:v>21413.25</c:v>
                </c:pt>
                <c:pt idx="156">
                  <c:v>24206.636719999999</c:v>
                </c:pt>
                <c:pt idx="157">
                  <c:v>25499.880860000001</c:v>
                </c:pt>
                <c:pt idx="158">
                  <c:v>25778.814450000002</c:v>
                </c:pt>
                <c:pt idx="159">
                  <c:v>26378.275389999999</c:v>
                </c:pt>
                <c:pt idx="160">
                  <c:v>26545.863280000001</c:v>
                </c:pt>
                <c:pt idx="161">
                  <c:v>27691.019530000001</c:v>
                </c:pt>
                <c:pt idx="162">
                  <c:v>28435.943360000001</c:v>
                </c:pt>
                <c:pt idx="163">
                  <c:v>29136.808590000001</c:v>
                </c:pt>
                <c:pt idx="164">
                  <c:v>29825.96875</c:v>
                </c:pt>
                <c:pt idx="165">
                  <c:v>31072.945309999999</c:v>
                </c:pt>
                <c:pt idx="166">
                  <c:v>31255.435549999998</c:v>
                </c:pt>
                <c:pt idx="167">
                  <c:v>32365.998049999998</c:v>
                </c:pt>
                <c:pt idx="168">
                  <c:v>32866.269529999998</c:v>
                </c:pt>
                <c:pt idx="169">
                  <c:v>32971.847659999999</c:v>
                </c:pt>
                <c:pt idx="170">
                  <c:v>33469.199220000002</c:v>
                </c:pt>
                <c:pt idx="171">
                  <c:v>34813.867189999997</c:v>
                </c:pt>
                <c:pt idx="172">
                  <c:v>36910.558590000001</c:v>
                </c:pt>
                <c:pt idx="173">
                  <c:v>37742.15625</c:v>
                </c:pt>
                <c:pt idx="174">
                  <c:v>37846.605470000002</c:v>
                </c:pt>
                <c:pt idx="175">
                  <c:v>38928.339840000001</c:v>
                </c:pt>
                <c:pt idx="176">
                  <c:v>40222.503909999999</c:v>
                </c:pt>
                <c:pt idx="177">
                  <c:v>43733.757810000003</c:v>
                </c:pt>
                <c:pt idx="178">
                  <c:v>43849.269529999998</c:v>
                </c:pt>
                <c:pt idx="179">
                  <c:v>43851.042970000002</c:v>
                </c:pt>
                <c:pt idx="180">
                  <c:v>45195.777340000001</c:v>
                </c:pt>
                <c:pt idx="181">
                  <c:v>45741</c:v>
                </c:pt>
                <c:pt idx="182">
                  <c:v>46754.78125</c:v>
                </c:pt>
                <c:pt idx="183">
                  <c:v>50882.882810000003</c:v>
                </c:pt>
                <c:pt idx="184">
                  <c:v>51269.183590000001</c:v>
                </c:pt>
                <c:pt idx="185">
                  <c:v>53771.300779999998</c:v>
                </c:pt>
                <c:pt idx="186">
                  <c:v>54409.792970000002</c:v>
                </c:pt>
                <c:pt idx="187">
                  <c:v>59308.691409999999</c:v>
                </c:pt>
                <c:pt idx="188">
                  <c:v>59734.214840000001</c:v>
                </c:pt>
                <c:pt idx="189">
                  <c:v>60461.828130000002</c:v>
                </c:pt>
                <c:pt idx="190">
                  <c:v>65273.511720000002</c:v>
                </c:pt>
                <c:pt idx="191">
                  <c:v>67886.007809999996</c:v>
                </c:pt>
                <c:pt idx="192">
                  <c:v>69799.976559999996</c:v>
                </c:pt>
                <c:pt idx="193">
                  <c:v>83783.945309999996</c:v>
                </c:pt>
                <c:pt idx="194">
                  <c:v>83992.953129999994</c:v>
                </c:pt>
                <c:pt idx="195">
                  <c:v>84339.070309999996</c:v>
                </c:pt>
                <c:pt idx="196">
                  <c:v>89561.40625</c:v>
                </c:pt>
                <c:pt idx="197">
                  <c:v>97338.585940000004</c:v>
                </c:pt>
                <c:pt idx="198">
                  <c:v>102334.4063</c:v>
                </c:pt>
                <c:pt idx="199">
                  <c:v>109581.08590000001</c:v>
                </c:pt>
                <c:pt idx="200">
                  <c:v>114963.58590000001</c:v>
                </c:pt>
                <c:pt idx="201">
                  <c:v>126476.46090000001</c:v>
                </c:pt>
                <c:pt idx="202">
                  <c:v>128932.75</c:v>
                </c:pt>
                <c:pt idx="203">
                  <c:v>145934.45310000001</c:v>
                </c:pt>
                <c:pt idx="204">
                  <c:v>164689.39060000001</c:v>
                </c:pt>
                <c:pt idx="205">
                  <c:v>206139.5938</c:v>
                </c:pt>
                <c:pt idx="206">
                  <c:v>212559.4063</c:v>
                </c:pt>
                <c:pt idx="207">
                  <c:v>220892.32810000001</c:v>
                </c:pt>
                <c:pt idx="208">
                  <c:v>273523.625</c:v>
                </c:pt>
                <c:pt idx="209">
                  <c:v>331002.65629999997</c:v>
                </c:pt>
                <c:pt idx="210">
                  <c:v>1380004.375</c:v>
                </c:pt>
                <c:pt idx="211">
                  <c:v>1463140.5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2-4F8F-9765-5382B3553E91}"/>
            </c:ext>
          </c:extLst>
        </c:ser>
        <c:ser>
          <c:idx val="1"/>
          <c:order val="1"/>
          <c:tx>
            <c:strRef>
              <c:f>'Estimates-on-the-use-of-water-('!$E$1</c:f>
              <c:strCache>
                <c:ptCount val="1"/>
                <c:pt idx="0">
                  <c:v>pop_u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'Estimates-on-the-use-of-water-('!$C$2:$C$214</c15:sqref>
                  </c15:fullRef>
                </c:ext>
              </c:extLst>
              <c:f>'Estimates-on-the-use-of-water-('!$C$3:$C$214</c:f>
              <c:numCache>
                <c:formatCode>General</c:formatCode>
                <c:ptCount val="212"/>
                <c:pt idx="0">
                  <c:v>1.618000031</c:v>
                </c:pt>
                <c:pt idx="1">
                  <c:v>3.4830000399999999</c:v>
                </c:pt>
                <c:pt idx="2">
                  <c:v>4.9990000720000003</c:v>
                </c:pt>
                <c:pt idx="3">
                  <c:v>5.795000076</c:v>
                </c:pt>
                <c:pt idx="4">
                  <c:v>6.0710000989999999</c:v>
                </c:pt>
                <c:pt idx="5">
                  <c:v>9.8849999999999998</c:v>
                </c:pt>
                <c:pt idx="6">
                  <c:v>10.833999629999999</c:v>
                </c:pt>
                <c:pt idx="7">
                  <c:v>11.24600029</c:v>
                </c:pt>
                <c:pt idx="8">
                  <c:v>11.791999819999999</c:v>
                </c:pt>
                <c:pt idx="9">
                  <c:v>17.56399918</c:v>
                </c:pt>
                <c:pt idx="10">
                  <c:v>18.091999049999998</c:v>
                </c:pt>
                <c:pt idx="11">
                  <c:v>30.23699951</c:v>
                </c:pt>
                <c:pt idx="12">
                  <c:v>33.691001890000003</c:v>
                </c:pt>
                <c:pt idx="13">
                  <c:v>33.937999730000001</c:v>
                </c:pt>
                <c:pt idx="14">
                  <c:v>38.137001040000001</c:v>
                </c:pt>
                <c:pt idx="15">
                  <c:v>38.658999999999999</c:v>
                </c:pt>
                <c:pt idx="16">
                  <c:v>39.243999479999999</c:v>
                </c:pt>
                <c:pt idx="17">
                  <c:v>48.865001679999999</c:v>
                </c:pt>
                <c:pt idx="18">
                  <c:v>55.196998600000001</c:v>
                </c:pt>
                <c:pt idx="19">
                  <c:v>56.771999360000002</c:v>
                </c:pt>
                <c:pt idx="20">
                  <c:v>57.556999210000001</c:v>
                </c:pt>
                <c:pt idx="21">
                  <c:v>77.793991090000006</c:v>
                </c:pt>
                <c:pt idx="22">
                  <c:v>62.272998809999997</c:v>
                </c:pt>
                <c:pt idx="23">
                  <c:v>77.26499939</c:v>
                </c:pt>
                <c:pt idx="24">
                  <c:v>85.031997680000003</c:v>
                </c:pt>
                <c:pt idx="25">
                  <c:v>104.4229965</c:v>
                </c:pt>
                <c:pt idx="26">
                  <c:v>105.6969986</c:v>
                </c:pt>
                <c:pt idx="27">
                  <c:v>119.44599909999999</c:v>
                </c:pt>
                <c:pt idx="28">
                  <c:v>168.78300479999999</c:v>
                </c:pt>
                <c:pt idx="29">
                  <c:v>183.62899780000001</c:v>
                </c:pt>
                <c:pt idx="30">
                  <c:v>198.4100037</c:v>
                </c:pt>
                <c:pt idx="31">
                  <c:v>219.16099550000001</c:v>
                </c:pt>
                <c:pt idx="32">
                  <c:v>272.81298829999997</c:v>
                </c:pt>
                <c:pt idx="33">
                  <c:v>280.90399170000001</c:v>
                </c:pt>
                <c:pt idx="34">
                  <c:v>285.4909973</c:v>
                </c:pt>
                <c:pt idx="35">
                  <c:v>287.37100220000002</c:v>
                </c:pt>
                <c:pt idx="36">
                  <c:v>298.68200680000001</c:v>
                </c:pt>
                <c:pt idx="37">
                  <c:v>307.14999390000003</c:v>
                </c:pt>
                <c:pt idx="38">
                  <c:v>341.25</c:v>
                </c:pt>
                <c:pt idx="39">
                  <c:v>375.26501459999997</c:v>
                </c:pt>
                <c:pt idx="40">
                  <c:v>397.62100220000002</c:v>
                </c:pt>
                <c:pt idx="41">
                  <c:v>400.12701420000002</c:v>
                </c:pt>
                <c:pt idx="42">
                  <c:v>437.48300169999999</c:v>
                </c:pt>
                <c:pt idx="43">
                  <c:v>441.53900149999998</c:v>
                </c:pt>
                <c:pt idx="44">
                  <c:v>540.54199219999998</c:v>
                </c:pt>
                <c:pt idx="45">
                  <c:v>555.98797609999997</c:v>
                </c:pt>
                <c:pt idx="46">
                  <c:v>586.63397220000002</c:v>
                </c:pt>
                <c:pt idx="47">
                  <c:v>625.97601320000001</c:v>
                </c:pt>
                <c:pt idx="48">
                  <c:v>628.06201169999997</c:v>
                </c:pt>
                <c:pt idx="49">
                  <c:v>649.34198000000004</c:v>
                </c:pt>
                <c:pt idx="50">
                  <c:v>686.87799070000005</c:v>
                </c:pt>
                <c:pt idx="51">
                  <c:v>771.61199950000002</c:v>
                </c:pt>
                <c:pt idx="52">
                  <c:v>786.55902100000003</c:v>
                </c:pt>
                <c:pt idx="53">
                  <c:v>895.30798340000001</c:v>
                </c:pt>
                <c:pt idx="54">
                  <c:v>896.44396970000003</c:v>
                </c:pt>
                <c:pt idx="55">
                  <c:v>988.00201419999996</c:v>
                </c:pt>
                <c:pt idx="56">
                  <c:v>1160.1639399999999</c:v>
                </c:pt>
                <c:pt idx="57">
                  <c:v>1207.360962</c:v>
                </c:pt>
                <c:pt idx="58">
                  <c:v>1271.7669679999999</c:v>
                </c:pt>
                <c:pt idx="59">
                  <c:v>1318.4420170000001</c:v>
                </c:pt>
                <c:pt idx="60">
                  <c:v>1326.5389399999999</c:v>
                </c:pt>
                <c:pt idx="61">
                  <c:v>1399.490967</c:v>
                </c:pt>
                <c:pt idx="62">
                  <c:v>1701.5830080000001</c:v>
                </c:pt>
                <c:pt idx="63">
                  <c:v>1886.2020259999999</c:v>
                </c:pt>
                <c:pt idx="64">
                  <c:v>1967.998047</c:v>
                </c:pt>
                <c:pt idx="65">
                  <c:v>2078.931885</c:v>
                </c:pt>
                <c:pt idx="66">
                  <c:v>2083.3798830000001</c:v>
                </c:pt>
                <c:pt idx="67">
                  <c:v>2142.251953</c:v>
                </c:pt>
                <c:pt idx="68">
                  <c:v>2225.7280270000001</c:v>
                </c:pt>
                <c:pt idx="69">
                  <c:v>2351.625</c:v>
                </c:pt>
                <c:pt idx="70">
                  <c:v>2416.6640630000002</c:v>
                </c:pt>
                <c:pt idx="71">
                  <c:v>2540.9160160000001</c:v>
                </c:pt>
                <c:pt idx="72">
                  <c:v>2722.2910160000001</c:v>
                </c:pt>
                <c:pt idx="73">
                  <c:v>2860.8400879999999</c:v>
                </c:pt>
                <c:pt idx="74">
                  <c:v>2877.8000489999999</c:v>
                </c:pt>
                <c:pt idx="75">
                  <c:v>2881.0600589999999</c:v>
                </c:pt>
                <c:pt idx="76">
                  <c:v>2961.1608890000002</c:v>
                </c:pt>
                <c:pt idx="77">
                  <c:v>2963.2338869999999</c:v>
                </c:pt>
                <c:pt idx="78">
                  <c:v>3278.2919919999999</c:v>
                </c:pt>
                <c:pt idx="79">
                  <c:v>3280.8149410000001</c:v>
                </c:pt>
                <c:pt idx="80">
                  <c:v>3473.7270509999998</c:v>
                </c:pt>
                <c:pt idx="81">
                  <c:v>3989.1750489999999</c:v>
                </c:pt>
                <c:pt idx="82">
                  <c:v>4033.9628910000001</c:v>
                </c:pt>
                <c:pt idx="83">
                  <c:v>4105.2680659999996</c:v>
                </c:pt>
                <c:pt idx="84">
                  <c:v>4270.5629879999997</c:v>
                </c:pt>
                <c:pt idx="85">
                  <c:v>4314.7680659999996</c:v>
                </c:pt>
                <c:pt idx="86">
                  <c:v>4649.6601559999999</c:v>
                </c:pt>
                <c:pt idx="87">
                  <c:v>4822.2329099999997</c:v>
                </c:pt>
                <c:pt idx="88">
                  <c:v>4829.7641599999997</c:v>
                </c:pt>
                <c:pt idx="89">
                  <c:v>4937.7958980000003</c:v>
                </c:pt>
                <c:pt idx="90">
                  <c:v>5057.6767579999996</c:v>
                </c:pt>
                <c:pt idx="91">
                  <c:v>5094.1137699999999</c:v>
                </c:pt>
                <c:pt idx="92">
                  <c:v>5101.4160160000001</c:v>
                </c:pt>
                <c:pt idx="93">
                  <c:v>5106.6220700000003</c:v>
                </c:pt>
                <c:pt idx="94">
                  <c:v>5421.2421880000002</c:v>
                </c:pt>
                <c:pt idx="95">
                  <c:v>5459.6430659999996</c:v>
                </c:pt>
                <c:pt idx="96">
                  <c:v>5518.091797</c:v>
                </c:pt>
                <c:pt idx="97">
                  <c:v>5540.7177730000003</c:v>
                </c:pt>
                <c:pt idx="98">
                  <c:v>5792.203125</c:v>
                </c:pt>
                <c:pt idx="99">
                  <c:v>5850.3427730000003</c:v>
                </c:pt>
                <c:pt idx="100">
                  <c:v>6031.1870120000003</c:v>
                </c:pt>
                <c:pt idx="101">
                  <c:v>6486.201172</c:v>
                </c:pt>
                <c:pt idx="102">
                  <c:v>6524.1909180000002</c:v>
                </c:pt>
                <c:pt idx="103">
                  <c:v>6624.5541990000002</c:v>
                </c:pt>
                <c:pt idx="104">
                  <c:v>6825.4418949999999</c:v>
                </c:pt>
                <c:pt idx="105">
                  <c:v>6871.2871089999999</c:v>
                </c:pt>
                <c:pt idx="106">
                  <c:v>6948.4448240000002</c:v>
                </c:pt>
                <c:pt idx="107">
                  <c:v>7132.5297849999997</c:v>
                </c:pt>
                <c:pt idx="108">
                  <c:v>7275.5561520000001</c:v>
                </c:pt>
                <c:pt idx="109">
                  <c:v>7496.9877930000002</c:v>
                </c:pt>
                <c:pt idx="110">
                  <c:v>7976.9848629999997</c:v>
                </c:pt>
                <c:pt idx="111">
                  <c:v>8278.7373050000006</c:v>
                </c:pt>
                <c:pt idx="112">
                  <c:v>8654.6181639999995</c:v>
                </c:pt>
                <c:pt idx="113">
                  <c:v>8655.5410159999992</c:v>
                </c:pt>
                <c:pt idx="114">
                  <c:v>8737.3701170000004</c:v>
                </c:pt>
                <c:pt idx="115">
                  <c:v>8947.0273440000001</c:v>
                </c:pt>
                <c:pt idx="116">
                  <c:v>9006.4003909999992</c:v>
                </c:pt>
                <c:pt idx="117">
                  <c:v>9449.3212889999995</c:v>
                </c:pt>
                <c:pt idx="118">
                  <c:v>9537.6416019999997</c:v>
                </c:pt>
                <c:pt idx="119">
                  <c:v>9660.3496090000008</c:v>
                </c:pt>
                <c:pt idx="120">
                  <c:v>9890.4003909999992</c:v>
                </c:pt>
                <c:pt idx="121">
                  <c:v>9904.6083980000003</c:v>
                </c:pt>
                <c:pt idx="122">
                  <c:v>10099.26953</c:v>
                </c:pt>
                <c:pt idx="123">
                  <c:v>10139.174800000001</c:v>
                </c:pt>
                <c:pt idx="124">
                  <c:v>10196.70703</c:v>
                </c:pt>
                <c:pt idx="125">
                  <c:v>10203.139649999999</c:v>
                </c:pt>
                <c:pt idx="126">
                  <c:v>10423.05566</c:v>
                </c:pt>
                <c:pt idx="127">
                  <c:v>10708.98242</c:v>
                </c:pt>
                <c:pt idx="128">
                  <c:v>10847.9043</c:v>
                </c:pt>
                <c:pt idx="129">
                  <c:v>11193.728520000001</c:v>
                </c:pt>
                <c:pt idx="130">
                  <c:v>11326.61621</c:v>
                </c:pt>
                <c:pt idx="131">
                  <c:v>11402.5332</c:v>
                </c:pt>
                <c:pt idx="132">
                  <c:v>11589.61621</c:v>
                </c:pt>
                <c:pt idx="133">
                  <c:v>11673.0293</c:v>
                </c:pt>
                <c:pt idx="134">
                  <c:v>11818.61816</c:v>
                </c:pt>
                <c:pt idx="135">
                  <c:v>11890.78125</c:v>
                </c:pt>
                <c:pt idx="136">
                  <c:v>12123.19824</c:v>
                </c:pt>
                <c:pt idx="137">
                  <c:v>12952.208979999999</c:v>
                </c:pt>
                <c:pt idx="138">
                  <c:v>13132.79199</c:v>
                </c:pt>
                <c:pt idx="139">
                  <c:v>14862.92676</c:v>
                </c:pt>
                <c:pt idx="140">
                  <c:v>15893.21875</c:v>
                </c:pt>
                <c:pt idx="141">
                  <c:v>16425.859380000002</c:v>
                </c:pt>
                <c:pt idx="142">
                  <c:v>16718.970700000002</c:v>
                </c:pt>
                <c:pt idx="143">
                  <c:v>16743.929690000001</c:v>
                </c:pt>
                <c:pt idx="144">
                  <c:v>17134.873049999998</c:v>
                </c:pt>
                <c:pt idx="145">
                  <c:v>17500.65625</c:v>
                </c:pt>
                <c:pt idx="146">
                  <c:v>17643.060549999998</c:v>
                </c:pt>
                <c:pt idx="147">
                  <c:v>17915.566409999999</c:v>
                </c:pt>
                <c:pt idx="148">
                  <c:v>18383.95508</c:v>
                </c:pt>
                <c:pt idx="149">
                  <c:v>18776.707030000001</c:v>
                </c:pt>
                <c:pt idx="150">
                  <c:v>19116.208979999999</c:v>
                </c:pt>
                <c:pt idx="151">
                  <c:v>19129.95508</c:v>
                </c:pt>
                <c:pt idx="152">
                  <c:v>19237.681639999999</c:v>
                </c:pt>
                <c:pt idx="153">
                  <c:v>20250.833979999999</c:v>
                </c:pt>
                <c:pt idx="154">
                  <c:v>20903.277340000001</c:v>
                </c:pt>
                <c:pt idx="155">
                  <c:v>21413.25</c:v>
                </c:pt>
                <c:pt idx="156">
                  <c:v>24206.636719999999</c:v>
                </c:pt>
                <c:pt idx="157">
                  <c:v>25499.880860000001</c:v>
                </c:pt>
                <c:pt idx="158">
                  <c:v>25778.814450000002</c:v>
                </c:pt>
                <c:pt idx="159">
                  <c:v>26378.275389999999</c:v>
                </c:pt>
                <c:pt idx="160">
                  <c:v>26545.863280000001</c:v>
                </c:pt>
                <c:pt idx="161">
                  <c:v>27691.019530000001</c:v>
                </c:pt>
                <c:pt idx="162">
                  <c:v>28435.943360000001</c:v>
                </c:pt>
                <c:pt idx="163">
                  <c:v>29136.808590000001</c:v>
                </c:pt>
                <c:pt idx="164">
                  <c:v>29825.96875</c:v>
                </c:pt>
                <c:pt idx="165">
                  <c:v>31072.945309999999</c:v>
                </c:pt>
                <c:pt idx="166">
                  <c:v>31255.435549999998</c:v>
                </c:pt>
                <c:pt idx="167">
                  <c:v>32365.998049999998</c:v>
                </c:pt>
                <c:pt idx="168">
                  <c:v>32866.269529999998</c:v>
                </c:pt>
                <c:pt idx="169">
                  <c:v>32971.847659999999</c:v>
                </c:pt>
                <c:pt idx="170">
                  <c:v>33469.199220000002</c:v>
                </c:pt>
                <c:pt idx="171">
                  <c:v>34813.867189999997</c:v>
                </c:pt>
                <c:pt idx="172">
                  <c:v>36910.558590000001</c:v>
                </c:pt>
                <c:pt idx="173">
                  <c:v>37742.15625</c:v>
                </c:pt>
                <c:pt idx="174">
                  <c:v>37846.605470000002</c:v>
                </c:pt>
                <c:pt idx="175">
                  <c:v>38928.339840000001</c:v>
                </c:pt>
                <c:pt idx="176">
                  <c:v>40222.503909999999</c:v>
                </c:pt>
                <c:pt idx="177">
                  <c:v>43733.757810000003</c:v>
                </c:pt>
                <c:pt idx="178">
                  <c:v>43849.269529999998</c:v>
                </c:pt>
                <c:pt idx="179">
                  <c:v>43851.042970000002</c:v>
                </c:pt>
                <c:pt idx="180">
                  <c:v>45195.777340000001</c:v>
                </c:pt>
                <c:pt idx="181">
                  <c:v>45741</c:v>
                </c:pt>
                <c:pt idx="182">
                  <c:v>46754.78125</c:v>
                </c:pt>
                <c:pt idx="183">
                  <c:v>50882.882810000003</c:v>
                </c:pt>
                <c:pt idx="184">
                  <c:v>51269.183590000001</c:v>
                </c:pt>
                <c:pt idx="185">
                  <c:v>53771.300779999998</c:v>
                </c:pt>
                <c:pt idx="186">
                  <c:v>54409.792970000002</c:v>
                </c:pt>
                <c:pt idx="187">
                  <c:v>59308.691409999999</c:v>
                </c:pt>
                <c:pt idx="188">
                  <c:v>59734.214840000001</c:v>
                </c:pt>
                <c:pt idx="189">
                  <c:v>60461.828130000002</c:v>
                </c:pt>
                <c:pt idx="190">
                  <c:v>65273.511720000002</c:v>
                </c:pt>
                <c:pt idx="191">
                  <c:v>67886.007809999996</c:v>
                </c:pt>
                <c:pt idx="192">
                  <c:v>69799.976559999996</c:v>
                </c:pt>
                <c:pt idx="193">
                  <c:v>83783.945309999996</c:v>
                </c:pt>
                <c:pt idx="194">
                  <c:v>83992.953129999994</c:v>
                </c:pt>
                <c:pt idx="195">
                  <c:v>84339.070309999996</c:v>
                </c:pt>
                <c:pt idx="196">
                  <c:v>89561.40625</c:v>
                </c:pt>
                <c:pt idx="197">
                  <c:v>97338.585940000004</c:v>
                </c:pt>
                <c:pt idx="198">
                  <c:v>102334.4063</c:v>
                </c:pt>
                <c:pt idx="199">
                  <c:v>109581.08590000001</c:v>
                </c:pt>
                <c:pt idx="200">
                  <c:v>114963.58590000001</c:v>
                </c:pt>
                <c:pt idx="201">
                  <c:v>126476.46090000001</c:v>
                </c:pt>
                <c:pt idx="202">
                  <c:v>128932.75</c:v>
                </c:pt>
                <c:pt idx="203">
                  <c:v>145934.45310000001</c:v>
                </c:pt>
                <c:pt idx="204">
                  <c:v>164689.39060000001</c:v>
                </c:pt>
                <c:pt idx="205">
                  <c:v>206139.5938</c:v>
                </c:pt>
                <c:pt idx="206">
                  <c:v>212559.4063</c:v>
                </c:pt>
                <c:pt idx="207">
                  <c:v>220892.32810000001</c:v>
                </c:pt>
                <c:pt idx="208">
                  <c:v>273523.625</c:v>
                </c:pt>
                <c:pt idx="209">
                  <c:v>331002.65629999997</c:v>
                </c:pt>
                <c:pt idx="210">
                  <c:v>1380004.375</c:v>
                </c:pt>
                <c:pt idx="211">
                  <c:v>1463140.5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'Estimates-on-the-use-of-water-('!$E:$E</c15:sqref>
                  </c15:fullRef>
                </c:ext>
              </c:extLst>
              <c:f>'Estimates-on-the-use-of-water-('!$E$2:$E$1048576</c:f>
              <c:numCache>
                <c:formatCode>0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75.495002749999998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66.652000430000001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2-4F8F-9765-5382B3553E91}"/>
            </c:ext>
          </c:extLst>
        </c:ser>
        <c:ser>
          <c:idx val="2"/>
          <c:order val="2"/>
          <c:tx>
            <c:strRef>
              <c:f>'Estimates-on-the-use-of-water-('!$I$1</c:f>
              <c:strCache>
                <c:ptCount val="1"/>
                <c:pt idx="0">
                  <c:v>pop_r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'Estimates-on-the-use-of-water-('!$C$2:$C$214</c15:sqref>
                  </c15:fullRef>
                </c:ext>
              </c:extLst>
              <c:f>'Estimates-on-the-use-of-water-('!$C$3:$C$214</c:f>
              <c:numCache>
                <c:formatCode>General</c:formatCode>
                <c:ptCount val="212"/>
                <c:pt idx="0">
                  <c:v>1.618000031</c:v>
                </c:pt>
                <c:pt idx="1">
                  <c:v>3.4830000399999999</c:v>
                </c:pt>
                <c:pt idx="2">
                  <c:v>4.9990000720000003</c:v>
                </c:pt>
                <c:pt idx="3">
                  <c:v>5.795000076</c:v>
                </c:pt>
                <c:pt idx="4">
                  <c:v>6.0710000989999999</c:v>
                </c:pt>
                <c:pt idx="5">
                  <c:v>9.8849999999999998</c:v>
                </c:pt>
                <c:pt idx="6">
                  <c:v>10.833999629999999</c:v>
                </c:pt>
                <c:pt idx="7">
                  <c:v>11.24600029</c:v>
                </c:pt>
                <c:pt idx="8">
                  <c:v>11.791999819999999</c:v>
                </c:pt>
                <c:pt idx="9">
                  <c:v>17.56399918</c:v>
                </c:pt>
                <c:pt idx="10">
                  <c:v>18.091999049999998</c:v>
                </c:pt>
                <c:pt idx="11">
                  <c:v>30.23699951</c:v>
                </c:pt>
                <c:pt idx="12">
                  <c:v>33.691001890000003</c:v>
                </c:pt>
                <c:pt idx="13">
                  <c:v>33.937999730000001</c:v>
                </c:pt>
                <c:pt idx="14">
                  <c:v>38.137001040000001</c:v>
                </c:pt>
                <c:pt idx="15">
                  <c:v>38.658999999999999</c:v>
                </c:pt>
                <c:pt idx="16">
                  <c:v>39.243999479999999</c:v>
                </c:pt>
                <c:pt idx="17">
                  <c:v>48.865001679999999</c:v>
                </c:pt>
                <c:pt idx="18">
                  <c:v>55.196998600000001</c:v>
                </c:pt>
                <c:pt idx="19">
                  <c:v>56.771999360000002</c:v>
                </c:pt>
                <c:pt idx="20">
                  <c:v>57.556999210000001</c:v>
                </c:pt>
                <c:pt idx="21">
                  <c:v>77.793991090000006</c:v>
                </c:pt>
                <c:pt idx="22">
                  <c:v>62.272998809999997</c:v>
                </c:pt>
                <c:pt idx="23">
                  <c:v>77.26499939</c:v>
                </c:pt>
                <c:pt idx="24">
                  <c:v>85.031997680000003</c:v>
                </c:pt>
                <c:pt idx="25">
                  <c:v>104.4229965</c:v>
                </c:pt>
                <c:pt idx="26">
                  <c:v>105.6969986</c:v>
                </c:pt>
                <c:pt idx="27">
                  <c:v>119.44599909999999</c:v>
                </c:pt>
                <c:pt idx="28">
                  <c:v>168.78300479999999</c:v>
                </c:pt>
                <c:pt idx="29">
                  <c:v>183.62899780000001</c:v>
                </c:pt>
                <c:pt idx="30">
                  <c:v>198.4100037</c:v>
                </c:pt>
                <c:pt idx="31">
                  <c:v>219.16099550000001</c:v>
                </c:pt>
                <c:pt idx="32">
                  <c:v>272.81298829999997</c:v>
                </c:pt>
                <c:pt idx="33">
                  <c:v>280.90399170000001</c:v>
                </c:pt>
                <c:pt idx="34">
                  <c:v>285.4909973</c:v>
                </c:pt>
                <c:pt idx="35">
                  <c:v>287.37100220000002</c:v>
                </c:pt>
                <c:pt idx="36">
                  <c:v>298.68200680000001</c:v>
                </c:pt>
                <c:pt idx="37">
                  <c:v>307.14999390000003</c:v>
                </c:pt>
                <c:pt idx="38">
                  <c:v>341.25</c:v>
                </c:pt>
                <c:pt idx="39">
                  <c:v>375.26501459999997</c:v>
                </c:pt>
                <c:pt idx="40">
                  <c:v>397.62100220000002</c:v>
                </c:pt>
                <c:pt idx="41">
                  <c:v>400.12701420000002</c:v>
                </c:pt>
                <c:pt idx="42">
                  <c:v>437.48300169999999</c:v>
                </c:pt>
                <c:pt idx="43">
                  <c:v>441.53900149999998</c:v>
                </c:pt>
                <c:pt idx="44">
                  <c:v>540.54199219999998</c:v>
                </c:pt>
                <c:pt idx="45">
                  <c:v>555.98797609999997</c:v>
                </c:pt>
                <c:pt idx="46">
                  <c:v>586.63397220000002</c:v>
                </c:pt>
                <c:pt idx="47">
                  <c:v>625.97601320000001</c:v>
                </c:pt>
                <c:pt idx="48">
                  <c:v>628.06201169999997</c:v>
                </c:pt>
                <c:pt idx="49">
                  <c:v>649.34198000000004</c:v>
                </c:pt>
                <c:pt idx="50">
                  <c:v>686.87799070000005</c:v>
                </c:pt>
                <c:pt idx="51">
                  <c:v>771.61199950000002</c:v>
                </c:pt>
                <c:pt idx="52">
                  <c:v>786.55902100000003</c:v>
                </c:pt>
                <c:pt idx="53">
                  <c:v>895.30798340000001</c:v>
                </c:pt>
                <c:pt idx="54">
                  <c:v>896.44396970000003</c:v>
                </c:pt>
                <c:pt idx="55">
                  <c:v>988.00201419999996</c:v>
                </c:pt>
                <c:pt idx="56">
                  <c:v>1160.1639399999999</c:v>
                </c:pt>
                <c:pt idx="57">
                  <c:v>1207.360962</c:v>
                </c:pt>
                <c:pt idx="58">
                  <c:v>1271.7669679999999</c:v>
                </c:pt>
                <c:pt idx="59">
                  <c:v>1318.4420170000001</c:v>
                </c:pt>
                <c:pt idx="60">
                  <c:v>1326.5389399999999</c:v>
                </c:pt>
                <c:pt idx="61">
                  <c:v>1399.490967</c:v>
                </c:pt>
                <c:pt idx="62">
                  <c:v>1701.5830080000001</c:v>
                </c:pt>
                <c:pt idx="63">
                  <c:v>1886.2020259999999</c:v>
                </c:pt>
                <c:pt idx="64">
                  <c:v>1967.998047</c:v>
                </c:pt>
                <c:pt idx="65">
                  <c:v>2078.931885</c:v>
                </c:pt>
                <c:pt idx="66">
                  <c:v>2083.3798830000001</c:v>
                </c:pt>
                <c:pt idx="67">
                  <c:v>2142.251953</c:v>
                </c:pt>
                <c:pt idx="68">
                  <c:v>2225.7280270000001</c:v>
                </c:pt>
                <c:pt idx="69">
                  <c:v>2351.625</c:v>
                </c:pt>
                <c:pt idx="70">
                  <c:v>2416.6640630000002</c:v>
                </c:pt>
                <c:pt idx="71">
                  <c:v>2540.9160160000001</c:v>
                </c:pt>
                <c:pt idx="72">
                  <c:v>2722.2910160000001</c:v>
                </c:pt>
                <c:pt idx="73">
                  <c:v>2860.8400879999999</c:v>
                </c:pt>
                <c:pt idx="74">
                  <c:v>2877.8000489999999</c:v>
                </c:pt>
                <c:pt idx="75">
                  <c:v>2881.0600589999999</c:v>
                </c:pt>
                <c:pt idx="76">
                  <c:v>2961.1608890000002</c:v>
                </c:pt>
                <c:pt idx="77">
                  <c:v>2963.2338869999999</c:v>
                </c:pt>
                <c:pt idx="78">
                  <c:v>3278.2919919999999</c:v>
                </c:pt>
                <c:pt idx="79">
                  <c:v>3280.8149410000001</c:v>
                </c:pt>
                <c:pt idx="80">
                  <c:v>3473.7270509999998</c:v>
                </c:pt>
                <c:pt idx="81">
                  <c:v>3989.1750489999999</c:v>
                </c:pt>
                <c:pt idx="82">
                  <c:v>4033.9628910000001</c:v>
                </c:pt>
                <c:pt idx="83">
                  <c:v>4105.2680659999996</c:v>
                </c:pt>
                <c:pt idx="84">
                  <c:v>4270.5629879999997</c:v>
                </c:pt>
                <c:pt idx="85">
                  <c:v>4314.7680659999996</c:v>
                </c:pt>
                <c:pt idx="86">
                  <c:v>4649.6601559999999</c:v>
                </c:pt>
                <c:pt idx="87">
                  <c:v>4822.2329099999997</c:v>
                </c:pt>
                <c:pt idx="88">
                  <c:v>4829.7641599999997</c:v>
                </c:pt>
                <c:pt idx="89">
                  <c:v>4937.7958980000003</c:v>
                </c:pt>
                <c:pt idx="90">
                  <c:v>5057.6767579999996</c:v>
                </c:pt>
                <c:pt idx="91">
                  <c:v>5094.1137699999999</c:v>
                </c:pt>
                <c:pt idx="92">
                  <c:v>5101.4160160000001</c:v>
                </c:pt>
                <c:pt idx="93">
                  <c:v>5106.6220700000003</c:v>
                </c:pt>
                <c:pt idx="94">
                  <c:v>5421.2421880000002</c:v>
                </c:pt>
                <c:pt idx="95">
                  <c:v>5459.6430659999996</c:v>
                </c:pt>
                <c:pt idx="96">
                  <c:v>5518.091797</c:v>
                </c:pt>
                <c:pt idx="97">
                  <c:v>5540.7177730000003</c:v>
                </c:pt>
                <c:pt idx="98">
                  <c:v>5792.203125</c:v>
                </c:pt>
                <c:pt idx="99">
                  <c:v>5850.3427730000003</c:v>
                </c:pt>
                <c:pt idx="100">
                  <c:v>6031.1870120000003</c:v>
                </c:pt>
                <c:pt idx="101">
                  <c:v>6486.201172</c:v>
                </c:pt>
                <c:pt idx="102">
                  <c:v>6524.1909180000002</c:v>
                </c:pt>
                <c:pt idx="103">
                  <c:v>6624.5541990000002</c:v>
                </c:pt>
                <c:pt idx="104">
                  <c:v>6825.4418949999999</c:v>
                </c:pt>
                <c:pt idx="105">
                  <c:v>6871.2871089999999</c:v>
                </c:pt>
                <c:pt idx="106">
                  <c:v>6948.4448240000002</c:v>
                </c:pt>
                <c:pt idx="107">
                  <c:v>7132.5297849999997</c:v>
                </c:pt>
                <c:pt idx="108">
                  <c:v>7275.5561520000001</c:v>
                </c:pt>
                <c:pt idx="109">
                  <c:v>7496.9877930000002</c:v>
                </c:pt>
                <c:pt idx="110">
                  <c:v>7976.9848629999997</c:v>
                </c:pt>
                <c:pt idx="111">
                  <c:v>8278.7373050000006</c:v>
                </c:pt>
                <c:pt idx="112">
                  <c:v>8654.6181639999995</c:v>
                </c:pt>
                <c:pt idx="113">
                  <c:v>8655.5410159999992</c:v>
                </c:pt>
                <c:pt idx="114">
                  <c:v>8737.3701170000004</c:v>
                </c:pt>
                <c:pt idx="115">
                  <c:v>8947.0273440000001</c:v>
                </c:pt>
                <c:pt idx="116">
                  <c:v>9006.4003909999992</c:v>
                </c:pt>
                <c:pt idx="117">
                  <c:v>9449.3212889999995</c:v>
                </c:pt>
                <c:pt idx="118">
                  <c:v>9537.6416019999997</c:v>
                </c:pt>
                <c:pt idx="119">
                  <c:v>9660.3496090000008</c:v>
                </c:pt>
                <c:pt idx="120">
                  <c:v>9890.4003909999992</c:v>
                </c:pt>
                <c:pt idx="121">
                  <c:v>9904.6083980000003</c:v>
                </c:pt>
                <c:pt idx="122">
                  <c:v>10099.26953</c:v>
                </c:pt>
                <c:pt idx="123">
                  <c:v>10139.174800000001</c:v>
                </c:pt>
                <c:pt idx="124">
                  <c:v>10196.70703</c:v>
                </c:pt>
                <c:pt idx="125">
                  <c:v>10203.139649999999</c:v>
                </c:pt>
                <c:pt idx="126">
                  <c:v>10423.05566</c:v>
                </c:pt>
                <c:pt idx="127">
                  <c:v>10708.98242</c:v>
                </c:pt>
                <c:pt idx="128">
                  <c:v>10847.9043</c:v>
                </c:pt>
                <c:pt idx="129">
                  <c:v>11193.728520000001</c:v>
                </c:pt>
                <c:pt idx="130">
                  <c:v>11326.61621</c:v>
                </c:pt>
                <c:pt idx="131">
                  <c:v>11402.5332</c:v>
                </c:pt>
                <c:pt idx="132">
                  <c:v>11589.61621</c:v>
                </c:pt>
                <c:pt idx="133">
                  <c:v>11673.0293</c:v>
                </c:pt>
                <c:pt idx="134">
                  <c:v>11818.61816</c:v>
                </c:pt>
                <c:pt idx="135">
                  <c:v>11890.78125</c:v>
                </c:pt>
                <c:pt idx="136">
                  <c:v>12123.19824</c:v>
                </c:pt>
                <c:pt idx="137">
                  <c:v>12952.208979999999</c:v>
                </c:pt>
                <c:pt idx="138">
                  <c:v>13132.79199</c:v>
                </c:pt>
                <c:pt idx="139">
                  <c:v>14862.92676</c:v>
                </c:pt>
                <c:pt idx="140">
                  <c:v>15893.21875</c:v>
                </c:pt>
                <c:pt idx="141">
                  <c:v>16425.859380000002</c:v>
                </c:pt>
                <c:pt idx="142">
                  <c:v>16718.970700000002</c:v>
                </c:pt>
                <c:pt idx="143">
                  <c:v>16743.929690000001</c:v>
                </c:pt>
                <c:pt idx="144">
                  <c:v>17134.873049999998</c:v>
                </c:pt>
                <c:pt idx="145">
                  <c:v>17500.65625</c:v>
                </c:pt>
                <c:pt idx="146">
                  <c:v>17643.060549999998</c:v>
                </c:pt>
                <c:pt idx="147">
                  <c:v>17915.566409999999</c:v>
                </c:pt>
                <c:pt idx="148">
                  <c:v>18383.95508</c:v>
                </c:pt>
                <c:pt idx="149">
                  <c:v>18776.707030000001</c:v>
                </c:pt>
                <c:pt idx="150">
                  <c:v>19116.208979999999</c:v>
                </c:pt>
                <c:pt idx="151">
                  <c:v>19129.95508</c:v>
                </c:pt>
                <c:pt idx="152">
                  <c:v>19237.681639999999</c:v>
                </c:pt>
                <c:pt idx="153">
                  <c:v>20250.833979999999</c:v>
                </c:pt>
                <c:pt idx="154">
                  <c:v>20903.277340000001</c:v>
                </c:pt>
                <c:pt idx="155">
                  <c:v>21413.25</c:v>
                </c:pt>
                <c:pt idx="156">
                  <c:v>24206.636719999999</c:v>
                </c:pt>
                <c:pt idx="157">
                  <c:v>25499.880860000001</c:v>
                </c:pt>
                <c:pt idx="158">
                  <c:v>25778.814450000002</c:v>
                </c:pt>
                <c:pt idx="159">
                  <c:v>26378.275389999999</c:v>
                </c:pt>
                <c:pt idx="160">
                  <c:v>26545.863280000001</c:v>
                </c:pt>
                <c:pt idx="161">
                  <c:v>27691.019530000001</c:v>
                </c:pt>
                <c:pt idx="162">
                  <c:v>28435.943360000001</c:v>
                </c:pt>
                <c:pt idx="163">
                  <c:v>29136.808590000001</c:v>
                </c:pt>
                <c:pt idx="164">
                  <c:v>29825.96875</c:v>
                </c:pt>
                <c:pt idx="165">
                  <c:v>31072.945309999999</c:v>
                </c:pt>
                <c:pt idx="166">
                  <c:v>31255.435549999998</c:v>
                </c:pt>
                <c:pt idx="167">
                  <c:v>32365.998049999998</c:v>
                </c:pt>
                <c:pt idx="168">
                  <c:v>32866.269529999998</c:v>
                </c:pt>
                <c:pt idx="169">
                  <c:v>32971.847659999999</c:v>
                </c:pt>
                <c:pt idx="170">
                  <c:v>33469.199220000002</c:v>
                </c:pt>
                <c:pt idx="171">
                  <c:v>34813.867189999997</c:v>
                </c:pt>
                <c:pt idx="172">
                  <c:v>36910.558590000001</c:v>
                </c:pt>
                <c:pt idx="173">
                  <c:v>37742.15625</c:v>
                </c:pt>
                <c:pt idx="174">
                  <c:v>37846.605470000002</c:v>
                </c:pt>
                <c:pt idx="175">
                  <c:v>38928.339840000001</c:v>
                </c:pt>
                <c:pt idx="176">
                  <c:v>40222.503909999999</c:v>
                </c:pt>
                <c:pt idx="177">
                  <c:v>43733.757810000003</c:v>
                </c:pt>
                <c:pt idx="178">
                  <c:v>43849.269529999998</c:v>
                </c:pt>
                <c:pt idx="179">
                  <c:v>43851.042970000002</c:v>
                </c:pt>
                <c:pt idx="180">
                  <c:v>45195.777340000001</c:v>
                </c:pt>
                <c:pt idx="181">
                  <c:v>45741</c:v>
                </c:pt>
                <c:pt idx="182">
                  <c:v>46754.78125</c:v>
                </c:pt>
                <c:pt idx="183">
                  <c:v>50882.882810000003</c:v>
                </c:pt>
                <c:pt idx="184">
                  <c:v>51269.183590000001</c:v>
                </c:pt>
                <c:pt idx="185">
                  <c:v>53771.300779999998</c:v>
                </c:pt>
                <c:pt idx="186">
                  <c:v>54409.792970000002</c:v>
                </c:pt>
                <c:pt idx="187">
                  <c:v>59308.691409999999</c:v>
                </c:pt>
                <c:pt idx="188">
                  <c:v>59734.214840000001</c:v>
                </c:pt>
                <c:pt idx="189">
                  <c:v>60461.828130000002</c:v>
                </c:pt>
                <c:pt idx="190">
                  <c:v>65273.511720000002</c:v>
                </c:pt>
                <c:pt idx="191">
                  <c:v>67886.007809999996</c:v>
                </c:pt>
                <c:pt idx="192">
                  <c:v>69799.976559999996</c:v>
                </c:pt>
                <c:pt idx="193">
                  <c:v>83783.945309999996</c:v>
                </c:pt>
                <c:pt idx="194">
                  <c:v>83992.953129999994</c:v>
                </c:pt>
                <c:pt idx="195">
                  <c:v>84339.070309999996</c:v>
                </c:pt>
                <c:pt idx="196">
                  <c:v>89561.40625</c:v>
                </c:pt>
                <c:pt idx="197">
                  <c:v>97338.585940000004</c:v>
                </c:pt>
                <c:pt idx="198">
                  <c:v>102334.4063</c:v>
                </c:pt>
                <c:pt idx="199">
                  <c:v>109581.08590000001</c:v>
                </c:pt>
                <c:pt idx="200">
                  <c:v>114963.58590000001</c:v>
                </c:pt>
                <c:pt idx="201">
                  <c:v>126476.46090000001</c:v>
                </c:pt>
                <c:pt idx="202">
                  <c:v>128932.75</c:v>
                </c:pt>
                <c:pt idx="203">
                  <c:v>145934.45310000001</c:v>
                </c:pt>
                <c:pt idx="204">
                  <c:v>164689.39060000001</c:v>
                </c:pt>
                <c:pt idx="205">
                  <c:v>206139.5938</c:v>
                </c:pt>
                <c:pt idx="206">
                  <c:v>212559.4063</c:v>
                </c:pt>
                <c:pt idx="207">
                  <c:v>220892.32810000001</c:v>
                </c:pt>
                <c:pt idx="208">
                  <c:v>273523.625</c:v>
                </c:pt>
                <c:pt idx="209">
                  <c:v>331002.65629999997</c:v>
                </c:pt>
                <c:pt idx="210">
                  <c:v>1380004.375</c:v>
                </c:pt>
                <c:pt idx="211">
                  <c:v>1463140.5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'Estimates-on-the-use-of-water-('!$I:$I</c15:sqref>
                  </c15:fullRef>
                </c:ext>
              </c:extLst>
              <c:f>'Estimates-on-the-use-of-water-('!$I$2:$I$1048576</c:f>
              <c:numCache>
                <c:formatCode>0.00</c:formatCode>
                <c:ptCount val="1048575"/>
                <c:pt idx="0">
                  <c:v>100</c:v>
                </c:pt>
                <c:pt idx="1">
                  <c:v>53.797996519999998</c:v>
                </c:pt>
                <c:pt idx="2">
                  <c:v>21.492004390000005</c:v>
                </c:pt>
                <c:pt idx="3">
                  <c:v>90.885000228999999</c:v>
                </c:pt>
                <c:pt idx="4">
                  <c:v>10.03800201</c:v>
                </c:pt>
                <c:pt idx="5">
                  <c:v>59.917999270000003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35.986000059999995</c:v>
                </c:pt>
                <c:pt idx="10">
                  <c:v>24.504997250000002</c:v>
                </c:pt>
                <c:pt idx="11">
                  <c:v>19.012001040000001</c:v>
                </c:pt>
                <c:pt idx="12">
                  <c:v>51.48500061</c:v>
                </c:pt>
                <c:pt idx="13">
                  <c:v>0</c:v>
                </c:pt>
                <c:pt idx="14">
                  <c:v>2.5009994499999948</c:v>
                </c:pt>
                <c:pt idx="15">
                  <c:v>85.583999629999994</c:v>
                </c:pt>
                <c:pt idx="16">
                  <c:v>0</c:v>
                </c:pt>
                <c:pt idx="17">
                  <c:v>0</c:v>
                </c:pt>
                <c:pt idx="18">
                  <c:v>57.602001190000003</c:v>
                </c:pt>
                <c:pt idx="19">
                  <c:v>12.847000120000004</c:v>
                </c:pt>
                <c:pt idx="20">
                  <c:v>12.717994689999998</c:v>
                </c:pt>
                <c:pt idx="21">
                  <c:v>8.2020034800000019</c:v>
                </c:pt>
                <c:pt idx="22">
                  <c:v>11.427953020000004</c:v>
                </c:pt>
                <c:pt idx="23">
                  <c:v>0</c:v>
                </c:pt>
                <c:pt idx="24">
                  <c:v>12.083999629999994</c:v>
                </c:pt>
                <c:pt idx="25">
                  <c:v>47.10199738</c:v>
                </c:pt>
                <c:pt idx="26">
                  <c:v>4.0609970099999941</c:v>
                </c:pt>
                <c:pt idx="27">
                  <c:v>76.901000979999992</c:v>
                </c:pt>
                <c:pt idx="28">
                  <c:v>44.406002039999997</c:v>
                </c:pt>
                <c:pt idx="29">
                  <c:v>5.0619964600000031</c:v>
                </c:pt>
                <c:pt idx="30">
                  <c:v>81.159000399999996</c:v>
                </c:pt>
                <c:pt idx="31">
                  <c:v>82.111000059999995</c:v>
                </c:pt>
                <c:pt idx="32">
                  <c:v>25.645996089999997</c:v>
                </c:pt>
                <c:pt idx="33">
                  <c:v>54.249000549999998</c:v>
                </c:pt>
                <c:pt idx="34">
                  <c:v>38.024997710000001</c:v>
                </c:pt>
                <c:pt idx="35">
                  <c:v>28.482002260000002</c:v>
                </c:pt>
                <c:pt idx="36">
                  <c:v>68.809000019999999</c:v>
                </c:pt>
                <c:pt idx="37">
                  <c:v>14.180000309999997</c:v>
                </c:pt>
                <c:pt idx="38">
                  <c:v>74.474998470000003</c:v>
                </c:pt>
                <c:pt idx="39">
                  <c:v>6.1020050000000055</c:v>
                </c:pt>
                <c:pt idx="40">
                  <c:v>10.86000061</c:v>
                </c:pt>
                <c:pt idx="41">
                  <c:v>53.974998470000003</c:v>
                </c:pt>
                <c:pt idx="42">
                  <c:v>1.5010070799999937</c:v>
                </c:pt>
                <c:pt idx="43">
                  <c:v>21.749992370000001</c:v>
                </c:pt>
                <c:pt idx="44">
                  <c:v>5.2559966999999972</c:v>
                </c:pt>
                <c:pt idx="45">
                  <c:v>59.331001280000002</c:v>
                </c:pt>
                <c:pt idx="46">
                  <c:v>33.347999569999999</c:v>
                </c:pt>
                <c:pt idx="47">
                  <c:v>33.850997919999998</c:v>
                </c:pt>
                <c:pt idx="48">
                  <c:v>8.5470047000000022</c:v>
                </c:pt>
                <c:pt idx="49">
                  <c:v>32.511993410000002</c:v>
                </c:pt>
                <c:pt idx="50">
                  <c:v>0</c:v>
                </c:pt>
                <c:pt idx="51">
                  <c:v>75.329999920000006</c:v>
                </c:pt>
                <c:pt idx="52">
                  <c:v>57.68400192</c:v>
                </c:pt>
                <c:pt idx="53">
                  <c:v>73.2140007</c:v>
                </c:pt>
                <c:pt idx="54">
                  <c:v>0.3409957899999938</c:v>
                </c:pt>
                <c:pt idx="55">
                  <c:v>42.752994540000003</c:v>
                </c:pt>
                <c:pt idx="56">
                  <c:v>21.938003539999997</c:v>
                </c:pt>
                <c:pt idx="57">
                  <c:v>75.828998569999996</c:v>
                </c:pt>
                <c:pt idx="58">
                  <c:v>33.179000849999994</c:v>
                </c:pt>
                <c:pt idx="59">
                  <c:v>59.240001679999999</c:v>
                </c:pt>
                <c:pt idx="60">
                  <c:v>68.680000309999997</c:v>
                </c:pt>
                <c:pt idx="61">
                  <c:v>30.770996089999997</c:v>
                </c:pt>
                <c:pt idx="62">
                  <c:v>46.7859993</c:v>
                </c:pt>
                <c:pt idx="63">
                  <c:v>10.493995670000004</c:v>
                </c:pt>
                <c:pt idx="64">
                  <c:v>31.684997559999999</c:v>
                </c:pt>
                <c:pt idx="65">
                  <c:v>55.804000850000001</c:v>
                </c:pt>
                <c:pt idx="66">
                  <c:v>44.881996149999999</c:v>
                </c:pt>
                <c:pt idx="67">
                  <c:v>41.518001560000002</c:v>
                </c:pt>
                <c:pt idx="68">
                  <c:v>70.972000120000004</c:v>
                </c:pt>
                <c:pt idx="69">
                  <c:v>9.9079971299999983</c:v>
                </c:pt>
                <c:pt idx="70">
                  <c:v>29.123001099999996</c:v>
                </c:pt>
                <c:pt idx="71">
                  <c:v>37.418003079999998</c:v>
                </c:pt>
                <c:pt idx="72">
                  <c:v>47.966999049999998</c:v>
                </c:pt>
                <c:pt idx="73">
                  <c:v>31.954002380000006</c:v>
                </c:pt>
                <c:pt idx="74">
                  <c:v>6.4189987200000047</c:v>
                </c:pt>
                <c:pt idx="75">
                  <c:v>37.888000490000003</c:v>
                </c:pt>
                <c:pt idx="76">
                  <c:v>0.76499938999999983</c:v>
                </c:pt>
                <c:pt idx="77">
                  <c:v>43.688999180000003</c:v>
                </c:pt>
                <c:pt idx="78">
                  <c:v>36.687000269999999</c:v>
                </c:pt>
                <c:pt idx="79">
                  <c:v>31.343002319999997</c:v>
                </c:pt>
                <c:pt idx="80">
                  <c:v>50.979999540000001</c:v>
                </c:pt>
                <c:pt idx="81">
                  <c:v>4.4850006100000002</c:v>
                </c:pt>
                <c:pt idx="82">
                  <c:v>40.547004700000002</c:v>
                </c:pt>
                <c:pt idx="83">
                  <c:v>57.150997160000003</c:v>
                </c:pt>
                <c:pt idx="84">
                  <c:v>42.447002410000003</c:v>
                </c:pt>
                <c:pt idx="85">
                  <c:v>0</c:v>
                </c:pt>
                <c:pt idx="86">
                  <c:v>31.585998540000006</c:v>
                </c:pt>
                <c:pt idx="87">
                  <c:v>44.673004149999997</c:v>
                </c:pt>
                <c:pt idx="88">
                  <c:v>13.301002499999996</c:v>
                </c:pt>
                <c:pt idx="89">
                  <c:v>57.802001949999998</c:v>
                </c:pt>
                <c:pt idx="90">
                  <c:v>36.347000119999997</c:v>
                </c:pt>
                <c:pt idx="91">
                  <c:v>47.911003110000003</c:v>
                </c:pt>
                <c:pt idx="92">
                  <c:v>19.229003910000003</c:v>
                </c:pt>
                <c:pt idx="93">
                  <c:v>23.281005859999993</c:v>
                </c:pt>
                <c:pt idx="94">
                  <c:v>13.724006650000007</c:v>
                </c:pt>
                <c:pt idx="95">
                  <c:v>17.026008610000005</c:v>
                </c:pt>
                <c:pt idx="96">
                  <c:v>46.240001679999999</c:v>
                </c:pt>
                <c:pt idx="97">
                  <c:v>32.170997619999994</c:v>
                </c:pt>
                <c:pt idx="98">
                  <c:v>14.482994079999997</c:v>
                </c:pt>
                <c:pt idx="99">
                  <c:v>11.883995060000004</c:v>
                </c:pt>
                <c:pt idx="100">
                  <c:v>0</c:v>
                </c:pt>
                <c:pt idx="101">
                  <c:v>47.483997340000002</c:v>
                </c:pt>
                <c:pt idx="102">
                  <c:v>26.555999760000006</c:v>
                </c:pt>
                <c:pt idx="103">
                  <c:v>63.144001009999997</c:v>
                </c:pt>
                <c:pt idx="104">
                  <c:v>40.987998959999999</c:v>
                </c:pt>
                <c:pt idx="105">
                  <c:v>11.075004579999998</c:v>
                </c:pt>
                <c:pt idx="106">
                  <c:v>19.308998110000005</c:v>
                </c:pt>
                <c:pt idx="107">
                  <c:v>24.314002990000006</c:v>
                </c:pt>
                <c:pt idx="108">
                  <c:v>37.817005160000001</c:v>
                </c:pt>
                <c:pt idx="109">
                  <c:v>63.709999080000003</c:v>
                </c:pt>
                <c:pt idx="110">
                  <c:v>0</c:v>
                </c:pt>
                <c:pt idx="111">
                  <c:v>57.076999659999998</c:v>
                </c:pt>
                <c:pt idx="112">
                  <c:v>57.200000760000002</c:v>
                </c:pt>
                <c:pt idx="113">
                  <c:v>26.084999080000003</c:v>
                </c:pt>
                <c:pt idx="114">
                  <c:v>7.4130020099999996</c:v>
                </c:pt>
                <c:pt idx="115">
                  <c:v>43.554000850000001</c:v>
                </c:pt>
                <c:pt idx="116">
                  <c:v>86.65499973</c:v>
                </c:pt>
                <c:pt idx="117">
                  <c:v>41.251998899999997</c:v>
                </c:pt>
                <c:pt idx="118">
                  <c:v>20.516998290000004</c:v>
                </c:pt>
                <c:pt idx="119">
                  <c:v>72.494001389999994</c:v>
                </c:pt>
                <c:pt idx="120">
                  <c:v>28.057998659999996</c:v>
                </c:pt>
                <c:pt idx="121">
                  <c:v>12.952003480000002</c:v>
                </c:pt>
                <c:pt idx="122">
                  <c:v>41.641002659999998</c:v>
                </c:pt>
                <c:pt idx="123">
                  <c:v>12.02300262</c:v>
                </c:pt>
                <c:pt idx="124">
                  <c:v>43.602996830000002</c:v>
                </c:pt>
                <c:pt idx="125">
                  <c:v>33.690002440000001</c:v>
                </c:pt>
                <c:pt idx="126">
                  <c:v>8.5820007300000043</c:v>
                </c:pt>
                <c:pt idx="127">
                  <c:v>20.284996030000002</c:v>
                </c:pt>
                <c:pt idx="128">
                  <c:v>25.938995360000007</c:v>
                </c:pt>
                <c:pt idx="129">
                  <c:v>17.459999080000003</c:v>
                </c:pt>
                <c:pt idx="130">
                  <c:v>79.801000599999995</c:v>
                </c:pt>
                <c:pt idx="131">
                  <c:v>22.805999760000006</c:v>
                </c:pt>
                <c:pt idx="132">
                  <c:v>42.912002559999998</c:v>
                </c:pt>
                <c:pt idx="133">
                  <c:v>1.9210052499999932</c:v>
                </c:pt>
                <c:pt idx="134">
                  <c:v>29.876998900000004</c:v>
                </c:pt>
                <c:pt idx="135">
                  <c:v>30.431999210000001</c:v>
                </c:pt>
                <c:pt idx="136">
                  <c:v>86.291999820000001</c:v>
                </c:pt>
                <c:pt idx="137">
                  <c:v>51.585002899999999</c:v>
                </c:pt>
                <c:pt idx="138">
                  <c:v>82.567998889999998</c:v>
                </c:pt>
                <c:pt idx="139">
                  <c:v>63.125</c:v>
                </c:pt>
                <c:pt idx="140">
                  <c:v>67.757999420000004</c:v>
                </c:pt>
                <c:pt idx="141">
                  <c:v>53.859001159999998</c:v>
                </c:pt>
                <c:pt idx="142">
                  <c:v>76.479999539999994</c:v>
                </c:pt>
                <c:pt idx="143">
                  <c:v>75.767999650000007</c:v>
                </c:pt>
                <c:pt idx="144">
                  <c:v>51.877998349999999</c:v>
                </c:pt>
                <c:pt idx="145">
                  <c:v>7.763999940000005</c:v>
                </c:pt>
                <c:pt idx="146">
                  <c:v>44.524997710000001</c:v>
                </c:pt>
                <c:pt idx="147">
                  <c:v>35.833999629999994</c:v>
                </c:pt>
                <c:pt idx="148">
                  <c:v>48.164001460000001</c:v>
                </c:pt>
                <c:pt idx="149">
                  <c:v>55.3710022</c:v>
                </c:pt>
                <c:pt idx="150">
                  <c:v>42.328998570000003</c:v>
                </c:pt>
                <c:pt idx="151">
                  <c:v>12.27300262</c:v>
                </c:pt>
                <c:pt idx="152">
                  <c:v>82.572999949999996</c:v>
                </c:pt>
                <c:pt idx="153">
                  <c:v>45.805999759999999</c:v>
                </c:pt>
                <c:pt idx="154">
                  <c:v>56.090995790000001</c:v>
                </c:pt>
                <c:pt idx="155">
                  <c:v>69.392999650000007</c:v>
                </c:pt>
                <c:pt idx="156">
                  <c:v>81.287000660000004</c:v>
                </c:pt>
                <c:pt idx="157">
                  <c:v>83.374000550000005</c:v>
                </c:pt>
                <c:pt idx="158">
                  <c:v>13.759002690000003</c:v>
                </c:pt>
                <c:pt idx="159">
                  <c:v>37.618999479999999</c:v>
                </c:pt>
                <c:pt idx="160">
                  <c:v>48.29400253</c:v>
                </c:pt>
                <c:pt idx="161">
                  <c:v>42.439994810000002</c:v>
                </c:pt>
                <c:pt idx="162">
                  <c:v>61.465999600000004</c:v>
                </c:pt>
                <c:pt idx="163">
                  <c:v>11.721000669999995</c:v>
                </c:pt>
                <c:pt idx="164">
                  <c:v>79.423999789999996</c:v>
                </c:pt>
                <c:pt idx="165">
                  <c:v>62.092002870000002</c:v>
                </c:pt>
                <c:pt idx="166">
                  <c:v>42.651000979999999</c:v>
                </c:pt>
                <c:pt idx="167">
                  <c:v>62.926002500000003</c:v>
                </c:pt>
                <c:pt idx="168">
                  <c:v>22.840003969999998</c:v>
                </c:pt>
                <c:pt idx="169">
                  <c:v>33.175003050000001</c:v>
                </c:pt>
                <c:pt idx="170">
                  <c:v>21.702995299999998</c:v>
                </c:pt>
                <c:pt idx="171">
                  <c:v>49.584003449999997</c:v>
                </c:pt>
                <c:pt idx="172">
                  <c:v>15.712997439999995</c:v>
                </c:pt>
                <c:pt idx="173">
                  <c:v>36.468002319999997</c:v>
                </c:pt>
                <c:pt idx="174">
                  <c:v>18.437995909999998</c:v>
                </c:pt>
                <c:pt idx="175">
                  <c:v>39.956996920000002</c:v>
                </c:pt>
                <c:pt idx="176">
                  <c:v>73.974000930000003</c:v>
                </c:pt>
                <c:pt idx="177">
                  <c:v>29.107002260000002</c:v>
                </c:pt>
                <c:pt idx="178">
                  <c:v>30.391998290000004</c:v>
                </c:pt>
                <c:pt idx="179">
                  <c:v>64.747001650000001</c:v>
                </c:pt>
                <c:pt idx="180">
                  <c:v>26.266998290000004</c:v>
                </c:pt>
                <c:pt idx="181">
                  <c:v>7.888999940000005</c:v>
                </c:pt>
                <c:pt idx="182">
                  <c:v>75.045999530000003</c:v>
                </c:pt>
                <c:pt idx="183">
                  <c:v>19.190002440000001</c:v>
                </c:pt>
                <c:pt idx="184">
                  <c:v>18.575004579999998</c:v>
                </c:pt>
                <c:pt idx="185">
                  <c:v>18.585998540000006</c:v>
                </c:pt>
                <c:pt idx="186">
                  <c:v>72.005001069999992</c:v>
                </c:pt>
                <c:pt idx="187">
                  <c:v>68.858999249999997</c:v>
                </c:pt>
                <c:pt idx="188">
                  <c:v>32.645996089999997</c:v>
                </c:pt>
                <c:pt idx="189">
                  <c:v>64.77299880999999</c:v>
                </c:pt>
                <c:pt idx="190">
                  <c:v>28.961006159999997</c:v>
                </c:pt>
                <c:pt idx="191">
                  <c:v>19.025001529999997</c:v>
                </c:pt>
                <c:pt idx="192">
                  <c:v>16.097000120000004</c:v>
                </c:pt>
                <c:pt idx="193">
                  <c:v>48.569999690000003</c:v>
                </c:pt>
                <c:pt idx="194">
                  <c:v>22.546997070000003</c:v>
                </c:pt>
                <c:pt idx="195">
                  <c:v>24.125999449999995</c:v>
                </c:pt>
                <c:pt idx="196">
                  <c:v>23.894996640000002</c:v>
                </c:pt>
                <c:pt idx="197">
                  <c:v>54.361999509999997</c:v>
                </c:pt>
                <c:pt idx="198">
                  <c:v>62.659999849999998</c:v>
                </c:pt>
                <c:pt idx="199">
                  <c:v>57.216999049999998</c:v>
                </c:pt>
                <c:pt idx="200">
                  <c:v>52.592002870000002</c:v>
                </c:pt>
                <c:pt idx="201">
                  <c:v>78.305000309999997</c:v>
                </c:pt>
                <c:pt idx="202">
                  <c:v>8.2180023199999965</c:v>
                </c:pt>
                <c:pt idx="203">
                  <c:v>19.269004820000006</c:v>
                </c:pt>
                <c:pt idx="204">
                  <c:v>25.245994569999993</c:v>
                </c:pt>
                <c:pt idx="205">
                  <c:v>61.822998050000002</c:v>
                </c:pt>
                <c:pt idx="206">
                  <c:v>48.041999820000001</c:v>
                </c:pt>
                <c:pt idx="207">
                  <c:v>12.927001950000005</c:v>
                </c:pt>
                <c:pt idx="208">
                  <c:v>62.834999080000003</c:v>
                </c:pt>
                <c:pt idx="209">
                  <c:v>43.359001159999998</c:v>
                </c:pt>
                <c:pt idx="210">
                  <c:v>17.335998540000006</c:v>
                </c:pt>
                <c:pt idx="211">
                  <c:v>65.07399749999999</c:v>
                </c:pt>
                <c:pt idx="212">
                  <c:v>38.286911009999997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2-4F8F-9765-5382B3553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131760"/>
        <c:axId val="1400106320"/>
      </c:lineChart>
      <c:catAx>
        <c:axId val="140013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00106320"/>
        <c:crosses val="autoZero"/>
        <c:auto val="1"/>
        <c:lblAlgn val="ctr"/>
        <c:lblOffset val="100"/>
        <c:noMultiLvlLbl val="0"/>
      </c:catAx>
      <c:valAx>
        <c:axId val="140010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0013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6</xdr:row>
      <xdr:rowOff>147637</xdr:rowOff>
    </xdr:from>
    <xdr:to>
      <xdr:col>6</xdr:col>
      <xdr:colOff>247650</xdr:colOff>
      <xdr:row>21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8BCBC-9A85-868C-F284-1C30F8549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6</xdr:row>
      <xdr:rowOff>47625</xdr:rowOff>
    </xdr:from>
    <xdr:to>
      <xdr:col>6</xdr:col>
      <xdr:colOff>28575</xdr:colOff>
      <xdr:row>26</xdr:row>
      <xdr:rowOff>35098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34F378-2C4A-8BA5-16E7-26CC94957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" y="1190625"/>
          <a:ext cx="7772400" cy="379747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Ndegwa" refreshedDate="46054.976945486109" createdVersion="8" refreshedVersion="8" minRefreshableVersion="3" recordCount="1" xr:uid="{15E0823D-B1F2-4B86-A260-4E93B98487C1}">
  <cacheSource type="worksheet">
    <worksheetSource ref="G19:M20" sheet="Global 2020 Report"/>
  </cacheSource>
  <cacheFields count="7">
    <cacheField name="total population" numFmtId="3">
      <sharedItems containsSemiMixedTypes="0" containsString="0" containsNumber="1" minValue="7786713707.7420797" maxValue="7786713707.7420797"/>
    </cacheField>
    <cacheField name="urban poulation" numFmtId="4">
      <sharedItems containsSemiMixedTypes="0" containsString="0" containsNumber="1" minValue="4375331316.904953" maxValue="4375331316.904953"/>
    </cacheField>
    <cacheField name="rural population" numFmtId="4">
      <sharedItems containsSemiMixedTypes="0" containsString="0" containsNumber="1" minValue="3411382390.8371267" maxValue="3411382390.8371267"/>
    </cacheField>
    <cacheField name="urban percentage" numFmtId="0">
      <sharedItems containsSemiMixedTypes="0" containsString="0" containsNumber="1" minValue="0.56189703142093195" maxValue="0.56189703142093195"/>
    </cacheField>
    <cacheField name="rural percentage" numFmtId="0">
      <sharedItems containsSemiMixedTypes="0" containsString="0" containsNumber="1" minValue="0.43810296857906805" maxValue="0.43810296857906805"/>
    </cacheField>
    <cacheField name="pop u difference" numFmtId="4">
      <sharedItems containsSemiMixedTypes="0" containsString="0" containsNumber="1" minValue="3411382390.8371267" maxValue="3411382390.8371267"/>
    </cacheField>
    <cacheField name="percentage difference" numFmtId="0">
      <sharedItems containsSemiMixedTypes="0" containsString="0" containsNumber="1" minValue="56.098828509905665" maxValue="56.098828509905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7786713707.7420797"/>
    <n v="4375331316.904953"/>
    <n v="3411382390.8371267"/>
    <n v="0.56189703142093195"/>
    <n v="0.43810296857906805"/>
    <n v="3411382390.8371267"/>
    <n v="56.0988285099056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996E5-0464-4C20-B33B-87DACCB58F4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" firstHeaderRow="0" firstDataRow="1" firstDataCol="0"/>
  <pivotFields count="7">
    <pivotField dataField="1" numFmtId="3" showAll="0"/>
    <pivotField dataField="1" numFmtId="4" showAll="0"/>
    <pivotField dataField="1" numFmtId="4" showAll="0"/>
    <pivotField dataField="1" showAll="0"/>
    <pivotField dataField="1" showAll="0"/>
    <pivotField dataField="1" numFmtId="4" showAll="0"/>
    <pivotField dataField="1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population" fld="0" baseField="0" baseItem="0" numFmtId="3"/>
    <dataField name="Sum of urban poulation" fld="1" baseField="0" baseItem="0" numFmtId="4"/>
    <dataField name="Sum of rural population" fld="2" baseField="0" baseItem="0" numFmtId="4"/>
    <dataField name="Sum of urban percentage" fld="3" baseField="0" baseItem="0"/>
    <dataField name="Sum of rural percentage" fld="4" baseField="0" baseItem="0"/>
    <dataField name="Sum of pop u difference" fld="5" baseField="0" baseItem="0" numFmtId="4"/>
    <dataField name="Sum of percentage differen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0D05A9-58C8-44CE-9A04-069D9262EEE6}" autoFormatId="16" applyNumberFormats="0" applyBorderFormats="0" applyFontFormats="0" applyPatternFormats="0" applyAlignmentFormats="0" applyWidthHeightFormats="0">
  <queryTableRefresh nextId="27" unboundColumnsRight="2">
    <queryTableFields count="23">
      <queryTableField id="1" name="name;income_group;pop_n;pop_u;wat_bas_n;wat_lim_n;wat_unimp_n;wat_sur_n;wat_bas_r;wat_lim_r;wat_unimp_r;wat_sur_r;wat_bas_u;wat_lim_u;wat_unimp_u;wat_sur_u" tableColumnId="1"/>
      <queryTableField id="2" name="Column1" tableColumnId="2"/>
      <queryTableField id="3" name="_1" tableColumnId="3"/>
      <queryTableField id="20" dataBound="0" tableColumnId="20"/>
      <queryTableField id="4" name="_2" tableColumnId="4"/>
      <queryTableField id="19" dataBound="0" tableColumnId="19"/>
      <queryTableField id="22" dataBound="0" tableColumnId="22"/>
      <queryTableField id="21" dataBound="0" tableColumnId="21"/>
      <queryTableField id="25" dataBound="0" tableColumnId="25"/>
      <queryTableField id="5" name="_3" tableColumnId="5"/>
      <queryTableField id="6" name="_4" tableColumnId="6"/>
      <queryTableField id="7" name="_5" tableColumnId="7"/>
      <queryTableField id="8" name="_6" tableColumnId="8"/>
      <queryTableField id="9" name="_7" tableColumnId="9"/>
      <queryTableField id="10" name="_8" tableColumnId="10"/>
      <queryTableField id="11" name="_9" tableColumnId="11"/>
      <queryTableField id="12" name="_10" tableColumnId="12"/>
      <queryTableField id="13" name="_11" tableColumnId="13"/>
      <queryTableField id="14" name="_12" tableColumnId="14"/>
      <queryTableField id="15" name="_13" tableColumnId="15"/>
      <queryTableField id="16" name="_14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B53AB-329D-411E-A1A9-C1C473BB821B}" name="Estimates_on_the_use_of_water__2020__a_3712" displayName="Estimates_on_the_use_of_water__2020__a_3712" ref="A1:W214" tableType="queryTable" totalsRowShown="0">
  <autoFilter ref="A1:W214" xr:uid="{110B53AB-329D-411E-A1A9-C1C473BB821B}"/>
  <tableColumns count="23">
    <tableColumn id="1" xr3:uid="{E1F82FF6-015C-4A56-A2D7-1CEDFDE8D897}" uniqueName="1" name="name" queryTableFieldId="1" dataDxfId="21"/>
    <tableColumn id="2" xr3:uid="{5E4A201F-4E59-46B1-B149-B246D997B83F}" uniqueName="2" name="income_group" queryTableFieldId="2" dataDxfId="20"/>
    <tableColumn id="3" xr3:uid="{D4018DF3-5D6D-4AD6-8F09-5FF41350F979}" uniqueName="3" name="pop_n" queryTableFieldId="3"/>
    <tableColumn id="20" xr3:uid="{59867D61-F16D-426F-9A46-293735262C81}" uniqueName="20" name="pop_n_k" queryTableFieldId="20" dataDxfId="19">
      <calculatedColumnFormula>Estimates_on_the_use_of_water__2020__a_3712[[#This Row],[pop_n]]*1000</calculatedColumnFormula>
    </tableColumn>
    <tableColumn id="4" xr3:uid="{2BD7B798-0FE3-4F42-B981-1F2B75B8E0E6}" uniqueName="4" name="pop_u" queryTableFieldId="4" dataDxfId="18"/>
    <tableColumn id="19" xr3:uid="{77362953-FAB2-4630-B974-E4FA3D877FDA}" uniqueName="19" name="pop_u_percent" queryTableFieldId="19" dataDxfId="17"/>
    <tableColumn id="22" xr3:uid="{AB46051D-C76F-4D64-A25E-01E150927E83}" uniqueName="22" name="pop_u_val" queryTableFieldId="22" dataDxfId="16"/>
    <tableColumn id="21" xr3:uid="{534427A3-FAAD-4DE1-8978-D0DBD586547C}" uniqueName="21" name="pop_u_val_%" queryTableFieldId="21" dataDxfId="15"/>
    <tableColumn id="25" xr3:uid="{8D41C0BE-085C-4D72-9856-09399EA322EC}" uniqueName="25" name="pop_r" queryTableFieldId="25" dataDxfId="14"/>
    <tableColumn id="5" xr3:uid="{34729D1C-0834-4589-A06C-A238F2C6BADB}" uniqueName="5" name="wat_bas_n" queryTableFieldId="5" dataDxfId="13"/>
    <tableColumn id="6" xr3:uid="{DBAB192C-596B-4468-A9ED-75527C18CA46}" uniqueName="6" name="wat_lim_n" queryTableFieldId="6" dataDxfId="12"/>
    <tableColumn id="7" xr3:uid="{820FD6E2-A33E-4EF4-98FB-B8BC00CDEF85}" uniqueName="7" name="wat_unimp_n" queryTableFieldId="7" dataDxfId="11"/>
    <tableColumn id="8" xr3:uid="{D9EE3173-B549-48AD-A539-1B52D170E53F}" uniqueName="8" name="wat_sur_n" queryTableFieldId="8" dataDxfId="10"/>
    <tableColumn id="9" xr3:uid="{57A27263-D9F3-4CFD-90A5-4E3B4E2F0101}" uniqueName="9" name="wat_bas_r" queryTableFieldId="9" dataDxfId="9"/>
    <tableColumn id="10" xr3:uid="{74D3AE7C-9EFA-4C8E-80FD-2B0839519C98}" uniqueName="10" name="wat_lim_r" queryTableFieldId="10" dataDxfId="8"/>
    <tableColumn id="11" xr3:uid="{3A7DF174-5852-4808-84D6-CE4A578DDADF}" uniqueName="11" name="wat_unimp_r" queryTableFieldId="11" dataDxfId="7"/>
    <tableColumn id="12" xr3:uid="{63D78D01-1651-4B8F-841A-6A3D15465778}" uniqueName="12" name="wat_sur_r" queryTableFieldId="12" dataDxfId="6"/>
    <tableColumn id="13" xr3:uid="{CC7CCCC3-219F-4CD0-958D-48B6F1F59709}" uniqueName="13" name="wat_bas_u" queryTableFieldId="13" dataDxfId="5"/>
    <tableColumn id="14" xr3:uid="{AD351ABB-BB18-4B33-83CD-20CF2B80E817}" uniqueName="14" name="wat_lim_u" queryTableFieldId="14" dataDxfId="4"/>
    <tableColumn id="15" xr3:uid="{5AD32247-B1D1-44F7-A876-794FDF949492}" uniqueName="15" name="wat_unimp_u" queryTableFieldId="15" dataDxfId="3"/>
    <tableColumn id="16" xr3:uid="{A562FFEA-8F51-497D-A4AE-2E8F98A7F5D1}" uniqueName="16" name="wat_sur_u" queryTableFieldId="16" dataDxfId="2"/>
    <tableColumn id="17" xr3:uid="{DF501FDB-C3E0-4D0F-8FCD-5B68E4A8F9CC}" uniqueName="17" name="value_cnta" queryTableFieldId="17" dataDxfId="1">
      <calculatedColumnFormula>COUNTA(Estimates_on_the_use_of_water__2020__a_3712[[#This Row],[name]:[wat_sur_u]])</calculatedColumnFormula>
    </tableColumn>
    <tableColumn id="18" xr3:uid="{C73F9EB3-394C-4124-8860-469045B36FA7}" uniqueName="18" name="value_cnt" queryTableFieldId="18" dataDxfId="0">
      <calculatedColumnFormula>COUNT(Estimates_on_the_use_of_water__2020__a_3712[[#This Row],[name]:[wat_sur_u]])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6CCC-9B3F-453B-9D85-847A92669B4B}">
  <dimension ref="A1:W214"/>
  <sheetViews>
    <sheetView topLeftCell="A187" workbookViewId="0">
      <selection activeCell="G212" sqref="G212"/>
    </sheetView>
  </sheetViews>
  <sheetFormatPr defaultRowHeight="15" x14ac:dyDescent="0.25"/>
  <cols>
    <col min="1" max="1" width="35.7109375" bestFit="1" customWidth="1"/>
    <col min="2" max="2" width="31.7109375" bestFit="1" customWidth="1"/>
    <col min="3" max="3" width="12" bestFit="1" customWidth="1"/>
    <col min="4" max="4" width="15.7109375" bestFit="1" customWidth="1"/>
    <col min="5" max="5" width="23.140625" style="2" bestFit="1" customWidth="1"/>
    <col min="6" max="6" width="23.140625" style="1" customWidth="1"/>
    <col min="7" max="7" width="23.140625" style="2" customWidth="1"/>
    <col min="8" max="8" width="23.140625" style="1" customWidth="1"/>
    <col min="9" max="9" width="11.5703125" style="2" bestFit="1" customWidth="1"/>
    <col min="10" max="10" width="14.7109375" bestFit="1" customWidth="1"/>
    <col min="11" max="11" width="22.140625" bestFit="1" customWidth="1"/>
    <col min="12" max="12" width="14.7109375" bestFit="1" customWidth="1"/>
    <col min="13" max="13" width="11.5703125" bestFit="1" customWidth="1"/>
    <col min="14" max="14" width="14.7109375" bestFit="1" customWidth="1"/>
    <col min="15" max="15" width="14.28515625" bestFit="1" customWidth="1"/>
    <col min="16" max="16" width="23.140625" bestFit="1" customWidth="1"/>
    <col min="17" max="17" width="11.5703125" bestFit="1" customWidth="1"/>
    <col min="18" max="18" width="13.7109375" bestFit="1" customWidth="1"/>
    <col min="19" max="19" width="15.7109375" bestFit="1" customWidth="1"/>
    <col min="20" max="20" width="14.7109375" bestFit="1" customWidth="1"/>
    <col min="21" max="21" width="12.140625" customWidth="1"/>
    <col min="22" max="22" width="12.42578125" customWidth="1"/>
  </cols>
  <sheetData>
    <row r="1" spans="1:23" x14ac:dyDescent="0.25">
      <c r="A1" t="s">
        <v>1860</v>
      </c>
      <c r="B1" t="s">
        <v>1861</v>
      </c>
      <c r="C1" t="s">
        <v>1862</v>
      </c>
      <c r="D1" t="s">
        <v>1883</v>
      </c>
      <c r="E1" s="2" t="s">
        <v>1863</v>
      </c>
      <c r="F1" s="1" t="s">
        <v>1882</v>
      </c>
      <c r="G1" s="2" t="s">
        <v>1880</v>
      </c>
      <c r="H1" s="1" t="s">
        <v>1881</v>
      </c>
      <c r="I1" s="2" t="s">
        <v>1907</v>
      </c>
      <c r="J1" t="s">
        <v>1864</v>
      </c>
      <c r="K1" t="s">
        <v>1865</v>
      </c>
      <c r="L1" t="s">
        <v>1866</v>
      </c>
      <c r="M1" t="s">
        <v>1867</v>
      </c>
      <c r="N1" t="s">
        <v>1868</v>
      </c>
      <c r="O1" t="s">
        <v>1869</v>
      </c>
      <c r="P1" t="s">
        <v>1870</v>
      </c>
      <c r="Q1" t="s">
        <v>1871</v>
      </c>
      <c r="R1" t="s">
        <v>1872</v>
      </c>
      <c r="S1" t="s">
        <v>1873</v>
      </c>
      <c r="T1" t="s">
        <v>1874</v>
      </c>
      <c r="U1" t="s">
        <v>1875</v>
      </c>
      <c r="V1" t="s">
        <v>1877</v>
      </c>
      <c r="W1" t="s">
        <v>1876</v>
      </c>
    </row>
    <row r="2" spans="1:23" x14ac:dyDescent="0.25">
      <c r="A2" t="s">
        <v>0</v>
      </c>
      <c r="B2" t="s">
        <v>1</v>
      </c>
      <c r="C2">
        <v>1.3500000240000001</v>
      </c>
      <c r="D2" s="3">
        <f>Estimates_on_the_use_of_water__2020__a_3712[[#This Row],[pop_n]]*1000</f>
        <v>1350.0000240000002</v>
      </c>
      <c r="E2" s="9" t="s">
        <v>2</v>
      </c>
      <c r="F2" s="1">
        <v>0</v>
      </c>
      <c r="G2" s="2">
        <v>0</v>
      </c>
      <c r="H2" s="1">
        <v>0</v>
      </c>
      <c r="I2" s="2">
        <v>100</v>
      </c>
      <c r="J2" t="s">
        <v>3</v>
      </c>
      <c r="K2" t="s">
        <v>2</v>
      </c>
      <c r="L2" t="s">
        <v>4</v>
      </c>
      <c r="M2" t="s">
        <v>2</v>
      </c>
      <c r="N2" t="s">
        <v>3</v>
      </c>
      <c r="O2" t="s">
        <v>2</v>
      </c>
      <c r="P2" t="s">
        <v>4</v>
      </c>
      <c r="Q2" t="s">
        <v>2</v>
      </c>
      <c r="R2" t="s">
        <v>1</v>
      </c>
      <c r="S2" t="s">
        <v>1</v>
      </c>
      <c r="T2" t="s">
        <v>1</v>
      </c>
      <c r="U2" t="s">
        <v>1</v>
      </c>
      <c r="V2">
        <f>COUNTA(Estimates_on_the_use_of_water__2020__a_3712[[#This Row],[name]:[wat_sur_u]])</f>
        <v>21</v>
      </c>
      <c r="W2">
        <f>COUNT(Estimates_on_the_use_of_water__2020__a_3712[[#This Row],[name]:[wat_sur_u]])</f>
        <v>6</v>
      </c>
    </row>
    <row r="3" spans="1:23" x14ac:dyDescent="0.25">
      <c r="A3" t="s">
        <v>5</v>
      </c>
      <c r="B3" t="s">
        <v>1</v>
      </c>
      <c r="C3">
        <v>1.618000031</v>
      </c>
      <c r="D3" s="3">
        <f>Estimates_on_the_use_of_water__2020__a_3712[[#This Row],[pop_n]]*1000</f>
        <v>1618.000031</v>
      </c>
      <c r="E3" s="9" t="s">
        <v>6</v>
      </c>
      <c r="F3" s="1">
        <v>0.46202003480000003</v>
      </c>
      <c r="G3" s="2">
        <v>747.54843062902114</v>
      </c>
      <c r="H3" s="1">
        <v>0.7475484306290211</v>
      </c>
      <c r="I3" s="2">
        <v>53.797996519999998</v>
      </c>
      <c r="J3" t="s">
        <v>7</v>
      </c>
      <c r="K3" t="s">
        <v>2</v>
      </c>
      <c r="L3" t="s">
        <v>8</v>
      </c>
      <c r="M3" t="s">
        <v>2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>
        <f>COUNTA(Estimates_on_the_use_of_water__2020__a_3712[[#This Row],[name]:[wat_sur_u]])</f>
        <v>21</v>
      </c>
      <c r="W3">
        <f>COUNT(Estimates_on_the_use_of_water__2020__a_3712[[#This Row],[name]:[wat_sur_u]])</f>
        <v>6</v>
      </c>
    </row>
    <row r="4" spans="1:23" x14ac:dyDescent="0.25">
      <c r="A4" t="s">
        <v>9</v>
      </c>
      <c r="B4" t="s">
        <v>1</v>
      </c>
      <c r="C4">
        <v>3.4830000399999999</v>
      </c>
      <c r="D4" s="3">
        <f>Estimates_on_the_use_of_water__2020__a_3712[[#This Row],[pop_n]]*1000</f>
        <v>3483.0000399999999</v>
      </c>
      <c r="E4" s="9" t="s">
        <v>10</v>
      </c>
      <c r="F4" s="1">
        <v>0.78507995609999992</v>
      </c>
      <c r="G4" s="2">
        <v>2734.4335184994979</v>
      </c>
      <c r="H4" s="1">
        <v>2.7344335184994977</v>
      </c>
      <c r="I4" s="2">
        <v>21.492004390000005</v>
      </c>
      <c r="J4" t="s">
        <v>11</v>
      </c>
      <c r="K4" t="s">
        <v>2</v>
      </c>
      <c r="L4" t="s">
        <v>12</v>
      </c>
      <c r="M4" t="s">
        <v>2</v>
      </c>
      <c r="N4" t="s">
        <v>13</v>
      </c>
      <c r="O4" t="s">
        <v>2</v>
      </c>
      <c r="P4" t="s">
        <v>14</v>
      </c>
      <c r="Q4" t="s">
        <v>2</v>
      </c>
      <c r="R4" t="s">
        <v>15</v>
      </c>
      <c r="S4" t="s">
        <v>2</v>
      </c>
      <c r="T4" t="s">
        <v>2</v>
      </c>
      <c r="U4" t="s">
        <v>2</v>
      </c>
      <c r="V4">
        <f>COUNTA(Estimates_on_the_use_of_water__2020__a_3712[[#This Row],[name]:[wat_sur_u]])</f>
        <v>21</v>
      </c>
      <c r="W4">
        <f>COUNT(Estimates_on_the_use_of_water__2020__a_3712[[#This Row],[name]:[wat_sur_u]])</f>
        <v>6</v>
      </c>
    </row>
    <row r="5" spans="1:23" x14ac:dyDescent="0.25">
      <c r="A5" t="s">
        <v>16</v>
      </c>
      <c r="B5" t="s">
        <v>1</v>
      </c>
      <c r="C5">
        <v>4.9990000720000003</v>
      </c>
      <c r="D5" s="3">
        <f>Estimates_on_the_use_of_water__2020__a_3712[[#This Row],[pop_n]]*1000</f>
        <v>4999.0000720000007</v>
      </c>
      <c r="E5" s="9" t="s">
        <v>17</v>
      </c>
      <c r="F5" s="1">
        <v>9.1149997710000014E-2</v>
      </c>
      <c r="G5" s="2">
        <v>455.65884511508995</v>
      </c>
      <c r="H5" s="1">
        <v>0.45565884511508992</v>
      </c>
      <c r="I5" s="2">
        <v>90.885000228999999</v>
      </c>
      <c r="J5" t="s">
        <v>18</v>
      </c>
      <c r="K5" t="s">
        <v>2</v>
      </c>
      <c r="L5" t="s">
        <v>19</v>
      </c>
      <c r="M5" t="s">
        <v>2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>
        <f>COUNTA(Estimates_on_the_use_of_water__2020__a_3712[[#This Row],[name]:[wat_sur_u]])</f>
        <v>21</v>
      </c>
      <c r="W5">
        <f>COUNT(Estimates_on_the_use_of_water__2020__a_3712[[#This Row],[name]:[wat_sur_u]])</f>
        <v>6</v>
      </c>
    </row>
    <row r="6" spans="1:23" x14ac:dyDescent="0.25">
      <c r="A6" t="s">
        <v>20</v>
      </c>
      <c r="B6" t="s">
        <v>1</v>
      </c>
      <c r="C6">
        <v>5.795000076</v>
      </c>
      <c r="D6" s="3">
        <f>Estimates_on_the_use_of_water__2020__a_3712[[#This Row],[pop_n]]*1000</f>
        <v>5795.0000760000003</v>
      </c>
      <c r="E6" s="9" t="s">
        <v>21</v>
      </c>
      <c r="F6" s="1">
        <v>0.89961997989999998</v>
      </c>
      <c r="G6" s="2">
        <v>5213.2978518916188</v>
      </c>
      <c r="H6" s="1">
        <v>5.2132978518916184</v>
      </c>
      <c r="I6" s="2">
        <v>10.03800201</v>
      </c>
      <c r="J6" t="s">
        <v>22</v>
      </c>
      <c r="K6" t="s">
        <v>2</v>
      </c>
      <c r="L6" t="s">
        <v>23</v>
      </c>
      <c r="M6" t="s">
        <v>2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>
        <f>COUNTA(Estimates_on_the_use_of_water__2020__a_3712[[#This Row],[name]:[wat_sur_u]])</f>
        <v>21</v>
      </c>
      <c r="W6">
        <f>COUNT(Estimates_on_the_use_of_water__2020__a_3712[[#This Row],[name]:[wat_sur_u]])</f>
        <v>6</v>
      </c>
    </row>
    <row r="7" spans="1:23" x14ac:dyDescent="0.25">
      <c r="A7" t="s">
        <v>24</v>
      </c>
      <c r="B7" t="s">
        <v>1</v>
      </c>
      <c r="C7">
        <v>6.0710000989999999</v>
      </c>
      <c r="D7" s="3">
        <f>Estimates_on_the_use_of_water__2020__a_3712[[#This Row],[pop_n]]*1000</f>
        <v>6071.0000989999999</v>
      </c>
      <c r="E7" s="9" t="s">
        <v>25</v>
      </c>
      <c r="F7" s="1">
        <v>0.40082000729999995</v>
      </c>
      <c r="G7" s="2">
        <v>2433.3783039994805</v>
      </c>
      <c r="H7" s="1">
        <v>2.4333783039994805</v>
      </c>
      <c r="I7" s="2">
        <v>59.917999270000003</v>
      </c>
      <c r="J7" t="s">
        <v>26</v>
      </c>
      <c r="K7" t="s">
        <v>2</v>
      </c>
      <c r="L7" t="s">
        <v>27</v>
      </c>
      <c r="M7" t="s">
        <v>2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>
        <f>COUNTA(Estimates_on_the_use_of_water__2020__a_3712[[#This Row],[name]:[wat_sur_u]])</f>
        <v>21</v>
      </c>
      <c r="W7">
        <f>COUNT(Estimates_on_the_use_of_water__2020__a_3712[[#This Row],[name]:[wat_sur_u]])</f>
        <v>6</v>
      </c>
    </row>
    <row r="8" spans="1:23" x14ac:dyDescent="0.25">
      <c r="A8" t="s">
        <v>28</v>
      </c>
      <c r="B8" t="s">
        <v>1</v>
      </c>
      <c r="C8">
        <v>9.8849999999999998</v>
      </c>
      <c r="D8" s="3">
        <f>Estimates_on_the_use_of_water__2020__a_3712[[#This Row],[pop_n]]*1000</f>
        <v>9885</v>
      </c>
      <c r="E8" s="9" t="s">
        <v>15</v>
      </c>
      <c r="F8" s="1">
        <v>1</v>
      </c>
      <c r="G8" s="2">
        <v>9885</v>
      </c>
      <c r="H8" s="1">
        <v>9.8849999999999998</v>
      </c>
      <c r="I8" s="2">
        <v>0</v>
      </c>
      <c r="J8" t="s">
        <v>15</v>
      </c>
      <c r="K8" t="s">
        <v>2</v>
      </c>
      <c r="L8" t="s">
        <v>2</v>
      </c>
      <c r="M8" t="s">
        <v>2</v>
      </c>
      <c r="N8" t="s">
        <v>1</v>
      </c>
      <c r="O8" t="s">
        <v>1</v>
      </c>
      <c r="P8" t="s">
        <v>1</v>
      </c>
      <c r="Q8" t="s">
        <v>1</v>
      </c>
      <c r="R8" t="s">
        <v>15</v>
      </c>
      <c r="S8" t="s">
        <v>2</v>
      </c>
      <c r="T8" t="s">
        <v>2</v>
      </c>
      <c r="U8" t="s">
        <v>2</v>
      </c>
      <c r="V8">
        <f>COUNTA(Estimates_on_the_use_of_water__2020__a_3712[[#This Row],[name]:[wat_sur_u]])</f>
        <v>21</v>
      </c>
      <c r="W8">
        <f>COUNT(Estimates_on_the_use_of_water__2020__a_3712[[#This Row],[name]:[wat_sur_u]])</f>
        <v>6</v>
      </c>
    </row>
    <row r="9" spans="1:23" x14ac:dyDescent="0.25">
      <c r="A9" t="s">
        <v>29</v>
      </c>
      <c r="B9" t="s">
        <v>30</v>
      </c>
      <c r="C9">
        <v>10.833999629999999</v>
      </c>
      <c r="D9" s="3">
        <f>Estimates_on_the_use_of_water__2020__a_3712[[#This Row],[pop_n]]*1000</f>
        <v>10833.999629999998</v>
      </c>
      <c r="E9" s="9" t="s">
        <v>15</v>
      </c>
      <c r="F9" s="1">
        <v>1</v>
      </c>
      <c r="G9" s="2">
        <v>10833.999629999998</v>
      </c>
      <c r="H9" s="1">
        <v>10.833999629999999</v>
      </c>
      <c r="I9" s="2">
        <v>0</v>
      </c>
      <c r="J9" t="s">
        <v>15</v>
      </c>
      <c r="K9" t="s">
        <v>2</v>
      </c>
      <c r="L9" t="s">
        <v>2</v>
      </c>
      <c r="M9" t="s">
        <v>2</v>
      </c>
      <c r="N9" t="s">
        <v>1</v>
      </c>
      <c r="O9" t="s">
        <v>1</v>
      </c>
      <c r="P9" t="s">
        <v>1</v>
      </c>
      <c r="Q9" t="s">
        <v>1</v>
      </c>
      <c r="R9" t="s">
        <v>15</v>
      </c>
      <c r="S9" t="s">
        <v>2</v>
      </c>
      <c r="T9" t="s">
        <v>2</v>
      </c>
      <c r="U9" t="s">
        <v>2</v>
      </c>
      <c r="V9">
        <f>COUNTA(Estimates_on_the_use_of_water__2020__a_3712[[#This Row],[name]:[wat_sur_u]])</f>
        <v>21</v>
      </c>
      <c r="W9">
        <f>COUNT(Estimates_on_the_use_of_water__2020__a_3712[[#This Row],[name]:[wat_sur_u]])</f>
        <v>6</v>
      </c>
    </row>
    <row r="10" spans="1:23" x14ac:dyDescent="0.25">
      <c r="A10" t="s">
        <v>31</v>
      </c>
      <c r="B10" t="s">
        <v>1</v>
      </c>
      <c r="C10">
        <v>11.24600029</v>
      </c>
      <c r="D10" s="3">
        <f>Estimates_on_the_use_of_water__2020__a_3712[[#This Row],[pop_n]]*1000</f>
        <v>11246.00029</v>
      </c>
      <c r="E10" s="9" t="s">
        <v>2</v>
      </c>
      <c r="F10" s="1">
        <v>0</v>
      </c>
      <c r="G10" s="2">
        <v>0</v>
      </c>
      <c r="H10" s="1">
        <v>0</v>
      </c>
      <c r="I10" s="2">
        <v>100</v>
      </c>
      <c r="J10" t="s">
        <v>32</v>
      </c>
      <c r="K10" t="s">
        <v>2</v>
      </c>
      <c r="L10" t="s">
        <v>33</v>
      </c>
      <c r="M10" t="s">
        <v>2</v>
      </c>
      <c r="N10" t="s">
        <v>32</v>
      </c>
      <c r="O10" t="s">
        <v>2</v>
      </c>
      <c r="P10" t="s">
        <v>33</v>
      </c>
      <c r="Q10" t="s">
        <v>2</v>
      </c>
      <c r="R10" t="s">
        <v>1</v>
      </c>
      <c r="S10" t="s">
        <v>1</v>
      </c>
      <c r="T10" t="s">
        <v>1</v>
      </c>
      <c r="U10" t="s">
        <v>1</v>
      </c>
      <c r="V10">
        <f>COUNTA(Estimates_on_the_use_of_water__2020__a_3712[[#This Row],[name]:[wat_sur_u]])</f>
        <v>21</v>
      </c>
      <c r="W10">
        <f>COUNT(Estimates_on_the_use_of_water__2020__a_3712[[#This Row],[name]:[wat_sur_u]])</f>
        <v>6</v>
      </c>
    </row>
    <row r="11" spans="1:23" x14ac:dyDescent="0.25">
      <c r="A11" t="s">
        <v>34</v>
      </c>
      <c r="B11" t="s">
        <v>35</v>
      </c>
      <c r="C11">
        <v>11.791999819999999</v>
      </c>
      <c r="D11" s="3">
        <f>Estimates_on_the_use_of_water__2020__a_3712[[#This Row],[pop_n]]*1000</f>
        <v>11791.999819999999</v>
      </c>
      <c r="E11" s="9" t="s">
        <v>36</v>
      </c>
      <c r="F11" s="1">
        <v>0.6401399994000001</v>
      </c>
      <c r="G11" s="2">
        <v>7548.5307576996011</v>
      </c>
      <c r="H11" s="1">
        <v>7.5485307576996004</v>
      </c>
      <c r="I11" s="2">
        <v>35.986000059999995</v>
      </c>
      <c r="J11" t="s">
        <v>15</v>
      </c>
      <c r="K11" t="s">
        <v>2</v>
      </c>
      <c r="L11" t="s">
        <v>2</v>
      </c>
      <c r="M11" t="s">
        <v>2</v>
      </c>
      <c r="N11" t="s">
        <v>15</v>
      </c>
      <c r="O11" t="s">
        <v>2</v>
      </c>
      <c r="P11" t="s">
        <v>2</v>
      </c>
      <c r="Q11" t="s">
        <v>2</v>
      </c>
      <c r="R11" t="s">
        <v>15</v>
      </c>
      <c r="S11" t="s">
        <v>2</v>
      </c>
      <c r="T11" t="s">
        <v>2</v>
      </c>
      <c r="U11" t="s">
        <v>2</v>
      </c>
      <c r="V11">
        <f>COUNTA(Estimates_on_the_use_of_water__2020__a_3712[[#This Row],[name]:[wat_sur_u]])</f>
        <v>21</v>
      </c>
      <c r="W11">
        <f>COUNT(Estimates_on_the_use_of_water__2020__a_3712[[#This Row],[name]:[wat_sur_u]])</f>
        <v>6</v>
      </c>
    </row>
    <row r="12" spans="1:23" x14ac:dyDescent="0.25">
      <c r="A12" t="s">
        <v>37</v>
      </c>
      <c r="B12" t="s">
        <v>1</v>
      </c>
      <c r="C12">
        <v>17.56399918</v>
      </c>
      <c r="D12" s="3">
        <f>Estimates_on_the_use_of_water__2020__a_3712[[#This Row],[pop_n]]*1000</f>
        <v>17563.999179999999</v>
      </c>
      <c r="E12" s="9">
        <v>75.495002749999998</v>
      </c>
      <c r="F12" s="1">
        <v>0.75495002749999995</v>
      </c>
      <c r="G12" s="2">
        <v>13259.941663950976</v>
      </c>
      <c r="H12" s="1">
        <v>13.259941663950977</v>
      </c>
      <c r="I12" s="2">
        <v>24.504997250000002</v>
      </c>
      <c r="J12" t="s">
        <v>38</v>
      </c>
      <c r="K12" t="s">
        <v>2</v>
      </c>
      <c r="L12" t="s">
        <v>39</v>
      </c>
      <c r="M12" t="s">
        <v>2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>
        <f>COUNTA(Estimates_on_the_use_of_water__2020__a_3712[[#This Row],[name]:[wat_sur_u]])</f>
        <v>21</v>
      </c>
      <c r="W12">
        <f>COUNT(Estimates_on_the_use_of_water__2020__a_3712[[#This Row],[name]:[wat_sur_u]])</f>
        <v>7</v>
      </c>
    </row>
    <row r="13" spans="1:23" x14ac:dyDescent="0.25">
      <c r="A13" t="s">
        <v>40</v>
      </c>
      <c r="B13" t="s">
        <v>35</v>
      </c>
      <c r="C13">
        <v>18.091999049999998</v>
      </c>
      <c r="D13" s="3">
        <f>Estimates_on_the_use_of_water__2020__a_3712[[#This Row],[pop_n]]*1000</f>
        <v>18091.999049999999</v>
      </c>
      <c r="E13" s="9" t="s">
        <v>41</v>
      </c>
      <c r="F13" s="1">
        <v>0.80987998959999996</v>
      </c>
      <c r="G13" s="2">
        <v>14652.348002457207</v>
      </c>
      <c r="H13" s="1">
        <v>14.652348002457208</v>
      </c>
      <c r="I13" s="2">
        <v>19.012001040000001</v>
      </c>
      <c r="J13" t="s">
        <v>42</v>
      </c>
      <c r="K13" t="s">
        <v>2</v>
      </c>
      <c r="L13" t="s">
        <v>43</v>
      </c>
      <c r="M13" t="s">
        <v>2</v>
      </c>
      <c r="N13" t="s">
        <v>44</v>
      </c>
      <c r="O13" t="s">
        <v>2</v>
      </c>
      <c r="P13" t="s">
        <v>45</v>
      </c>
      <c r="Q13" t="s">
        <v>2</v>
      </c>
      <c r="R13" t="s">
        <v>46</v>
      </c>
      <c r="S13" t="s">
        <v>2</v>
      </c>
      <c r="T13" t="s">
        <v>47</v>
      </c>
      <c r="U13" t="s">
        <v>2</v>
      </c>
      <c r="V13">
        <f>COUNTA(Estimates_on_the_use_of_water__2020__a_3712[[#This Row],[name]:[wat_sur_u]])</f>
        <v>21</v>
      </c>
      <c r="W13">
        <f>COUNT(Estimates_on_the_use_of_water__2020__a_3712[[#This Row],[name]:[wat_sur_u]])</f>
        <v>6</v>
      </c>
    </row>
    <row r="14" spans="1:23" x14ac:dyDescent="0.25">
      <c r="A14" t="s">
        <v>48</v>
      </c>
      <c r="B14" t="s">
        <v>30</v>
      </c>
      <c r="C14">
        <v>30.23699951</v>
      </c>
      <c r="D14" s="3">
        <f>Estimates_on_the_use_of_water__2020__a_3712[[#This Row],[pop_n]]*1000</f>
        <v>30236.999510000001</v>
      </c>
      <c r="E14" s="9" t="s">
        <v>49</v>
      </c>
      <c r="F14" s="1">
        <v>0.48514999390000002</v>
      </c>
      <c r="G14" s="2">
        <v>14669.480127830804</v>
      </c>
      <c r="H14" s="1">
        <v>14.669480127830804</v>
      </c>
      <c r="I14" s="2">
        <v>51.48500061</v>
      </c>
      <c r="J14" t="s">
        <v>50</v>
      </c>
      <c r="K14" t="s">
        <v>2</v>
      </c>
      <c r="L14" t="s">
        <v>51</v>
      </c>
      <c r="M14" t="s">
        <v>2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>
        <f>COUNTA(Estimates_on_the_use_of_water__2020__a_3712[[#This Row],[name]:[wat_sur_u]])</f>
        <v>21</v>
      </c>
      <c r="W14">
        <f>COUNT(Estimates_on_the_use_of_water__2020__a_3712[[#This Row],[name]:[wat_sur_u]])</f>
        <v>6</v>
      </c>
    </row>
    <row r="15" spans="1:23" x14ac:dyDescent="0.25">
      <c r="A15" t="s">
        <v>52</v>
      </c>
      <c r="B15" t="s">
        <v>30</v>
      </c>
      <c r="C15">
        <v>33.691001890000003</v>
      </c>
      <c r="D15" s="3">
        <f>Estimates_on_the_use_of_water__2020__a_3712[[#This Row],[pop_n]]*1000</f>
        <v>33691.00189</v>
      </c>
      <c r="E15" s="9" t="s">
        <v>15</v>
      </c>
      <c r="F15" s="1">
        <v>1</v>
      </c>
      <c r="G15" s="2">
        <v>33691.00189</v>
      </c>
      <c r="H15" s="1">
        <v>33.691001890000003</v>
      </c>
      <c r="I15" s="2">
        <v>0</v>
      </c>
      <c r="J15" t="s">
        <v>15</v>
      </c>
      <c r="K15" t="s">
        <v>2</v>
      </c>
      <c r="L15" t="s">
        <v>2</v>
      </c>
      <c r="M15" t="s">
        <v>2</v>
      </c>
      <c r="N15" t="s">
        <v>1</v>
      </c>
      <c r="O15" t="s">
        <v>1</v>
      </c>
      <c r="P15" t="s">
        <v>1</v>
      </c>
      <c r="Q15" t="s">
        <v>1</v>
      </c>
      <c r="R15" t="s">
        <v>15</v>
      </c>
      <c r="S15" t="s">
        <v>2</v>
      </c>
      <c r="T15" t="s">
        <v>2</v>
      </c>
      <c r="U15" t="s">
        <v>2</v>
      </c>
      <c r="V15">
        <f>COUNTA(Estimates_on_the_use_of_water__2020__a_3712[[#This Row],[name]:[wat_sur_u]])</f>
        <v>21</v>
      </c>
      <c r="W15">
        <f>COUNT(Estimates_on_the_use_of_water__2020__a_3712[[#This Row],[name]:[wat_sur_u]])</f>
        <v>6</v>
      </c>
    </row>
    <row r="16" spans="1:23" x14ac:dyDescent="0.25">
      <c r="A16" t="s">
        <v>53</v>
      </c>
      <c r="B16" t="s">
        <v>30</v>
      </c>
      <c r="C16">
        <v>33.937999730000001</v>
      </c>
      <c r="D16" s="3">
        <f>Estimates_on_the_use_of_water__2020__a_3712[[#This Row],[pop_n]]*1000</f>
        <v>33937.999730000003</v>
      </c>
      <c r="E16" s="9" t="s">
        <v>54</v>
      </c>
      <c r="F16" s="1">
        <v>0.97499000550000003</v>
      </c>
      <c r="G16" s="2">
        <v>33089.210543411704</v>
      </c>
      <c r="H16" s="1">
        <v>33.089210543411703</v>
      </c>
      <c r="I16" s="2">
        <v>2.5009994499999948</v>
      </c>
      <c r="J16" t="s">
        <v>15</v>
      </c>
      <c r="K16" t="s">
        <v>2</v>
      </c>
      <c r="L16" t="s">
        <v>2</v>
      </c>
      <c r="M16" t="s">
        <v>2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>
        <f>COUNTA(Estimates_on_the_use_of_water__2020__a_3712[[#This Row],[name]:[wat_sur_u]])</f>
        <v>21</v>
      </c>
      <c r="W16">
        <f>COUNT(Estimates_on_the_use_of_water__2020__a_3712[[#This Row],[name]:[wat_sur_u]])</f>
        <v>6</v>
      </c>
    </row>
    <row r="17" spans="1:23" x14ac:dyDescent="0.25">
      <c r="A17" t="s">
        <v>55</v>
      </c>
      <c r="B17" t="s">
        <v>30</v>
      </c>
      <c r="C17">
        <v>38.137001040000001</v>
      </c>
      <c r="D17" s="3">
        <f>Estimates_on_the_use_of_water__2020__a_3712[[#This Row],[pop_n]]*1000</f>
        <v>38137.001040000003</v>
      </c>
      <c r="E17" s="9" t="s">
        <v>56</v>
      </c>
      <c r="F17" s="1">
        <v>0.14416000370000001</v>
      </c>
      <c r="G17" s="2">
        <v>5497.8302110333043</v>
      </c>
      <c r="H17" s="1">
        <v>5.4978302110333042</v>
      </c>
      <c r="I17" s="2">
        <v>85.583999629999994</v>
      </c>
      <c r="J17" t="s">
        <v>15</v>
      </c>
      <c r="K17" t="s">
        <v>2</v>
      </c>
      <c r="L17" t="s">
        <v>2</v>
      </c>
      <c r="M17" t="s">
        <v>2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>
        <f>COUNTA(Estimates_on_the_use_of_water__2020__a_3712[[#This Row],[name]:[wat_sur_u]])</f>
        <v>21</v>
      </c>
      <c r="W17">
        <f>COUNT(Estimates_on_the_use_of_water__2020__a_3712[[#This Row],[name]:[wat_sur_u]])</f>
        <v>6</v>
      </c>
    </row>
    <row r="18" spans="1:23" x14ac:dyDescent="0.25">
      <c r="A18" t="s">
        <v>57</v>
      </c>
      <c r="B18" t="s">
        <v>30</v>
      </c>
      <c r="C18">
        <v>38.658999999999999</v>
      </c>
      <c r="D18" s="3">
        <f>Estimates_on_the_use_of_water__2020__a_3712[[#This Row],[pop_n]]*1000</f>
        <v>38659</v>
      </c>
      <c r="E18" s="9" t="s">
        <v>15</v>
      </c>
      <c r="F18" s="1">
        <v>1</v>
      </c>
      <c r="G18" s="2">
        <v>38659</v>
      </c>
      <c r="H18" s="1">
        <v>38.658999999999999</v>
      </c>
      <c r="I18" s="2">
        <v>0</v>
      </c>
      <c r="J18" t="s">
        <v>58</v>
      </c>
      <c r="K18" t="s">
        <v>2</v>
      </c>
      <c r="L18" t="s">
        <v>59</v>
      </c>
      <c r="M18" t="s">
        <v>2</v>
      </c>
      <c r="N18" t="s">
        <v>1</v>
      </c>
      <c r="O18" t="s">
        <v>1</v>
      </c>
      <c r="P18" t="s">
        <v>1</v>
      </c>
      <c r="Q18" t="s">
        <v>1</v>
      </c>
      <c r="R18" t="s">
        <v>58</v>
      </c>
      <c r="S18" t="s">
        <v>2</v>
      </c>
      <c r="T18" t="s">
        <v>59</v>
      </c>
      <c r="U18" t="s">
        <v>2</v>
      </c>
      <c r="V18">
        <f>COUNTA(Estimates_on_the_use_of_water__2020__a_3712[[#This Row],[name]:[wat_sur_u]])</f>
        <v>21</v>
      </c>
      <c r="W18">
        <f>COUNT(Estimates_on_the_use_of_water__2020__a_3712[[#This Row],[name]:[wat_sur_u]])</f>
        <v>6</v>
      </c>
    </row>
    <row r="19" spans="1:23" x14ac:dyDescent="0.25">
      <c r="A19" t="s">
        <v>60</v>
      </c>
      <c r="B19" t="s">
        <v>30</v>
      </c>
      <c r="C19">
        <v>39.243999479999999</v>
      </c>
      <c r="D19" s="3">
        <f>Estimates_on_the_use_of_water__2020__a_3712[[#This Row],[pop_n]]*1000</f>
        <v>39243.999479999999</v>
      </c>
      <c r="E19" s="9" t="s">
        <v>15</v>
      </c>
      <c r="F19" s="1">
        <v>1</v>
      </c>
      <c r="G19" s="2">
        <v>39243.999479999999</v>
      </c>
      <c r="H19" s="1">
        <v>39.243999479999999</v>
      </c>
      <c r="I19" s="2">
        <v>0</v>
      </c>
      <c r="J19" t="s">
        <v>15</v>
      </c>
      <c r="K19" t="s">
        <v>2</v>
      </c>
      <c r="L19" t="s">
        <v>2</v>
      </c>
      <c r="M19" t="s">
        <v>2</v>
      </c>
      <c r="N19" t="s">
        <v>1</v>
      </c>
      <c r="O19" t="s">
        <v>1</v>
      </c>
      <c r="P19" t="s">
        <v>1</v>
      </c>
      <c r="Q19" t="s">
        <v>1</v>
      </c>
      <c r="R19" t="s">
        <v>15</v>
      </c>
      <c r="S19" t="s">
        <v>2</v>
      </c>
      <c r="T19" t="s">
        <v>2</v>
      </c>
      <c r="U19" t="s">
        <v>2</v>
      </c>
      <c r="V19">
        <f>COUNTA(Estimates_on_the_use_of_water__2020__a_3712[[#This Row],[name]:[wat_sur_u]])</f>
        <v>21</v>
      </c>
      <c r="W19">
        <f>COUNT(Estimates_on_the_use_of_water__2020__a_3712[[#This Row],[name]:[wat_sur_u]])</f>
        <v>6</v>
      </c>
    </row>
    <row r="20" spans="1:23" x14ac:dyDescent="0.25">
      <c r="A20" t="s">
        <v>61</v>
      </c>
      <c r="B20" t="s">
        <v>30</v>
      </c>
      <c r="C20">
        <v>48.865001679999999</v>
      </c>
      <c r="D20" s="3">
        <f>Estimates_on_the_use_of_water__2020__a_3712[[#This Row],[pop_n]]*1000</f>
        <v>48865.001680000001</v>
      </c>
      <c r="E20" s="9" t="s">
        <v>62</v>
      </c>
      <c r="F20" s="1">
        <v>0.42397998809999998</v>
      </c>
      <c r="G20" s="2">
        <v>20717.782830792879</v>
      </c>
      <c r="H20" s="1">
        <v>20.717782830792878</v>
      </c>
      <c r="I20" s="2">
        <v>57.602001190000003</v>
      </c>
      <c r="J20" t="s">
        <v>15</v>
      </c>
      <c r="K20" t="s">
        <v>2</v>
      </c>
      <c r="L20" t="s">
        <v>2</v>
      </c>
      <c r="M20" t="s">
        <v>2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>
        <f>COUNTA(Estimates_on_the_use_of_water__2020__a_3712[[#This Row],[name]:[wat_sur_u]])</f>
        <v>21</v>
      </c>
      <c r="W20">
        <f>COUNT(Estimates_on_the_use_of_water__2020__a_3712[[#This Row],[name]:[wat_sur_u]])</f>
        <v>6</v>
      </c>
    </row>
    <row r="21" spans="1:23" x14ac:dyDescent="0.25">
      <c r="A21" t="s">
        <v>63</v>
      </c>
      <c r="B21" t="s">
        <v>35</v>
      </c>
      <c r="C21">
        <v>55.196998600000001</v>
      </c>
      <c r="D21" s="3">
        <f>Estimates_on_the_use_of_water__2020__a_3712[[#This Row],[pop_n]]*1000</f>
        <v>55196.998599999999</v>
      </c>
      <c r="E21" s="9" t="s">
        <v>64</v>
      </c>
      <c r="F21" s="1">
        <v>0.87152999879999993</v>
      </c>
      <c r="G21" s="2">
        <v>48105.840123621594</v>
      </c>
      <c r="H21" s="1">
        <v>48.105840123621597</v>
      </c>
      <c r="I21" s="2">
        <v>12.847000120000004</v>
      </c>
      <c r="J21" t="s">
        <v>65</v>
      </c>
      <c r="K21" t="s">
        <v>2</v>
      </c>
      <c r="L21" t="s">
        <v>66</v>
      </c>
      <c r="M21" t="s">
        <v>2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>
        <f>COUNTA(Estimates_on_the_use_of_water__2020__a_3712[[#This Row],[name]:[wat_sur_u]])</f>
        <v>21</v>
      </c>
      <c r="W21">
        <f>COUNT(Estimates_on_the_use_of_water__2020__a_3712[[#This Row],[name]:[wat_sur_u]])</f>
        <v>6</v>
      </c>
    </row>
    <row r="22" spans="1:23" x14ac:dyDescent="0.25">
      <c r="A22" t="s">
        <v>67</v>
      </c>
      <c r="B22" t="s">
        <v>30</v>
      </c>
      <c r="C22">
        <v>56.771999360000002</v>
      </c>
      <c r="D22" s="3">
        <f>Estimates_on_the_use_of_water__2020__a_3712[[#This Row],[pop_n]]*1000</f>
        <v>56771.999360000002</v>
      </c>
      <c r="E22" s="9" t="s">
        <v>68</v>
      </c>
      <c r="F22" s="1">
        <v>0.87282005309999999</v>
      </c>
      <c r="G22" s="2">
        <v>49551.739495988368</v>
      </c>
      <c r="H22" s="1">
        <v>49.551739495988365</v>
      </c>
      <c r="I22" s="2">
        <v>12.717994689999998</v>
      </c>
      <c r="J22" t="s">
        <v>69</v>
      </c>
      <c r="K22" t="s">
        <v>2</v>
      </c>
      <c r="L22" t="s">
        <v>2</v>
      </c>
      <c r="M22" t="s">
        <v>2</v>
      </c>
      <c r="N22" t="s">
        <v>15</v>
      </c>
      <c r="O22" t="s">
        <v>2</v>
      </c>
      <c r="P22" t="s">
        <v>2</v>
      </c>
      <c r="Q22" t="s">
        <v>2</v>
      </c>
      <c r="R22" t="s">
        <v>15</v>
      </c>
      <c r="S22" t="s">
        <v>2</v>
      </c>
      <c r="T22" t="s">
        <v>2</v>
      </c>
      <c r="U22" t="s">
        <v>2</v>
      </c>
      <c r="V22">
        <f>COUNTA(Estimates_on_the_use_of_water__2020__a_3712[[#This Row],[name]:[wat_sur_u]])</f>
        <v>21</v>
      </c>
      <c r="W22">
        <f>COUNT(Estimates_on_the_use_of_water__2020__a_3712[[#This Row],[name]:[wat_sur_u]])</f>
        <v>6</v>
      </c>
    </row>
    <row r="23" spans="1:23" x14ac:dyDescent="0.25">
      <c r="A23" t="s">
        <v>70</v>
      </c>
      <c r="B23" t="s">
        <v>30</v>
      </c>
      <c r="C23">
        <v>57.556999210000001</v>
      </c>
      <c r="D23" s="3">
        <f>Estimates_on_the_use_of_water__2020__a_3712[[#This Row],[pop_n]]*1000</f>
        <v>57556.999210000002</v>
      </c>
      <c r="E23" s="9" t="s">
        <v>71</v>
      </c>
      <c r="F23" s="1">
        <v>0.91797996520000003</v>
      </c>
      <c r="G23" s="2">
        <v>52836.172131812229</v>
      </c>
      <c r="H23" s="1">
        <v>52.836172131812226</v>
      </c>
      <c r="I23" s="2">
        <v>8.2020034800000019</v>
      </c>
      <c r="J23" t="s">
        <v>15</v>
      </c>
      <c r="K23" t="s">
        <v>2</v>
      </c>
      <c r="L23" t="s">
        <v>2</v>
      </c>
      <c r="M23" t="s">
        <v>2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>
        <f>COUNTA(Estimates_on_the_use_of_water__2020__a_3712[[#This Row],[name]:[wat_sur_u]])</f>
        <v>21</v>
      </c>
      <c r="W23">
        <f>COUNT(Estimates_on_the_use_of_water__2020__a_3712[[#This Row],[name]:[wat_sur_u]])</f>
        <v>6</v>
      </c>
    </row>
    <row r="24" spans="1:23" x14ac:dyDescent="0.25">
      <c r="A24" t="s">
        <v>72</v>
      </c>
      <c r="B24" t="s">
        <v>73</v>
      </c>
      <c r="C24">
        <v>77.793991090000006</v>
      </c>
      <c r="D24" s="3">
        <f>Estimates_on_the_use_of_water__2020__a_3712[[#This Row],[pop_n]]*1000</f>
        <v>77793.99109000001</v>
      </c>
      <c r="E24" s="9" t="s">
        <v>74</v>
      </c>
      <c r="F24" s="1">
        <v>0.88572046979999997</v>
      </c>
      <c r="G24" s="2">
        <v>68903.730335851826</v>
      </c>
      <c r="H24" s="1">
        <v>68.903730335851819</v>
      </c>
      <c r="I24" s="2">
        <v>11.427953020000004</v>
      </c>
      <c r="J24" t="s">
        <v>75</v>
      </c>
      <c r="K24" t="s">
        <v>76</v>
      </c>
      <c r="L24" t="s">
        <v>2</v>
      </c>
      <c r="M24" t="s">
        <v>77</v>
      </c>
      <c r="N24" t="s">
        <v>78</v>
      </c>
      <c r="O24" t="s">
        <v>79</v>
      </c>
      <c r="P24" t="s">
        <v>2</v>
      </c>
      <c r="Q24" t="s">
        <v>80</v>
      </c>
      <c r="R24" t="s">
        <v>81</v>
      </c>
      <c r="S24" t="s">
        <v>2</v>
      </c>
      <c r="T24" t="s">
        <v>2</v>
      </c>
      <c r="U24" t="s">
        <v>82</v>
      </c>
      <c r="V24">
        <f>COUNTA(Estimates_on_the_use_of_water__2020__a_3712[[#This Row],[name]:[wat_sur_u]])</f>
        <v>21</v>
      </c>
      <c r="W24">
        <f>COUNT(Estimates_on_the_use_of_water__2020__a_3712[[#This Row],[name]:[wat_sur_u]])</f>
        <v>6</v>
      </c>
    </row>
    <row r="25" spans="1:23" x14ac:dyDescent="0.25">
      <c r="A25" t="s">
        <v>83</v>
      </c>
      <c r="B25" t="s">
        <v>30</v>
      </c>
      <c r="C25">
        <v>62.272998809999997</v>
      </c>
      <c r="D25" s="3">
        <f>Estimates_on_the_use_of_water__2020__a_3712[[#This Row],[pop_n]]*1000</f>
        <v>62272.998809999997</v>
      </c>
      <c r="E25" s="9" t="s">
        <v>15</v>
      </c>
      <c r="F25" s="1">
        <v>1</v>
      </c>
      <c r="G25" s="2">
        <v>62272.998809999997</v>
      </c>
      <c r="H25" s="1">
        <v>62.272998809999997</v>
      </c>
      <c r="I25" s="2">
        <v>0</v>
      </c>
      <c r="J25" t="s">
        <v>84</v>
      </c>
      <c r="K25" t="s">
        <v>2</v>
      </c>
      <c r="L25" t="s">
        <v>85</v>
      </c>
      <c r="M25" t="s">
        <v>2</v>
      </c>
      <c r="N25" t="s">
        <v>1</v>
      </c>
      <c r="O25" t="s">
        <v>1</v>
      </c>
      <c r="P25" t="s">
        <v>1</v>
      </c>
      <c r="Q25" t="s">
        <v>1</v>
      </c>
      <c r="R25" t="s">
        <v>84</v>
      </c>
      <c r="S25" t="s">
        <v>2</v>
      </c>
      <c r="T25" t="s">
        <v>85</v>
      </c>
      <c r="U25" t="s">
        <v>2</v>
      </c>
      <c r="V25">
        <f>COUNTA(Estimates_on_the_use_of_water__2020__a_3712[[#This Row],[name]:[wat_sur_u]])</f>
        <v>21</v>
      </c>
      <c r="W25">
        <f>COUNT(Estimates_on_the_use_of_water__2020__a_3712[[#This Row],[name]:[wat_sur_u]])</f>
        <v>6</v>
      </c>
    </row>
    <row r="26" spans="1:23" x14ac:dyDescent="0.25">
      <c r="A26" t="s">
        <v>86</v>
      </c>
      <c r="B26" t="s">
        <v>30</v>
      </c>
      <c r="C26">
        <v>77.26499939</v>
      </c>
      <c r="D26" s="3">
        <f>Estimates_on_the_use_of_water__2020__a_3712[[#This Row],[pop_n]]*1000</f>
        <v>77264.999389999997</v>
      </c>
      <c r="E26" s="9" t="s">
        <v>87</v>
      </c>
      <c r="F26" s="1">
        <v>0.87916000370000003</v>
      </c>
      <c r="G26" s="2">
        <v>67928.297149592894</v>
      </c>
      <c r="H26" s="1">
        <v>67.928297149592893</v>
      </c>
      <c r="I26" s="2">
        <v>12.083999629999994</v>
      </c>
      <c r="J26" t="s">
        <v>88</v>
      </c>
      <c r="K26" t="s">
        <v>2</v>
      </c>
      <c r="L26" t="s">
        <v>2</v>
      </c>
      <c r="M26" t="s">
        <v>2</v>
      </c>
      <c r="N26" t="s">
        <v>15</v>
      </c>
      <c r="O26" t="s">
        <v>2</v>
      </c>
      <c r="P26" t="s">
        <v>2</v>
      </c>
      <c r="Q26" t="s">
        <v>2</v>
      </c>
      <c r="R26" t="s">
        <v>15</v>
      </c>
      <c r="S26" t="s">
        <v>2</v>
      </c>
      <c r="T26" t="s">
        <v>2</v>
      </c>
      <c r="U26" t="s">
        <v>2</v>
      </c>
      <c r="V26">
        <f>COUNTA(Estimates_on_the_use_of_water__2020__a_3712[[#This Row],[name]:[wat_sur_u]])</f>
        <v>21</v>
      </c>
      <c r="W26">
        <f>COUNT(Estimates_on_the_use_of_water__2020__a_3712[[#This Row],[name]:[wat_sur_u]])</f>
        <v>6</v>
      </c>
    </row>
    <row r="27" spans="1:23" x14ac:dyDescent="0.25">
      <c r="A27" t="s">
        <v>89</v>
      </c>
      <c r="B27" t="s">
        <v>30</v>
      </c>
      <c r="C27">
        <v>85.031997680000003</v>
      </c>
      <c r="D27" s="3">
        <f>Estimates_on_the_use_of_water__2020__a_3712[[#This Row],[pop_n]]*1000</f>
        <v>85031.99768</v>
      </c>
      <c r="E27" s="9" t="s">
        <v>90</v>
      </c>
      <c r="F27" s="1">
        <v>0.52898002619999995</v>
      </c>
      <c r="G27" s="2">
        <v>44980.228360604735</v>
      </c>
      <c r="H27" s="1">
        <v>44.980228360604734</v>
      </c>
      <c r="I27" s="2">
        <v>47.10199738</v>
      </c>
      <c r="J27" t="s">
        <v>91</v>
      </c>
      <c r="K27" t="s">
        <v>2</v>
      </c>
      <c r="L27" t="s">
        <v>92</v>
      </c>
      <c r="M27" t="s">
        <v>2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>
        <f>COUNTA(Estimates_on_the_use_of_water__2020__a_3712[[#This Row],[name]:[wat_sur_u]])</f>
        <v>21</v>
      </c>
      <c r="W27">
        <f>COUNT(Estimates_on_the_use_of_water__2020__a_3712[[#This Row],[name]:[wat_sur_u]])</f>
        <v>6</v>
      </c>
    </row>
    <row r="28" spans="1:23" x14ac:dyDescent="0.25">
      <c r="A28" t="s">
        <v>93</v>
      </c>
      <c r="B28" t="s">
        <v>30</v>
      </c>
      <c r="C28">
        <v>104.4229965</v>
      </c>
      <c r="D28" s="3">
        <f>Estimates_on_the_use_of_water__2020__a_3712[[#This Row],[pop_n]]*1000</f>
        <v>104422.99649999999</v>
      </c>
      <c r="E28" s="9" t="s">
        <v>94</v>
      </c>
      <c r="F28" s="1">
        <v>0.95939002990000011</v>
      </c>
      <c r="G28" s="2">
        <v>100182.38173438259</v>
      </c>
      <c r="H28" s="1">
        <v>100.1823817343826</v>
      </c>
      <c r="I28" s="2">
        <v>4.0609970099999941</v>
      </c>
      <c r="J28" t="s">
        <v>95</v>
      </c>
      <c r="K28" t="s">
        <v>2</v>
      </c>
      <c r="L28" t="s">
        <v>96</v>
      </c>
      <c r="M28" t="s">
        <v>2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>
        <f>COUNTA(Estimates_on_the_use_of_water__2020__a_3712[[#This Row],[name]:[wat_sur_u]])</f>
        <v>21</v>
      </c>
      <c r="W28">
        <f>COUNT(Estimates_on_the_use_of_water__2020__a_3712[[#This Row],[name]:[wat_sur_u]])</f>
        <v>6</v>
      </c>
    </row>
    <row r="29" spans="1:23" x14ac:dyDescent="0.25">
      <c r="A29" t="s">
        <v>97</v>
      </c>
      <c r="B29" t="s">
        <v>35</v>
      </c>
      <c r="C29">
        <v>105.6969986</v>
      </c>
      <c r="D29" s="3">
        <f>Estimates_on_the_use_of_water__2020__a_3712[[#This Row],[pop_n]]*1000</f>
        <v>105696.99860000001</v>
      </c>
      <c r="E29" s="9" t="s">
        <v>98</v>
      </c>
      <c r="F29" s="1">
        <v>0.23098999019999999</v>
      </c>
      <c r="G29" s="2">
        <v>24414.948670783415</v>
      </c>
      <c r="H29" s="1">
        <v>24.414948670783414</v>
      </c>
      <c r="I29" s="2">
        <v>76.901000979999992</v>
      </c>
      <c r="J29" t="s">
        <v>99</v>
      </c>
      <c r="K29" t="s">
        <v>100</v>
      </c>
      <c r="L29" t="s">
        <v>101</v>
      </c>
      <c r="M29" t="s">
        <v>2</v>
      </c>
      <c r="N29" t="s">
        <v>102</v>
      </c>
      <c r="O29" t="s">
        <v>103</v>
      </c>
      <c r="P29" t="s">
        <v>104</v>
      </c>
      <c r="Q29" t="s">
        <v>105</v>
      </c>
      <c r="R29" t="s">
        <v>106</v>
      </c>
      <c r="S29" t="s">
        <v>107</v>
      </c>
      <c r="T29" t="s">
        <v>2</v>
      </c>
      <c r="U29" t="s">
        <v>82</v>
      </c>
      <c r="V29">
        <f>COUNTA(Estimates_on_the_use_of_water__2020__a_3712[[#This Row],[name]:[wat_sur_u]])</f>
        <v>21</v>
      </c>
      <c r="W29">
        <f>COUNT(Estimates_on_the_use_of_water__2020__a_3712[[#This Row],[name]:[wat_sur_u]])</f>
        <v>6</v>
      </c>
    </row>
    <row r="30" spans="1:23" x14ac:dyDescent="0.25">
      <c r="A30" t="s">
        <v>108</v>
      </c>
      <c r="B30" t="s">
        <v>109</v>
      </c>
      <c r="C30">
        <v>119.44599909999999</v>
      </c>
      <c r="D30" s="3">
        <f>Estimates_on_the_use_of_water__2020__a_3712[[#This Row],[pop_n]]*1000</f>
        <v>119445.9991</v>
      </c>
      <c r="E30" s="9" t="s">
        <v>110</v>
      </c>
      <c r="F30" s="1">
        <v>0.55593997960000008</v>
      </c>
      <c r="G30" s="2">
        <v>66404.806302955622</v>
      </c>
      <c r="H30" s="1">
        <v>66.40480630295562</v>
      </c>
      <c r="I30" s="2">
        <v>44.406002039999997</v>
      </c>
      <c r="J30" t="s">
        <v>111</v>
      </c>
      <c r="K30" t="s">
        <v>112</v>
      </c>
      <c r="L30" t="s">
        <v>113</v>
      </c>
      <c r="M30" t="s">
        <v>2</v>
      </c>
      <c r="N30" t="s">
        <v>114</v>
      </c>
      <c r="O30" t="s">
        <v>115</v>
      </c>
      <c r="P30" t="s">
        <v>116</v>
      </c>
      <c r="Q30" t="s">
        <v>2</v>
      </c>
      <c r="R30" t="s">
        <v>117</v>
      </c>
      <c r="S30" t="s">
        <v>118</v>
      </c>
      <c r="T30" t="s">
        <v>119</v>
      </c>
      <c r="U30" t="s">
        <v>2</v>
      </c>
      <c r="V30">
        <f>COUNTA(Estimates_on_the_use_of_water__2020__a_3712[[#This Row],[name]:[wat_sur_u]])</f>
        <v>21</v>
      </c>
      <c r="W30">
        <f>COUNT(Estimates_on_the_use_of_water__2020__a_3712[[#This Row],[name]:[wat_sur_u]])</f>
        <v>6</v>
      </c>
    </row>
    <row r="31" spans="1:23" x14ac:dyDescent="0.25">
      <c r="A31" t="s">
        <v>120</v>
      </c>
      <c r="B31" t="s">
        <v>30</v>
      </c>
      <c r="C31">
        <v>168.78300479999999</v>
      </c>
      <c r="D31" s="3">
        <f>Estimates_on_the_use_of_water__2020__a_3712[[#This Row],[pop_n]]*1000</f>
        <v>168783.0048</v>
      </c>
      <c r="E31" s="9" t="s">
        <v>121</v>
      </c>
      <c r="F31" s="1">
        <v>0.94938003539999993</v>
      </c>
      <c r="G31" s="2">
        <v>160239.21507194237</v>
      </c>
      <c r="H31" s="1">
        <v>160.23921507194234</v>
      </c>
      <c r="I31" s="2">
        <v>5.0619964600000031</v>
      </c>
      <c r="J31" t="s">
        <v>122</v>
      </c>
      <c r="K31" t="s">
        <v>2</v>
      </c>
      <c r="L31" t="s">
        <v>123</v>
      </c>
      <c r="M31" t="s">
        <v>2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>
        <f>COUNTA(Estimates_on_the_use_of_water__2020__a_3712[[#This Row],[name]:[wat_sur_u]])</f>
        <v>21</v>
      </c>
      <c r="W31">
        <f>COUNT(Estimates_on_the_use_of_water__2020__a_3712[[#This Row],[name]:[wat_sur_u]])</f>
        <v>6</v>
      </c>
    </row>
    <row r="32" spans="1:23" x14ac:dyDescent="0.25">
      <c r="A32" t="s">
        <v>124</v>
      </c>
      <c r="B32" t="s">
        <v>35</v>
      </c>
      <c r="C32">
        <v>183.62899780000001</v>
      </c>
      <c r="D32" s="3">
        <f>Estimates_on_the_use_of_water__2020__a_3712[[#This Row],[pop_n]]*1000</f>
        <v>183628.99780000001</v>
      </c>
      <c r="E32" s="9" t="s">
        <v>125</v>
      </c>
      <c r="F32" s="1">
        <v>0.188409996</v>
      </c>
      <c r="G32" s="2">
        <v>34597.53874098201</v>
      </c>
      <c r="H32" s="1">
        <v>34.59753874098201</v>
      </c>
      <c r="I32" s="2">
        <v>81.159000399999996</v>
      </c>
      <c r="J32" t="s">
        <v>126</v>
      </c>
      <c r="K32" t="s">
        <v>127</v>
      </c>
      <c r="L32" t="s">
        <v>128</v>
      </c>
      <c r="M32" t="s">
        <v>2</v>
      </c>
      <c r="N32" t="s">
        <v>129</v>
      </c>
      <c r="O32" t="s">
        <v>130</v>
      </c>
      <c r="P32" t="s">
        <v>131</v>
      </c>
      <c r="Q32" t="s">
        <v>2</v>
      </c>
      <c r="R32" t="s">
        <v>132</v>
      </c>
      <c r="S32" t="s">
        <v>133</v>
      </c>
      <c r="T32" t="s">
        <v>134</v>
      </c>
      <c r="U32" t="s">
        <v>2</v>
      </c>
      <c r="V32">
        <f>COUNTA(Estimates_on_the_use_of_water__2020__a_3712[[#This Row],[name]:[wat_sur_u]])</f>
        <v>21</v>
      </c>
      <c r="W32">
        <f>COUNT(Estimates_on_the_use_of_water__2020__a_3712[[#This Row],[name]:[wat_sur_u]])</f>
        <v>6</v>
      </c>
    </row>
    <row r="33" spans="1:23" x14ac:dyDescent="0.25">
      <c r="A33" t="s">
        <v>135</v>
      </c>
      <c r="B33" t="s">
        <v>109</v>
      </c>
      <c r="C33">
        <v>198.4100037</v>
      </c>
      <c r="D33" s="3">
        <f>Estimates_on_the_use_of_water__2020__a_3712[[#This Row],[pop_n]]*1000</f>
        <v>198410.0037</v>
      </c>
      <c r="E33" s="9" t="s">
        <v>136</v>
      </c>
      <c r="F33" s="1">
        <v>0.17888999940000003</v>
      </c>
      <c r="G33" s="2">
        <v>35493.565442847001</v>
      </c>
      <c r="H33" s="1">
        <v>35.493565442847007</v>
      </c>
      <c r="I33" s="2">
        <v>82.111000059999995</v>
      </c>
      <c r="J33" t="s">
        <v>137</v>
      </c>
      <c r="K33" t="s">
        <v>138</v>
      </c>
      <c r="L33" t="s">
        <v>139</v>
      </c>
      <c r="M33" t="s">
        <v>140</v>
      </c>
      <c r="N33" t="s">
        <v>141</v>
      </c>
      <c r="O33" t="s">
        <v>142</v>
      </c>
      <c r="P33" t="s">
        <v>143</v>
      </c>
      <c r="Q33" t="s">
        <v>144</v>
      </c>
      <c r="R33" t="s">
        <v>145</v>
      </c>
      <c r="S33" t="s">
        <v>146</v>
      </c>
      <c r="T33" t="s">
        <v>2</v>
      </c>
      <c r="U33" t="s">
        <v>2</v>
      </c>
      <c r="V33">
        <f>COUNTA(Estimates_on_the_use_of_water__2020__a_3712[[#This Row],[name]:[wat_sur_u]])</f>
        <v>21</v>
      </c>
      <c r="W33">
        <f>COUNT(Estimates_on_the_use_of_water__2020__a_3712[[#This Row],[name]:[wat_sur_u]])</f>
        <v>6</v>
      </c>
    </row>
    <row r="34" spans="1:23" x14ac:dyDescent="0.25">
      <c r="A34" t="s">
        <v>147</v>
      </c>
      <c r="B34" t="s">
        <v>109</v>
      </c>
      <c r="C34">
        <v>219.16099550000001</v>
      </c>
      <c r="D34" s="3">
        <f>Estimates_on_the_use_of_water__2020__a_3712[[#This Row],[pop_n]]*1000</f>
        <v>219160.99550000002</v>
      </c>
      <c r="E34" s="9" t="s">
        <v>148</v>
      </c>
      <c r="F34" s="1">
        <v>0.74354003909999999</v>
      </c>
      <c r="G34" s="2">
        <v>162954.97516326493</v>
      </c>
      <c r="H34" s="1">
        <v>162.95497516326492</v>
      </c>
      <c r="I34" s="2">
        <v>25.645996089999997</v>
      </c>
      <c r="J34" t="s">
        <v>149</v>
      </c>
      <c r="K34" t="s">
        <v>150</v>
      </c>
      <c r="L34" t="s">
        <v>151</v>
      </c>
      <c r="M34" t="s">
        <v>152</v>
      </c>
      <c r="N34" t="s">
        <v>153</v>
      </c>
      <c r="O34" t="s">
        <v>154</v>
      </c>
      <c r="P34" t="s">
        <v>155</v>
      </c>
      <c r="Q34" t="s">
        <v>156</v>
      </c>
      <c r="R34" t="s">
        <v>157</v>
      </c>
      <c r="S34" t="s">
        <v>158</v>
      </c>
      <c r="T34" t="s">
        <v>2</v>
      </c>
      <c r="U34" t="s">
        <v>2</v>
      </c>
      <c r="V34">
        <f>COUNTA(Estimates_on_the_use_of_water__2020__a_3712[[#This Row],[name]:[wat_sur_u]])</f>
        <v>21</v>
      </c>
      <c r="W34">
        <f>COUNT(Estimates_on_the_use_of_water__2020__a_3712[[#This Row],[name]:[wat_sur_u]])</f>
        <v>6</v>
      </c>
    </row>
    <row r="35" spans="1:23" x14ac:dyDescent="0.25">
      <c r="A35" t="s">
        <v>159</v>
      </c>
      <c r="B35" t="s">
        <v>1</v>
      </c>
      <c r="C35">
        <v>272.81298829999997</v>
      </c>
      <c r="D35" s="3">
        <f>Estimates_on_the_use_of_water__2020__a_3712[[#This Row],[pop_n]]*1000</f>
        <v>272812.98829999997</v>
      </c>
      <c r="E35" s="9" t="s">
        <v>160</v>
      </c>
      <c r="F35" s="1">
        <v>0.45750999450000002</v>
      </c>
      <c r="G35" s="2">
        <v>124814.66877666155</v>
      </c>
      <c r="H35" s="1">
        <v>124.81466877666156</v>
      </c>
      <c r="I35" s="2">
        <v>54.249000549999998</v>
      </c>
      <c r="J35" t="s">
        <v>161</v>
      </c>
      <c r="K35" t="s">
        <v>2</v>
      </c>
      <c r="L35" t="s">
        <v>162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>
        <f>COUNTA(Estimates_on_the_use_of_water__2020__a_3712[[#This Row],[name]:[wat_sur_u]])</f>
        <v>21</v>
      </c>
      <c r="W35">
        <f>COUNT(Estimates_on_the_use_of_water__2020__a_3712[[#This Row],[name]:[wat_sur_u]])</f>
        <v>6</v>
      </c>
    </row>
    <row r="36" spans="1:23" x14ac:dyDescent="0.25">
      <c r="A36" t="s">
        <v>163</v>
      </c>
      <c r="B36" t="s">
        <v>30</v>
      </c>
      <c r="C36">
        <v>280.90399170000001</v>
      </c>
      <c r="D36" s="3">
        <f>Estimates_on_the_use_of_water__2020__a_3712[[#This Row],[pop_n]]*1000</f>
        <v>280903.99170000001</v>
      </c>
      <c r="E36" s="9" t="s">
        <v>164</v>
      </c>
      <c r="F36" s="1">
        <v>0.61975002290000003</v>
      </c>
      <c r="G36" s="2">
        <v>174090.25528877642</v>
      </c>
      <c r="H36" s="1">
        <v>174.09025528877643</v>
      </c>
      <c r="I36" s="2">
        <v>38.024997710000001</v>
      </c>
      <c r="J36" t="s">
        <v>15</v>
      </c>
      <c r="K36" t="s">
        <v>2</v>
      </c>
      <c r="L36" t="s">
        <v>2</v>
      </c>
      <c r="M36" t="s">
        <v>2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>
        <f>COUNTA(Estimates_on_the_use_of_water__2020__a_3712[[#This Row],[name]:[wat_sur_u]])</f>
        <v>21</v>
      </c>
      <c r="W36">
        <f>COUNT(Estimates_on_the_use_of_water__2020__a_3712[[#This Row],[name]:[wat_sur_u]])</f>
        <v>6</v>
      </c>
    </row>
    <row r="37" spans="1:23" x14ac:dyDescent="0.25">
      <c r="A37" t="s">
        <v>165</v>
      </c>
      <c r="B37" t="s">
        <v>30</v>
      </c>
      <c r="C37">
        <v>285.4909973</v>
      </c>
      <c r="D37" s="3">
        <f>Estimates_on_the_use_of_water__2020__a_3712[[#This Row],[pop_n]]*1000</f>
        <v>285490.99729999999</v>
      </c>
      <c r="E37" s="9" t="s">
        <v>166</v>
      </c>
      <c r="F37" s="1">
        <v>0.71517997739999994</v>
      </c>
      <c r="G37" s="2">
        <v>204177.44499691745</v>
      </c>
      <c r="H37" s="1">
        <v>204.17744499691744</v>
      </c>
      <c r="I37" s="2">
        <v>28.482002260000002</v>
      </c>
      <c r="J37" t="s">
        <v>167</v>
      </c>
      <c r="K37" t="s">
        <v>2</v>
      </c>
      <c r="L37" t="s">
        <v>168</v>
      </c>
      <c r="M37" t="s">
        <v>2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>
        <f>COUNTA(Estimates_on_the_use_of_water__2020__a_3712[[#This Row],[name]:[wat_sur_u]])</f>
        <v>21</v>
      </c>
      <c r="W37">
        <f>COUNT(Estimates_on_the_use_of_water__2020__a_3712[[#This Row],[name]:[wat_sur_u]])</f>
        <v>6</v>
      </c>
    </row>
    <row r="38" spans="1:23" x14ac:dyDescent="0.25">
      <c r="A38" t="s">
        <v>169</v>
      </c>
      <c r="B38" t="s">
        <v>30</v>
      </c>
      <c r="C38">
        <v>287.37100220000002</v>
      </c>
      <c r="D38" s="3">
        <f>Estimates_on_the_use_of_water__2020__a_3712[[#This Row],[pop_n]]*1000</f>
        <v>287371.00220000005</v>
      </c>
      <c r="E38" s="9" t="s">
        <v>170</v>
      </c>
      <c r="F38" s="1">
        <v>0.3119099998</v>
      </c>
      <c r="G38" s="2">
        <v>89633.889238727817</v>
      </c>
      <c r="H38" s="1">
        <v>89.633889238727804</v>
      </c>
      <c r="I38" s="2">
        <v>68.809000019999999</v>
      </c>
      <c r="J38" t="s">
        <v>171</v>
      </c>
      <c r="K38" t="s">
        <v>172</v>
      </c>
      <c r="L38" t="s">
        <v>173</v>
      </c>
      <c r="M38" t="s">
        <v>2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>
        <f>COUNTA(Estimates_on_the_use_of_water__2020__a_3712[[#This Row],[name]:[wat_sur_u]])</f>
        <v>21</v>
      </c>
      <c r="W38">
        <f>COUNT(Estimates_on_the_use_of_water__2020__a_3712[[#This Row],[name]:[wat_sur_u]])</f>
        <v>6</v>
      </c>
    </row>
    <row r="39" spans="1:23" x14ac:dyDescent="0.25">
      <c r="A39" t="s">
        <v>174</v>
      </c>
      <c r="B39" t="s">
        <v>1</v>
      </c>
      <c r="C39">
        <v>298.68200680000001</v>
      </c>
      <c r="D39" s="3">
        <f>Estimates_on_the_use_of_water__2020__a_3712[[#This Row],[pop_n]]*1000</f>
        <v>298682.00680000003</v>
      </c>
      <c r="E39" s="9" t="s">
        <v>175</v>
      </c>
      <c r="F39" s="1">
        <v>0.85819999690000004</v>
      </c>
      <c r="G39" s="2">
        <v>256328.89730984581</v>
      </c>
      <c r="H39" s="1">
        <v>256.32889730984579</v>
      </c>
      <c r="I39" s="2">
        <v>14.180000309999997</v>
      </c>
      <c r="J39" t="s">
        <v>176</v>
      </c>
      <c r="K39" t="s">
        <v>2</v>
      </c>
      <c r="L39" t="s">
        <v>177</v>
      </c>
      <c r="M39" t="s">
        <v>2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>
        <f>COUNTA(Estimates_on_the_use_of_water__2020__a_3712[[#This Row],[name]:[wat_sur_u]])</f>
        <v>21</v>
      </c>
      <c r="W39">
        <f>COUNT(Estimates_on_the_use_of_water__2020__a_3712[[#This Row],[name]:[wat_sur_u]])</f>
        <v>6</v>
      </c>
    </row>
    <row r="40" spans="1:23" x14ac:dyDescent="0.25">
      <c r="A40" t="s">
        <v>178</v>
      </c>
      <c r="B40" t="s">
        <v>109</v>
      </c>
      <c r="C40">
        <v>307.14999390000003</v>
      </c>
      <c r="D40" s="3">
        <f>Estimates_on_the_use_of_water__2020__a_3712[[#This Row],[pop_n]]*1000</f>
        <v>307149.9939</v>
      </c>
      <c r="E40" s="9" t="s">
        <v>179</v>
      </c>
      <c r="F40" s="1">
        <v>0.25525001530000002</v>
      </c>
      <c r="G40" s="2">
        <v>78400.040642369917</v>
      </c>
      <c r="H40" s="1">
        <v>78.400040642369916</v>
      </c>
      <c r="I40" s="2">
        <v>74.474998470000003</v>
      </c>
      <c r="J40" t="s">
        <v>180</v>
      </c>
      <c r="K40" t="s">
        <v>181</v>
      </c>
      <c r="L40" t="s">
        <v>2</v>
      </c>
      <c r="M40" t="s">
        <v>182</v>
      </c>
      <c r="N40" t="s">
        <v>183</v>
      </c>
      <c r="O40" t="s">
        <v>184</v>
      </c>
      <c r="P40" t="s">
        <v>2</v>
      </c>
      <c r="Q40" t="s">
        <v>185</v>
      </c>
      <c r="R40" t="s">
        <v>186</v>
      </c>
      <c r="S40" t="s">
        <v>187</v>
      </c>
      <c r="T40" t="s">
        <v>2</v>
      </c>
      <c r="U40" t="s">
        <v>2</v>
      </c>
      <c r="V40">
        <f>COUNTA(Estimates_on_the_use_of_water__2020__a_3712[[#This Row],[name]:[wat_sur_u]])</f>
        <v>21</v>
      </c>
      <c r="W40">
        <f>COUNT(Estimates_on_the_use_of_water__2020__a_3712[[#This Row],[name]:[wat_sur_u]])</f>
        <v>6</v>
      </c>
    </row>
    <row r="41" spans="1:23" x14ac:dyDescent="0.25">
      <c r="A41" t="s">
        <v>188</v>
      </c>
      <c r="B41" t="s">
        <v>30</v>
      </c>
      <c r="C41">
        <v>341.25</v>
      </c>
      <c r="D41" s="3">
        <f>Estimates_on_the_use_of_water__2020__a_3712[[#This Row],[pop_n]]*1000</f>
        <v>341250</v>
      </c>
      <c r="E41" s="9" t="s">
        <v>189</v>
      </c>
      <c r="F41" s="1">
        <v>0.9389799499999999</v>
      </c>
      <c r="G41" s="2">
        <v>320426.90793749999</v>
      </c>
      <c r="H41" s="1">
        <v>320.42690793749995</v>
      </c>
      <c r="I41" s="2">
        <v>6.1020050000000055</v>
      </c>
      <c r="J41" t="s">
        <v>190</v>
      </c>
      <c r="K41" t="s">
        <v>2</v>
      </c>
      <c r="L41" t="s">
        <v>191</v>
      </c>
      <c r="M41" t="s">
        <v>2</v>
      </c>
      <c r="N41" t="s">
        <v>15</v>
      </c>
      <c r="O41" t="s">
        <v>2</v>
      </c>
      <c r="P41" t="s">
        <v>2</v>
      </c>
      <c r="Q41" t="s">
        <v>2</v>
      </c>
      <c r="R41" t="s">
        <v>15</v>
      </c>
      <c r="S41" t="s">
        <v>2</v>
      </c>
      <c r="T41" t="s">
        <v>2</v>
      </c>
      <c r="U41" t="s">
        <v>2</v>
      </c>
      <c r="V41">
        <f>COUNTA(Estimates_on_the_use_of_water__2020__a_3712[[#This Row],[name]:[wat_sur_u]])</f>
        <v>21</v>
      </c>
      <c r="W41">
        <f>COUNT(Estimates_on_the_use_of_water__2020__a_3712[[#This Row],[name]:[wat_sur_u]])</f>
        <v>6</v>
      </c>
    </row>
    <row r="42" spans="1:23" x14ac:dyDescent="0.25">
      <c r="A42" t="s">
        <v>192</v>
      </c>
      <c r="B42" t="s">
        <v>1</v>
      </c>
      <c r="C42">
        <v>375.26501459999997</v>
      </c>
      <c r="D42" s="3">
        <f>Estimates_on_the_use_of_water__2020__a_3712[[#This Row],[pop_n]]*1000</f>
        <v>375265.01459999999</v>
      </c>
      <c r="E42" s="9" t="s">
        <v>193</v>
      </c>
      <c r="F42" s="1">
        <v>0.89139999390000002</v>
      </c>
      <c r="G42" s="2">
        <v>334511.23172532342</v>
      </c>
      <c r="H42" s="1">
        <v>334.5112317253234</v>
      </c>
      <c r="I42" s="2">
        <v>10.86000061</v>
      </c>
      <c r="J42" t="s">
        <v>194</v>
      </c>
      <c r="K42" t="s">
        <v>2</v>
      </c>
      <c r="L42" t="s">
        <v>195</v>
      </c>
      <c r="M42" t="s">
        <v>2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>
        <f>COUNTA(Estimates_on_the_use_of_water__2020__a_3712[[#This Row],[name]:[wat_sur_u]])</f>
        <v>21</v>
      </c>
      <c r="W42">
        <f>COUNT(Estimates_on_the_use_of_water__2020__a_3712[[#This Row],[name]:[wat_sur_u]])</f>
        <v>6</v>
      </c>
    </row>
    <row r="43" spans="1:23" x14ac:dyDescent="0.25">
      <c r="A43" t="s">
        <v>196</v>
      </c>
      <c r="B43" t="s">
        <v>35</v>
      </c>
      <c r="C43">
        <v>397.62100220000002</v>
      </c>
      <c r="D43" s="3">
        <f>Estimates_on_the_use_of_water__2020__a_3712[[#This Row],[pop_n]]*1000</f>
        <v>397621.00220000005</v>
      </c>
      <c r="E43" s="9" t="s">
        <v>197</v>
      </c>
      <c r="F43" s="1">
        <v>0.46025001529999998</v>
      </c>
      <c r="G43" s="2">
        <v>183005.07234615134</v>
      </c>
      <c r="H43" s="1">
        <v>183.00507234615134</v>
      </c>
      <c r="I43" s="2">
        <v>53.974998470000003</v>
      </c>
      <c r="J43" t="s">
        <v>198</v>
      </c>
      <c r="K43" t="s">
        <v>199</v>
      </c>
      <c r="L43" t="s">
        <v>200</v>
      </c>
      <c r="M43" t="s">
        <v>2</v>
      </c>
      <c r="N43" t="s">
        <v>201</v>
      </c>
      <c r="O43" t="s">
        <v>202</v>
      </c>
      <c r="P43" t="s">
        <v>203</v>
      </c>
      <c r="Q43" t="s">
        <v>2</v>
      </c>
      <c r="R43" t="s">
        <v>204</v>
      </c>
      <c r="S43" t="s">
        <v>205</v>
      </c>
      <c r="T43" t="s">
        <v>2</v>
      </c>
      <c r="U43" t="s">
        <v>2</v>
      </c>
      <c r="V43">
        <f>COUNTA(Estimates_on_the_use_of_water__2020__a_3712[[#This Row],[name]:[wat_sur_u]])</f>
        <v>21</v>
      </c>
      <c r="W43">
        <f>COUNT(Estimates_on_the_use_of_water__2020__a_3712[[#This Row],[name]:[wat_sur_u]])</f>
        <v>6</v>
      </c>
    </row>
    <row r="44" spans="1:23" x14ac:dyDescent="0.25">
      <c r="A44" t="s">
        <v>206</v>
      </c>
      <c r="B44" t="s">
        <v>1</v>
      </c>
      <c r="C44">
        <v>400.12701420000002</v>
      </c>
      <c r="D44" s="3">
        <f>Estimates_on_the_use_of_water__2020__a_3712[[#This Row],[pop_n]]*1000</f>
        <v>400127.01420000003</v>
      </c>
      <c r="E44" s="9" t="s">
        <v>207</v>
      </c>
      <c r="F44" s="1">
        <v>0.98498992920000006</v>
      </c>
      <c r="G44" s="2">
        <v>394121.07938786544</v>
      </c>
      <c r="H44" s="1">
        <v>394.12107938786545</v>
      </c>
      <c r="I44" s="2">
        <v>1.5010070799999937</v>
      </c>
      <c r="J44" t="s">
        <v>208</v>
      </c>
      <c r="K44" t="s">
        <v>2</v>
      </c>
      <c r="L44" t="s">
        <v>209</v>
      </c>
      <c r="M44" t="s">
        <v>2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>
        <f>COUNTA(Estimates_on_the_use_of_water__2020__a_3712[[#This Row],[name]:[wat_sur_u]])</f>
        <v>21</v>
      </c>
      <c r="W44">
        <f>COUNT(Estimates_on_the_use_of_water__2020__a_3712[[#This Row],[name]:[wat_sur_u]])</f>
        <v>6</v>
      </c>
    </row>
    <row r="45" spans="1:23" x14ac:dyDescent="0.25">
      <c r="A45" t="s">
        <v>210</v>
      </c>
      <c r="B45" t="s">
        <v>30</v>
      </c>
      <c r="C45">
        <v>437.48300169999999</v>
      </c>
      <c r="D45" s="3">
        <f>Estimates_on_the_use_of_water__2020__a_3712[[#This Row],[pop_n]]*1000</f>
        <v>437483.00169999996</v>
      </c>
      <c r="E45" s="9" t="s">
        <v>211</v>
      </c>
      <c r="F45" s="1">
        <v>0.78250007629999996</v>
      </c>
      <c r="G45" s="2">
        <v>342330.48221020296</v>
      </c>
      <c r="H45" s="1">
        <v>342.330482210203</v>
      </c>
      <c r="I45" s="2">
        <v>21.749992370000001</v>
      </c>
      <c r="J45" t="s">
        <v>212</v>
      </c>
      <c r="K45" t="s">
        <v>2</v>
      </c>
      <c r="L45" t="s">
        <v>213</v>
      </c>
      <c r="M45" t="s">
        <v>2</v>
      </c>
      <c r="N45" t="s">
        <v>1</v>
      </c>
      <c r="O45" t="s">
        <v>1</v>
      </c>
      <c r="P45" t="s">
        <v>1</v>
      </c>
      <c r="Q45" t="s">
        <v>1</v>
      </c>
      <c r="R45" t="s">
        <v>214</v>
      </c>
      <c r="S45" t="s">
        <v>2</v>
      </c>
      <c r="T45" t="s">
        <v>215</v>
      </c>
      <c r="U45" t="s">
        <v>2</v>
      </c>
      <c r="V45">
        <f>COUNTA(Estimates_on_the_use_of_water__2020__a_3712[[#This Row],[name]:[wat_sur_u]])</f>
        <v>21</v>
      </c>
      <c r="W45">
        <f>COUNT(Estimates_on_the_use_of_water__2020__a_3712[[#This Row],[name]:[wat_sur_u]])</f>
        <v>6</v>
      </c>
    </row>
    <row r="46" spans="1:23" x14ac:dyDescent="0.25">
      <c r="A46" t="s">
        <v>216</v>
      </c>
      <c r="B46" t="s">
        <v>30</v>
      </c>
      <c r="C46">
        <v>441.53900149999998</v>
      </c>
      <c r="D46" s="3">
        <f>Estimates_on_the_use_of_water__2020__a_3712[[#This Row],[pop_n]]*1000</f>
        <v>441539.00149999995</v>
      </c>
      <c r="E46" s="9" t="s">
        <v>217</v>
      </c>
      <c r="F46" s="1">
        <v>0.94744003300000001</v>
      </c>
      <c r="G46" s="2">
        <v>418331.72615194699</v>
      </c>
      <c r="H46" s="1">
        <v>418.33172615194707</v>
      </c>
      <c r="I46" s="2">
        <v>5.2559966999999972</v>
      </c>
      <c r="J46" t="s">
        <v>218</v>
      </c>
      <c r="K46" t="s">
        <v>2</v>
      </c>
      <c r="L46" t="s">
        <v>2</v>
      </c>
      <c r="M46" t="s">
        <v>2</v>
      </c>
      <c r="N46" t="s">
        <v>15</v>
      </c>
      <c r="O46" t="s">
        <v>2</v>
      </c>
      <c r="P46" t="s">
        <v>2</v>
      </c>
      <c r="Q46" t="s">
        <v>2</v>
      </c>
      <c r="R46" t="s">
        <v>15</v>
      </c>
      <c r="S46" t="s">
        <v>2</v>
      </c>
      <c r="T46" t="s">
        <v>2</v>
      </c>
      <c r="U46" t="s">
        <v>2</v>
      </c>
      <c r="V46">
        <f>COUNTA(Estimates_on_the_use_of_water__2020__a_3712[[#This Row],[name]:[wat_sur_u]])</f>
        <v>21</v>
      </c>
      <c r="W46">
        <f>COUNT(Estimates_on_the_use_of_water__2020__a_3712[[#This Row],[name]:[wat_sur_u]])</f>
        <v>6</v>
      </c>
    </row>
    <row r="47" spans="1:23" x14ac:dyDescent="0.25">
      <c r="A47" t="s">
        <v>219</v>
      </c>
      <c r="B47" t="s">
        <v>35</v>
      </c>
      <c r="C47">
        <v>540.54199219999998</v>
      </c>
      <c r="D47" s="3">
        <f>Estimates_on_the_use_of_water__2020__a_3712[[#This Row],[pop_n]]*1000</f>
        <v>540541.99219999998</v>
      </c>
      <c r="E47" s="9" t="s">
        <v>220</v>
      </c>
      <c r="F47" s="1">
        <v>0.40668998719999999</v>
      </c>
      <c r="G47" s="2">
        <v>219833.01588888047</v>
      </c>
      <c r="H47" s="1">
        <v>219.83301588888048</v>
      </c>
      <c r="I47" s="2">
        <v>59.331001280000002</v>
      </c>
      <c r="J47" t="s">
        <v>221</v>
      </c>
      <c r="K47" t="s">
        <v>222</v>
      </c>
      <c r="L47" t="s">
        <v>223</v>
      </c>
      <c r="M47" t="s">
        <v>2</v>
      </c>
      <c r="N47" t="s">
        <v>224</v>
      </c>
      <c r="O47" t="s">
        <v>225</v>
      </c>
      <c r="P47" t="s">
        <v>2</v>
      </c>
      <c r="Q47" t="s">
        <v>2</v>
      </c>
      <c r="R47" t="s">
        <v>226</v>
      </c>
      <c r="S47" t="s">
        <v>2</v>
      </c>
      <c r="T47" t="s">
        <v>227</v>
      </c>
      <c r="U47" t="s">
        <v>2</v>
      </c>
      <c r="V47">
        <f>COUNTA(Estimates_on_the_use_of_water__2020__a_3712[[#This Row],[name]:[wat_sur_u]])</f>
        <v>21</v>
      </c>
      <c r="W47">
        <f>COUNT(Estimates_on_the_use_of_water__2020__a_3712[[#This Row],[name]:[wat_sur_u]])</f>
        <v>6</v>
      </c>
    </row>
    <row r="48" spans="1:23" x14ac:dyDescent="0.25">
      <c r="A48" t="s">
        <v>228</v>
      </c>
      <c r="B48" t="s">
        <v>109</v>
      </c>
      <c r="C48">
        <v>555.98797609999997</v>
      </c>
      <c r="D48" s="3">
        <f>Estimates_on_the_use_of_water__2020__a_3712[[#This Row],[pop_n]]*1000</f>
        <v>555987.97609999997</v>
      </c>
      <c r="E48" s="9">
        <v>66.652000430000001</v>
      </c>
      <c r="F48" s="1">
        <v>0.66652000430000002</v>
      </c>
      <c r="G48" s="2">
        <v>370577.10822092032</v>
      </c>
      <c r="H48" s="1">
        <v>370.57710822092031</v>
      </c>
      <c r="I48" s="2">
        <v>33.347999569999999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  <c r="P48" t="s">
        <v>235</v>
      </c>
      <c r="Q48" t="s">
        <v>236</v>
      </c>
      <c r="R48" t="s">
        <v>237</v>
      </c>
      <c r="S48" t="s">
        <v>2</v>
      </c>
      <c r="T48" t="s">
        <v>2</v>
      </c>
      <c r="U48" t="s">
        <v>82</v>
      </c>
      <c r="V48">
        <f>COUNTA(Estimates_on_the_use_of_water__2020__a_3712[[#This Row],[name]:[wat_sur_u]])</f>
        <v>21</v>
      </c>
      <c r="W48">
        <f>COUNT(Estimates_on_the_use_of_water__2020__a_3712[[#This Row],[name]:[wat_sur_u]])</f>
        <v>7</v>
      </c>
    </row>
    <row r="49" spans="1:23" x14ac:dyDescent="0.25">
      <c r="A49" t="s">
        <v>238</v>
      </c>
      <c r="B49" t="s">
        <v>35</v>
      </c>
      <c r="C49">
        <v>586.63397220000002</v>
      </c>
      <c r="D49" s="3">
        <f>Estimates_on_the_use_of_water__2020__a_3712[[#This Row],[pop_n]]*1000</f>
        <v>586633.97219999996</v>
      </c>
      <c r="E49" s="9" t="s">
        <v>239</v>
      </c>
      <c r="F49" s="1">
        <v>0.66149002080000008</v>
      </c>
      <c r="G49" s="2">
        <v>388052.51847256464</v>
      </c>
      <c r="H49" s="1">
        <v>388.05251847256466</v>
      </c>
      <c r="I49" s="2">
        <v>33.850997919999998</v>
      </c>
      <c r="J49" t="s">
        <v>240</v>
      </c>
      <c r="K49" t="s">
        <v>241</v>
      </c>
      <c r="L49" t="s">
        <v>242</v>
      </c>
      <c r="M49" t="s">
        <v>243</v>
      </c>
      <c r="N49" t="s">
        <v>244</v>
      </c>
      <c r="O49" t="s">
        <v>245</v>
      </c>
      <c r="P49" t="s">
        <v>246</v>
      </c>
      <c r="Q49" t="s">
        <v>247</v>
      </c>
      <c r="R49" t="s">
        <v>248</v>
      </c>
      <c r="S49" t="s">
        <v>249</v>
      </c>
      <c r="T49" t="s">
        <v>250</v>
      </c>
      <c r="U49" t="s">
        <v>2</v>
      </c>
      <c r="V49">
        <f>COUNTA(Estimates_on_the_use_of_water__2020__a_3712[[#This Row],[name]:[wat_sur_u]])</f>
        <v>21</v>
      </c>
      <c r="W49">
        <f>COUNT(Estimates_on_the_use_of_water__2020__a_3712[[#This Row],[name]:[wat_sur_u]])</f>
        <v>6</v>
      </c>
    </row>
    <row r="50" spans="1:23" x14ac:dyDescent="0.25">
      <c r="A50" t="s">
        <v>251</v>
      </c>
      <c r="B50" t="s">
        <v>30</v>
      </c>
      <c r="C50">
        <v>625.97601320000001</v>
      </c>
      <c r="D50" s="3">
        <f>Estimates_on_the_use_of_water__2020__a_3712[[#This Row],[pop_n]]*1000</f>
        <v>625976.01320000004</v>
      </c>
      <c r="E50" s="9" t="s">
        <v>252</v>
      </c>
      <c r="F50" s="1">
        <v>0.91452995299999995</v>
      </c>
      <c r="G50" s="2">
        <v>572473.81393092335</v>
      </c>
      <c r="H50" s="1">
        <v>572.47381393092337</v>
      </c>
      <c r="I50" s="2">
        <v>8.5470047000000022</v>
      </c>
      <c r="J50" t="s">
        <v>253</v>
      </c>
      <c r="K50" t="s">
        <v>2</v>
      </c>
      <c r="L50" t="s">
        <v>254</v>
      </c>
      <c r="M50" t="s">
        <v>2</v>
      </c>
      <c r="N50" t="s">
        <v>255</v>
      </c>
      <c r="O50" t="s">
        <v>2</v>
      </c>
      <c r="P50" t="s">
        <v>256</v>
      </c>
      <c r="Q50" t="s">
        <v>2</v>
      </c>
      <c r="R50" t="s">
        <v>15</v>
      </c>
      <c r="S50" t="s">
        <v>2</v>
      </c>
      <c r="T50" t="s">
        <v>2</v>
      </c>
      <c r="U50" t="s">
        <v>2</v>
      </c>
      <c r="V50">
        <f>COUNTA(Estimates_on_the_use_of_water__2020__a_3712[[#This Row],[name]:[wat_sur_u]])</f>
        <v>21</v>
      </c>
      <c r="W50">
        <f>COUNT(Estimates_on_the_use_of_water__2020__a_3712[[#This Row],[name]:[wat_sur_u]])</f>
        <v>6</v>
      </c>
    </row>
    <row r="51" spans="1:23" x14ac:dyDescent="0.25">
      <c r="A51" t="s">
        <v>257</v>
      </c>
      <c r="B51" t="s">
        <v>35</v>
      </c>
      <c r="C51">
        <v>628.06201169999997</v>
      </c>
      <c r="D51" s="3">
        <f>Estimates_on_the_use_of_water__2020__a_3712[[#This Row],[pop_n]]*1000</f>
        <v>628062.01169999992</v>
      </c>
      <c r="E51" s="9" t="s">
        <v>258</v>
      </c>
      <c r="F51" s="1">
        <v>0.67488006589999994</v>
      </c>
      <c r="G51" s="2">
        <v>423866.53184538247</v>
      </c>
      <c r="H51" s="1">
        <v>423.8665318453825</v>
      </c>
      <c r="I51" s="2">
        <v>32.511993410000002</v>
      </c>
      <c r="J51" t="s">
        <v>259</v>
      </c>
      <c r="K51" t="s">
        <v>260</v>
      </c>
      <c r="L51" t="s">
        <v>261</v>
      </c>
      <c r="M51" t="s">
        <v>262</v>
      </c>
      <c r="N51" t="s">
        <v>263</v>
      </c>
      <c r="O51" t="s">
        <v>2</v>
      </c>
      <c r="P51" t="s">
        <v>264</v>
      </c>
      <c r="Q51" t="s">
        <v>265</v>
      </c>
      <c r="R51" t="s">
        <v>266</v>
      </c>
      <c r="S51" t="s">
        <v>267</v>
      </c>
      <c r="T51" t="s">
        <v>2</v>
      </c>
      <c r="U51" t="s">
        <v>2</v>
      </c>
      <c r="V51">
        <f>COUNTA(Estimates_on_the_use_of_water__2020__a_3712[[#This Row],[name]:[wat_sur_u]])</f>
        <v>21</v>
      </c>
      <c r="W51">
        <f>COUNT(Estimates_on_the_use_of_water__2020__a_3712[[#This Row],[name]:[wat_sur_u]])</f>
        <v>6</v>
      </c>
    </row>
    <row r="52" spans="1:23" x14ac:dyDescent="0.25">
      <c r="A52" t="s">
        <v>268</v>
      </c>
      <c r="B52" t="s">
        <v>30</v>
      </c>
      <c r="C52">
        <v>649.34198000000004</v>
      </c>
      <c r="D52" s="3">
        <f>Estimates_on_the_use_of_water__2020__a_3712[[#This Row],[pop_n]]*1000</f>
        <v>649341.98</v>
      </c>
      <c r="E52" s="9" t="s">
        <v>15</v>
      </c>
      <c r="F52" s="1">
        <v>1</v>
      </c>
      <c r="G52" s="2">
        <v>649341.98</v>
      </c>
      <c r="H52" s="1">
        <v>649.34198000000004</v>
      </c>
      <c r="I52" s="2">
        <v>0</v>
      </c>
      <c r="J52" t="s">
        <v>15</v>
      </c>
      <c r="K52" t="s">
        <v>2</v>
      </c>
      <c r="L52" t="s">
        <v>2</v>
      </c>
      <c r="M52" t="s">
        <v>2</v>
      </c>
      <c r="N52" t="s">
        <v>1</v>
      </c>
      <c r="O52" t="s">
        <v>1</v>
      </c>
      <c r="P52" t="s">
        <v>1</v>
      </c>
      <c r="Q52" t="s">
        <v>1</v>
      </c>
      <c r="R52" t="s">
        <v>15</v>
      </c>
      <c r="S52" t="s">
        <v>2</v>
      </c>
      <c r="T52" t="s">
        <v>2</v>
      </c>
      <c r="U52" t="s">
        <v>2</v>
      </c>
      <c r="V52">
        <f>COUNTA(Estimates_on_the_use_of_water__2020__a_3712[[#This Row],[name]:[wat_sur_u]])</f>
        <v>21</v>
      </c>
      <c r="W52">
        <f>COUNT(Estimates_on_the_use_of_water__2020__a_3712[[#This Row],[name]:[wat_sur_u]])</f>
        <v>6</v>
      </c>
    </row>
    <row r="53" spans="1:23" x14ac:dyDescent="0.25">
      <c r="A53" t="s">
        <v>269</v>
      </c>
      <c r="B53" t="s">
        <v>109</v>
      </c>
      <c r="C53">
        <v>686.87799070000005</v>
      </c>
      <c r="D53" s="3">
        <f>Estimates_on_the_use_of_water__2020__a_3712[[#This Row],[pop_n]]*1000</f>
        <v>686877.99070000008</v>
      </c>
      <c r="E53" s="9" t="s">
        <v>270</v>
      </c>
      <c r="F53" s="1">
        <v>0.24670000080000001</v>
      </c>
      <c r="G53" s="2">
        <v>169452.80085519241</v>
      </c>
      <c r="H53" s="1">
        <v>169.45280085519241</v>
      </c>
      <c r="I53" s="2">
        <v>75.329999920000006</v>
      </c>
      <c r="J53" t="s">
        <v>271</v>
      </c>
      <c r="K53" t="s">
        <v>272</v>
      </c>
      <c r="L53" t="s">
        <v>273</v>
      </c>
      <c r="M53" t="s">
        <v>274</v>
      </c>
      <c r="N53" t="s">
        <v>275</v>
      </c>
      <c r="O53" t="s">
        <v>276</v>
      </c>
      <c r="P53" t="s">
        <v>277</v>
      </c>
      <c r="Q53" t="s">
        <v>278</v>
      </c>
      <c r="R53" t="s">
        <v>279</v>
      </c>
      <c r="S53" t="s">
        <v>280</v>
      </c>
      <c r="T53" t="s">
        <v>281</v>
      </c>
      <c r="U53" t="s">
        <v>282</v>
      </c>
      <c r="V53">
        <f>COUNTA(Estimates_on_the_use_of_water__2020__a_3712[[#This Row],[name]:[wat_sur_u]])</f>
        <v>21</v>
      </c>
      <c r="W53">
        <f>COUNT(Estimates_on_the_use_of_water__2020__a_3712[[#This Row],[name]:[wat_sur_u]])</f>
        <v>6</v>
      </c>
    </row>
    <row r="54" spans="1:23" x14ac:dyDescent="0.25">
      <c r="A54" t="s">
        <v>283</v>
      </c>
      <c r="B54" t="s">
        <v>109</v>
      </c>
      <c r="C54">
        <v>771.61199950000002</v>
      </c>
      <c r="D54" s="3">
        <f>Estimates_on_the_use_of_water__2020__a_3712[[#This Row],[pop_n]]*1000</f>
        <v>771611.99950000003</v>
      </c>
      <c r="E54" s="9" t="s">
        <v>284</v>
      </c>
      <c r="F54" s="1">
        <v>0.4231599808</v>
      </c>
      <c r="G54" s="2">
        <v>326515.31889346964</v>
      </c>
      <c r="H54" s="1">
        <v>326.51531889346961</v>
      </c>
      <c r="I54" s="2">
        <v>57.68400192</v>
      </c>
      <c r="J54" t="s">
        <v>285</v>
      </c>
      <c r="K54" t="s">
        <v>286</v>
      </c>
      <c r="L54" t="s">
        <v>287</v>
      </c>
      <c r="M54" t="s">
        <v>288</v>
      </c>
      <c r="N54" t="s">
        <v>289</v>
      </c>
      <c r="O54" t="s">
        <v>290</v>
      </c>
      <c r="P54" t="s">
        <v>2</v>
      </c>
      <c r="Q54" t="s">
        <v>2</v>
      </c>
      <c r="R54" t="s">
        <v>291</v>
      </c>
      <c r="S54" t="s">
        <v>292</v>
      </c>
      <c r="T54" t="s">
        <v>293</v>
      </c>
      <c r="U54" t="s">
        <v>294</v>
      </c>
      <c r="V54">
        <f>COUNTA(Estimates_on_the_use_of_water__2020__a_3712[[#This Row],[name]:[wat_sur_u]])</f>
        <v>21</v>
      </c>
      <c r="W54">
        <f>COUNT(Estimates_on_the_use_of_water__2020__a_3712[[#This Row],[name]:[wat_sur_u]])</f>
        <v>6</v>
      </c>
    </row>
    <row r="55" spans="1:23" x14ac:dyDescent="0.25">
      <c r="A55" t="s">
        <v>295</v>
      </c>
      <c r="B55" t="s">
        <v>35</v>
      </c>
      <c r="C55">
        <v>786.55902100000003</v>
      </c>
      <c r="D55" s="3">
        <f>Estimates_on_the_use_of_water__2020__a_3712[[#This Row],[pop_n]]*1000</f>
        <v>786559.02100000007</v>
      </c>
      <c r="E55" s="9" t="s">
        <v>296</v>
      </c>
      <c r="F55" s="1">
        <v>0.26785999300000002</v>
      </c>
      <c r="G55" s="2">
        <v>210687.69385914688</v>
      </c>
      <c r="H55" s="1">
        <v>210.68769385914686</v>
      </c>
      <c r="I55" s="2">
        <v>73.2140007</v>
      </c>
      <c r="J55" t="s">
        <v>297</v>
      </c>
      <c r="K55" t="s">
        <v>298</v>
      </c>
      <c r="L55" t="s">
        <v>299</v>
      </c>
      <c r="M55" t="s">
        <v>300</v>
      </c>
      <c r="N55" t="s">
        <v>301</v>
      </c>
      <c r="O55" t="s">
        <v>302</v>
      </c>
      <c r="P55" t="s">
        <v>303</v>
      </c>
      <c r="Q55" t="s">
        <v>304</v>
      </c>
      <c r="R55" t="s">
        <v>15</v>
      </c>
      <c r="S55" t="s">
        <v>2</v>
      </c>
      <c r="T55" t="s">
        <v>2</v>
      </c>
      <c r="U55" t="s">
        <v>2</v>
      </c>
      <c r="V55">
        <f>COUNTA(Estimates_on_the_use_of_water__2020__a_3712[[#This Row],[name]:[wat_sur_u]])</f>
        <v>21</v>
      </c>
      <c r="W55">
        <f>COUNT(Estimates_on_the_use_of_water__2020__a_3712[[#This Row],[name]:[wat_sur_u]])</f>
        <v>6</v>
      </c>
    </row>
    <row r="56" spans="1:23" x14ac:dyDescent="0.25">
      <c r="A56" t="s">
        <v>305</v>
      </c>
      <c r="B56" t="s">
        <v>1</v>
      </c>
      <c r="C56">
        <v>895.30798340000001</v>
      </c>
      <c r="D56" s="3">
        <f>Estimates_on_the_use_of_water__2020__a_3712[[#This Row],[pop_n]]*1000</f>
        <v>895307.98340000003</v>
      </c>
      <c r="E56" s="9" t="s">
        <v>306</v>
      </c>
      <c r="F56" s="1">
        <v>0.99659004210000002</v>
      </c>
      <c r="G56" s="2">
        <v>892255.02086907218</v>
      </c>
      <c r="H56" s="1">
        <v>892.25502086907215</v>
      </c>
      <c r="I56" s="2">
        <v>0.3409957899999938</v>
      </c>
      <c r="J56" t="s">
        <v>15</v>
      </c>
      <c r="K56" t="s">
        <v>2</v>
      </c>
      <c r="L56" t="s">
        <v>2</v>
      </c>
      <c r="M56" t="s">
        <v>2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>
        <f>COUNTA(Estimates_on_the_use_of_water__2020__a_3712[[#This Row],[name]:[wat_sur_u]])</f>
        <v>21</v>
      </c>
      <c r="W56">
        <f>COUNT(Estimates_on_the_use_of_water__2020__a_3712[[#This Row],[name]:[wat_sur_u]])</f>
        <v>6</v>
      </c>
    </row>
    <row r="57" spans="1:23" x14ac:dyDescent="0.25">
      <c r="A57" t="s">
        <v>307</v>
      </c>
      <c r="B57" t="s">
        <v>35</v>
      </c>
      <c r="C57">
        <v>896.44396970000003</v>
      </c>
      <c r="D57" s="3">
        <f>Estimates_on_the_use_of_water__2020__a_3712[[#This Row],[pop_n]]*1000</f>
        <v>896443.96970000002</v>
      </c>
      <c r="E57" s="9" t="s">
        <v>308</v>
      </c>
      <c r="F57" s="1">
        <v>0.5724700546</v>
      </c>
      <c r="G57" s="2">
        <v>513187.32827999978</v>
      </c>
      <c r="H57" s="1">
        <v>513.18732827999975</v>
      </c>
      <c r="I57" s="2">
        <v>42.752994540000003</v>
      </c>
      <c r="J57" t="s">
        <v>309</v>
      </c>
      <c r="K57" t="s">
        <v>2</v>
      </c>
      <c r="L57" t="s">
        <v>310</v>
      </c>
      <c r="M57" t="s">
        <v>311</v>
      </c>
      <c r="N57" t="s">
        <v>312</v>
      </c>
      <c r="O57" t="s">
        <v>2</v>
      </c>
      <c r="P57" t="s">
        <v>313</v>
      </c>
      <c r="Q57" t="s">
        <v>314</v>
      </c>
      <c r="R57" t="s">
        <v>315</v>
      </c>
      <c r="S57" t="s">
        <v>2</v>
      </c>
      <c r="T57" t="s">
        <v>316</v>
      </c>
      <c r="U57" t="s">
        <v>317</v>
      </c>
      <c r="V57">
        <f>COUNTA(Estimates_on_the_use_of_water__2020__a_3712[[#This Row],[name]:[wat_sur_u]])</f>
        <v>21</v>
      </c>
      <c r="W57">
        <f>COUNT(Estimates_on_the_use_of_water__2020__a_3712[[#This Row],[name]:[wat_sur_u]])</f>
        <v>6</v>
      </c>
    </row>
    <row r="58" spans="1:23" x14ac:dyDescent="0.25">
      <c r="A58" t="s">
        <v>318</v>
      </c>
      <c r="B58" t="s">
        <v>109</v>
      </c>
      <c r="C58">
        <v>988.00201419999996</v>
      </c>
      <c r="D58" s="3">
        <f>Estimates_on_the_use_of_water__2020__a_3712[[#This Row],[pop_n]]*1000</f>
        <v>988002.01419999998</v>
      </c>
      <c r="E58" s="9" t="s">
        <v>319</v>
      </c>
      <c r="F58" s="1">
        <v>0.78061996460000005</v>
      </c>
      <c r="G58" s="2">
        <v>771254.09734953276</v>
      </c>
      <c r="H58" s="1">
        <v>771.25409734953269</v>
      </c>
      <c r="I58" s="2">
        <v>21.938003539999997</v>
      </c>
      <c r="J58" t="s">
        <v>320</v>
      </c>
      <c r="K58" t="s">
        <v>321</v>
      </c>
      <c r="L58" t="s">
        <v>322</v>
      </c>
      <c r="M58" t="s">
        <v>323</v>
      </c>
      <c r="N58" t="s">
        <v>324</v>
      </c>
      <c r="O58" t="s">
        <v>325</v>
      </c>
      <c r="P58" t="s">
        <v>326</v>
      </c>
      <c r="Q58" t="s">
        <v>327</v>
      </c>
      <c r="R58" t="s">
        <v>328</v>
      </c>
      <c r="S58" t="s">
        <v>329</v>
      </c>
      <c r="T58" t="s">
        <v>330</v>
      </c>
      <c r="U58" t="s">
        <v>2</v>
      </c>
      <c r="V58">
        <f>COUNTA(Estimates_on_the_use_of_water__2020__a_3712[[#This Row],[name]:[wat_sur_u]])</f>
        <v>21</v>
      </c>
      <c r="W58">
        <f>COUNT(Estimates_on_the_use_of_water__2020__a_3712[[#This Row],[name]:[wat_sur_u]])</f>
        <v>6</v>
      </c>
    </row>
    <row r="59" spans="1:23" x14ac:dyDescent="0.25">
      <c r="A59" t="s">
        <v>331</v>
      </c>
      <c r="B59" t="s">
        <v>109</v>
      </c>
      <c r="C59">
        <v>1160.1639399999999</v>
      </c>
      <c r="D59" s="3">
        <f>Estimates_on_the_use_of_water__2020__a_3712[[#This Row],[pop_n]]*1000</f>
        <v>1160163.94</v>
      </c>
      <c r="E59" s="9" t="s">
        <v>332</v>
      </c>
      <c r="F59" s="1">
        <v>0.2417100143</v>
      </c>
      <c r="G59" s="2">
        <v>280423.24252774433</v>
      </c>
      <c r="H59" s="1">
        <v>280.42324252774432</v>
      </c>
      <c r="I59" s="2">
        <v>75.828998569999996</v>
      </c>
      <c r="J59" t="s">
        <v>333</v>
      </c>
      <c r="K59" t="s">
        <v>334</v>
      </c>
      <c r="L59" t="s">
        <v>335</v>
      </c>
      <c r="M59" t="s">
        <v>336</v>
      </c>
      <c r="N59" t="s">
        <v>337</v>
      </c>
      <c r="O59" t="s">
        <v>338</v>
      </c>
      <c r="P59" t="s">
        <v>339</v>
      </c>
      <c r="Q59" t="s">
        <v>340</v>
      </c>
      <c r="R59" t="s">
        <v>341</v>
      </c>
      <c r="S59" t="s">
        <v>342</v>
      </c>
      <c r="T59" t="s">
        <v>343</v>
      </c>
      <c r="U59" t="s">
        <v>344</v>
      </c>
      <c r="V59">
        <f>COUNTA(Estimates_on_the_use_of_water__2020__a_3712[[#This Row],[name]:[wat_sur_u]])</f>
        <v>21</v>
      </c>
      <c r="W59">
        <f>COUNT(Estimates_on_the_use_of_water__2020__a_3712[[#This Row],[name]:[wat_sur_u]])</f>
        <v>6</v>
      </c>
    </row>
    <row r="60" spans="1:23" x14ac:dyDescent="0.25">
      <c r="A60" t="s">
        <v>345</v>
      </c>
      <c r="B60" t="s">
        <v>30</v>
      </c>
      <c r="C60">
        <v>1207.360962</v>
      </c>
      <c r="D60" s="3">
        <f>Estimates_on_the_use_of_water__2020__a_3712[[#This Row],[pop_n]]*1000</f>
        <v>1207360.9620000001</v>
      </c>
      <c r="E60" s="9" t="s">
        <v>346</v>
      </c>
      <c r="F60" s="1">
        <v>0.66820999150000004</v>
      </c>
      <c r="G60" s="2">
        <v>806770.65815545188</v>
      </c>
      <c r="H60" s="1">
        <v>806.77065815545188</v>
      </c>
      <c r="I60" s="2">
        <v>33.179000849999994</v>
      </c>
      <c r="J60" t="s">
        <v>347</v>
      </c>
      <c r="K60" t="s">
        <v>2</v>
      </c>
      <c r="L60" t="s">
        <v>348</v>
      </c>
      <c r="M60" t="s">
        <v>2</v>
      </c>
      <c r="N60" t="s">
        <v>349</v>
      </c>
      <c r="O60" t="s">
        <v>2</v>
      </c>
      <c r="P60" t="s">
        <v>350</v>
      </c>
      <c r="Q60" t="s">
        <v>2</v>
      </c>
      <c r="R60" t="s">
        <v>351</v>
      </c>
      <c r="S60" t="s">
        <v>2</v>
      </c>
      <c r="T60" t="s">
        <v>352</v>
      </c>
      <c r="U60" t="s">
        <v>2</v>
      </c>
      <c r="V60">
        <f>COUNTA(Estimates_on_the_use_of_water__2020__a_3712[[#This Row],[name]:[wat_sur_u]])</f>
        <v>21</v>
      </c>
      <c r="W60">
        <f>COUNT(Estimates_on_the_use_of_water__2020__a_3712[[#This Row],[name]:[wat_sur_u]])</f>
        <v>6</v>
      </c>
    </row>
    <row r="61" spans="1:23" x14ac:dyDescent="0.25">
      <c r="A61" t="s">
        <v>353</v>
      </c>
      <c r="B61" t="s">
        <v>35</v>
      </c>
      <c r="C61">
        <v>1271.7669679999999</v>
      </c>
      <c r="D61" s="3">
        <f>Estimates_on_the_use_of_water__2020__a_3712[[#This Row],[pop_n]]*1000</f>
        <v>1271766.9679999999</v>
      </c>
      <c r="E61" s="9" t="s">
        <v>354</v>
      </c>
      <c r="F61" s="1">
        <v>0.40759998320000002</v>
      </c>
      <c r="G61" s="2">
        <v>518372.19479111489</v>
      </c>
      <c r="H61" s="1">
        <v>518.37219479111491</v>
      </c>
      <c r="I61" s="2">
        <v>59.240001679999999</v>
      </c>
      <c r="J61" t="s">
        <v>355</v>
      </c>
      <c r="K61" t="s">
        <v>2</v>
      </c>
      <c r="L61" t="s">
        <v>356</v>
      </c>
      <c r="M61" t="s">
        <v>2</v>
      </c>
      <c r="N61" t="s">
        <v>357</v>
      </c>
      <c r="O61" t="s">
        <v>2</v>
      </c>
      <c r="P61" t="s">
        <v>358</v>
      </c>
      <c r="Q61" t="s">
        <v>2</v>
      </c>
      <c r="R61" t="s">
        <v>359</v>
      </c>
      <c r="S61" t="s">
        <v>2</v>
      </c>
      <c r="T61" t="s">
        <v>360</v>
      </c>
      <c r="U61" t="s">
        <v>2</v>
      </c>
      <c r="V61">
        <f>COUNTA(Estimates_on_the_use_of_water__2020__a_3712[[#This Row],[name]:[wat_sur_u]])</f>
        <v>21</v>
      </c>
      <c r="W61">
        <f>COUNT(Estimates_on_the_use_of_water__2020__a_3712[[#This Row],[name]:[wat_sur_u]])</f>
        <v>6</v>
      </c>
    </row>
    <row r="62" spans="1:23" x14ac:dyDescent="0.25">
      <c r="A62" t="s">
        <v>361</v>
      </c>
      <c r="B62" t="s">
        <v>109</v>
      </c>
      <c r="C62">
        <v>1318.4420170000001</v>
      </c>
      <c r="D62" s="3">
        <f>Estimates_on_the_use_of_water__2020__a_3712[[#This Row],[pop_n]]*1000</f>
        <v>1318442.017</v>
      </c>
      <c r="E62" s="9" t="s">
        <v>362</v>
      </c>
      <c r="F62" s="1">
        <v>0.3131999969</v>
      </c>
      <c r="G62" s="2">
        <v>412936.03563722974</v>
      </c>
      <c r="H62" s="1">
        <v>412.93603563722979</v>
      </c>
      <c r="I62" s="2">
        <v>68.680000309999997</v>
      </c>
      <c r="J62" t="s">
        <v>363</v>
      </c>
      <c r="K62" t="s">
        <v>364</v>
      </c>
      <c r="L62" t="s">
        <v>365</v>
      </c>
      <c r="M62" t="s">
        <v>366</v>
      </c>
      <c r="N62" t="s">
        <v>367</v>
      </c>
      <c r="O62" t="s">
        <v>368</v>
      </c>
      <c r="P62" t="s">
        <v>369</v>
      </c>
      <c r="Q62" t="s">
        <v>370</v>
      </c>
      <c r="R62" t="s">
        <v>371</v>
      </c>
      <c r="S62" t="s">
        <v>372</v>
      </c>
      <c r="T62" t="s">
        <v>373</v>
      </c>
      <c r="U62" t="s">
        <v>2</v>
      </c>
      <c r="V62">
        <f>COUNTA(Estimates_on_the_use_of_water__2020__a_3712[[#This Row],[name]:[wat_sur_u]])</f>
        <v>21</v>
      </c>
      <c r="W62">
        <f>COUNT(Estimates_on_the_use_of_water__2020__a_3712[[#This Row],[name]:[wat_sur_u]])</f>
        <v>6</v>
      </c>
    </row>
    <row r="63" spans="1:23" x14ac:dyDescent="0.25">
      <c r="A63" t="s">
        <v>374</v>
      </c>
      <c r="B63" t="s">
        <v>30</v>
      </c>
      <c r="C63">
        <v>1326.5389399999999</v>
      </c>
      <c r="D63" s="3">
        <f>Estimates_on_the_use_of_water__2020__a_3712[[#This Row],[pop_n]]*1000</f>
        <v>1326538.94</v>
      </c>
      <c r="E63" s="9" t="s">
        <v>375</v>
      </c>
      <c r="F63" s="1">
        <v>0.69229003909999998</v>
      </c>
      <c r="G63" s="2">
        <v>918349.69464027253</v>
      </c>
      <c r="H63" s="1">
        <v>918.34969464027245</v>
      </c>
      <c r="I63" s="2">
        <v>30.770996089999997</v>
      </c>
      <c r="J63" t="s">
        <v>376</v>
      </c>
      <c r="K63" t="s">
        <v>2</v>
      </c>
      <c r="L63" t="s">
        <v>377</v>
      </c>
      <c r="M63" t="s">
        <v>2</v>
      </c>
      <c r="N63" t="s">
        <v>1</v>
      </c>
      <c r="O63" t="s">
        <v>1</v>
      </c>
      <c r="P63" t="s">
        <v>1</v>
      </c>
      <c r="Q63" t="s">
        <v>1</v>
      </c>
      <c r="R63" t="s">
        <v>378</v>
      </c>
      <c r="S63" t="s">
        <v>2</v>
      </c>
      <c r="T63" t="s">
        <v>379</v>
      </c>
      <c r="U63" t="s">
        <v>2</v>
      </c>
      <c r="V63">
        <f>COUNTA(Estimates_on_the_use_of_water__2020__a_3712[[#This Row],[name]:[wat_sur_u]])</f>
        <v>21</v>
      </c>
      <c r="W63">
        <f>COUNT(Estimates_on_the_use_of_water__2020__a_3712[[#This Row],[name]:[wat_sur_u]])</f>
        <v>6</v>
      </c>
    </row>
    <row r="64" spans="1:23" x14ac:dyDescent="0.25">
      <c r="A64" t="s">
        <v>380</v>
      </c>
      <c r="B64" t="s">
        <v>30</v>
      </c>
      <c r="C64">
        <v>1399.490967</v>
      </c>
      <c r="D64" s="3">
        <f>Estimates_on_the_use_of_water__2020__a_3712[[#This Row],[pop_n]]*1000</f>
        <v>1399490.9669999999</v>
      </c>
      <c r="E64" s="9" t="s">
        <v>381</v>
      </c>
      <c r="F64" s="1">
        <v>0.53214000699999997</v>
      </c>
      <c r="G64" s="2">
        <v>744725.13297581673</v>
      </c>
      <c r="H64" s="1">
        <v>744.72513297581668</v>
      </c>
      <c r="I64" s="2">
        <v>46.7859993</v>
      </c>
      <c r="J64" t="s">
        <v>382</v>
      </c>
      <c r="K64" t="s">
        <v>383</v>
      </c>
      <c r="L64" t="s">
        <v>2</v>
      </c>
      <c r="M64" t="s">
        <v>2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>
        <f>COUNTA(Estimates_on_the_use_of_water__2020__a_3712[[#This Row],[name]:[wat_sur_u]])</f>
        <v>21</v>
      </c>
      <c r="W64">
        <f>COUNT(Estimates_on_the_use_of_water__2020__a_3712[[#This Row],[name]:[wat_sur_u]])</f>
        <v>6</v>
      </c>
    </row>
    <row r="65" spans="1:23" x14ac:dyDescent="0.25">
      <c r="A65" t="s">
        <v>384</v>
      </c>
      <c r="B65" t="s">
        <v>30</v>
      </c>
      <c r="C65">
        <v>1701.5830080000001</v>
      </c>
      <c r="D65" s="3">
        <f>Estimates_on_the_use_of_water__2020__a_3712[[#This Row],[pop_n]]*1000</f>
        <v>1701583.0080000001</v>
      </c>
      <c r="E65" s="9" t="s">
        <v>385</v>
      </c>
      <c r="F65" s="1">
        <v>0.8950600433</v>
      </c>
      <c r="G65" s="2">
        <v>1523018.9608190244</v>
      </c>
      <c r="H65" s="1">
        <v>1523.0189608190242</v>
      </c>
      <c r="I65" s="2">
        <v>10.493995670000004</v>
      </c>
      <c r="J65" t="s">
        <v>15</v>
      </c>
      <c r="K65" t="s">
        <v>2</v>
      </c>
      <c r="L65" t="s">
        <v>2</v>
      </c>
      <c r="M65" t="s">
        <v>2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>
        <f>COUNTA(Estimates_on_the_use_of_water__2020__a_3712[[#This Row],[name]:[wat_sur_u]])</f>
        <v>21</v>
      </c>
      <c r="W65">
        <f>COUNT(Estimates_on_the_use_of_water__2020__a_3712[[#This Row],[name]:[wat_sur_u]])</f>
        <v>6</v>
      </c>
    </row>
    <row r="66" spans="1:23" x14ac:dyDescent="0.25">
      <c r="A66" t="s">
        <v>386</v>
      </c>
      <c r="B66" t="s">
        <v>30</v>
      </c>
      <c r="C66">
        <v>1886.2020259999999</v>
      </c>
      <c r="D66" s="3">
        <f>Estimates_on_the_use_of_water__2020__a_3712[[#This Row],[pop_n]]*1000</f>
        <v>1886202.0259999998</v>
      </c>
      <c r="E66" s="9" t="s">
        <v>387</v>
      </c>
      <c r="F66" s="1">
        <v>0.68315002440000006</v>
      </c>
      <c r="G66" s="2">
        <v>1288558.9600852295</v>
      </c>
      <c r="H66" s="1">
        <v>1288.5589600852295</v>
      </c>
      <c r="I66" s="2">
        <v>31.684997559999999</v>
      </c>
      <c r="J66" t="s">
        <v>388</v>
      </c>
      <c r="K66" t="s">
        <v>389</v>
      </c>
      <c r="L66" t="s">
        <v>390</v>
      </c>
      <c r="M66" t="s">
        <v>2</v>
      </c>
      <c r="N66" t="s">
        <v>391</v>
      </c>
      <c r="O66" t="s">
        <v>2</v>
      </c>
      <c r="P66" t="s">
        <v>392</v>
      </c>
      <c r="Q66" t="s">
        <v>2</v>
      </c>
      <c r="R66" t="s">
        <v>393</v>
      </c>
      <c r="S66" t="s">
        <v>394</v>
      </c>
      <c r="T66" t="s">
        <v>395</v>
      </c>
      <c r="U66" t="s">
        <v>2</v>
      </c>
      <c r="V66">
        <f>COUNTA(Estimates_on_the_use_of_water__2020__a_3712[[#This Row],[name]:[wat_sur_u]])</f>
        <v>21</v>
      </c>
      <c r="W66">
        <f>COUNT(Estimates_on_the_use_of_water__2020__a_3712[[#This Row],[name]:[wat_sur_u]])</f>
        <v>6</v>
      </c>
    </row>
    <row r="67" spans="1:23" x14ac:dyDescent="0.25">
      <c r="A67" t="s">
        <v>396</v>
      </c>
      <c r="B67" t="s">
        <v>397</v>
      </c>
      <c r="C67">
        <v>1967.998047</v>
      </c>
      <c r="D67" s="3">
        <f>Estimates_on_the_use_of_water__2020__a_3712[[#This Row],[pop_n]]*1000</f>
        <v>1967998.047</v>
      </c>
      <c r="E67" s="9" t="s">
        <v>398</v>
      </c>
      <c r="F67" s="1">
        <v>0.44195999149999998</v>
      </c>
      <c r="G67" s="2">
        <v>869776.40012413659</v>
      </c>
      <c r="H67" s="1">
        <v>869.77640012413656</v>
      </c>
      <c r="I67" s="2">
        <v>55.804000850000001</v>
      </c>
      <c r="J67" t="s">
        <v>399</v>
      </c>
      <c r="K67" t="s">
        <v>400</v>
      </c>
      <c r="L67" t="s">
        <v>401</v>
      </c>
      <c r="M67" t="s">
        <v>402</v>
      </c>
      <c r="N67" t="s">
        <v>403</v>
      </c>
      <c r="O67" t="s">
        <v>404</v>
      </c>
      <c r="P67" t="s">
        <v>405</v>
      </c>
      <c r="Q67" t="s">
        <v>406</v>
      </c>
      <c r="R67" t="s">
        <v>407</v>
      </c>
      <c r="S67" t="s">
        <v>408</v>
      </c>
      <c r="T67" t="s">
        <v>409</v>
      </c>
      <c r="U67" t="s">
        <v>410</v>
      </c>
      <c r="V67">
        <f>COUNTA(Estimates_on_the_use_of_water__2020__a_3712[[#This Row],[name]:[wat_sur_u]])</f>
        <v>21</v>
      </c>
      <c r="W67">
        <f>COUNT(Estimates_on_the_use_of_water__2020__a_3712[[#This Row],[name]:[wat_sur_u]])</f>
        <v>6</v>
      </c>
    </row>
    <row r="68" spans="1:23" x14ac:dyDescent="0.25">
      <c r="A68" t="s">
        <v>411</v>
      </c>
      <c r="B68" t="s">
        <v>30</v>
      </c>
      <c r="C68">
        <v>2078.931885</v>
      </c>
      <c r="D68" s="3">
        <f>Estimates_on_the_use_of_water__2020__a_3712[[#This Row],[pop_n]]*1000</f>
        <v>2078931.885</v>
      </c>
      <c r="E68" s="9" t="s">
        <v>412</v>
      </c>
      <c r="F68" s="1">
        <v>0.55118003849999997</v>
      </c>
      <c r="G68" s="2">
        <v>1145865.7564131776</v>
      </c>
      <c r="H68" s="1">
        <v>1145.8657564131775</v>
      </c>
      <c r="I68" s="2">
        <v>44.881996149999999</v>
      </c>
      <c r="J68" t="s">
        <v>186</v>
      </c>
      <c r="K68" t="s">
        <v>2</v>
      </c>
      <c r="L68" t="s">
        <v>187</v>
      </c>
      <c r="M68" t="s">
        <v>2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>
        <f>COUNTA(Estimates_on_the_use_of_water__2020__a_3712[[#This Row],[name]:[wat_sur_u]])</f>
        <v>21</v>
      </c>
      <c r="W68">
        <f>COUNT(Estimates_on_the_use_of_water__2020__a_3712[[#This Row],[name]:[wat_sur_u]])</f>
        <v>6</v>
      </c>
    </row>
    <row r="69" spans="1:23" x14ac:dyDescent="0.25">
      <c r="A69" t="s">
        <v>413</v>
      </c>
      <c r="B69" t="s">
        <v>35</v>
      </c>
      <c r="C69">
        <v>2083.3798830000001</v>
      </c>
      <c r="D69" s="3">
        <f>Estimates_on_the_use_of_water__2020__a_3712[[#This Row],[pop_n]]*1000</f>
        <v>2083379.8830000001</v>
      </c>
      <c r="E69" s="9" t="s">
        <v>414</v>
      </c>
      <c r="F69" s="1">
        <v>0.58481998439999994</v>
      </c>
      <c r="G69" s="2">
        <v>1218402.1906753338</v>
      </c>
      <c r="H69" s="1">
        <v>1218.4021906753337</v>
      </c>
      <c r="I69" s="2">
        <v>41.518001560000002</v>
      </c>
      <c r="J69" t="s">
        <v>415</v>
      </c>
      <c r="K69" t="s">
        <v>416</v>
      </c>
      <c r="L69" t="s">
        <v>417</v>
      </c>
      <c r="M69" t="s">
        <v>418</v>
      </c>
      <c r="N69" t="s">
        <v>419</v>
      </c>
      <c r="O69" t="s">
        <v>420</v>
      </c>
      <c r="P69" t="s">
        <v>421</v>
      </c>
      <c r="Q69" t="s">
        <v>422</v>
      </c>
      <c r="R69" t="s">
        <v>423</v>
      </c>
      <c r="S69" t="s">
        <v>424</v>
      </c>
      <c r="T69" t="s">
        <v>425</v>
      </c>
      <c r="U69" t="s">
        <v>2</v>
      </c>
      <c r="V69">
        <f>COUNTA(Estimates_on_the_use_of_water__2020__a_3712[[#This Row],[name]:[wat_sur_u]])</f>
        <v>21</v>
      </c>
      <c r="W69">
        <f>COUNT(Estimates_on_the_use_of_water__2020__a_3712[[#This Row],[name]:[wat_sur_u]])</f>
        <v>6</v>
      </c>
    </row>
    <row r="70" spans="1:23" x14ac:dyDescent="0.25">
      <c r="A70" t="s">
        <v>426</v>
      </c>
      <c r="B70" t="s">
        <v>109</v>
      </c>
      <c r="C70">
        <v>2142.251953</v>
      </c>
      <c r="D70" s="3">
        <f>Estimates_on_the_use_of_water__2020__a_3712[[#This Row],[pop_n]]*1000</f>
        <v>2142251.9529999997</v>
      </c>
      <c r="E70" s="9" t="s">
        <v>427</v>
      </c>
      <c r="F70" s="1">
        <v>0.29027999879999999</v>
      </c>
      <c r="G70" s="2">
        <v>621852.89434613753</v>
      </c>
      <c r="H70" s="1">
        <v>621.85289434613765</v>
      </c>
      <c r="I70" s="2">
        <v>70.972000120000004</v>
      </c>
      <c r="J70" t="s">
        <v>428</v>
      </c>
      <c r="K70" t="s">
        <v>429</v>
      </c>
      <c r="L70" t="s">
        <v>430</v>
      </c>
      <c r="M70" t="s">
        <v>431</v>
      </c>
      <c r="N70" t="s">
        <v>432</v>
      </c>
      <c r="O70" t="s">
        <v>433</v>
      </c>
      <c r="P70" t="s">
        <v>434</v>
      </c>
      <c r="Q70" t="s">
        <v>435</v>
      </c>
      <c r="R70" t="s">
        <v>436</v>
      </c>
      <c r="S70" t="s">
        <v>437</v>
      </c>
      <c r="T70" t="s">
        <v>438</v>
      </c>
      <c r="U70" t="s">
        <v>439</v>
      </c>
      <c r="V70">
        <f>COUNTA(Estimates_on_the_use_of_water__2020__a_3712[[#This Row],[name]:[wat_sur_u]])</f>
        <v>21</v>
      </c>
      <c r="W70">
        <f>COUNT(Estimates_on_the_use_of_water__2020__a_3712[[#This Row],[name]:[wat_sur_u]])</f>
        <v>6</v>
      </c>
    </row>
    <row r="71" spans="1:23" x14ac:dyDescent="0.25">
      <c r="A71" t="s">
        <v>440</v>
      </c>
      <c r="B71" t="s">
        <v>35</v>
      </c>
      <c r="C71">
        <v>2225.7280270000001</v>
      </c>
      <c r="D71" s="3">
        <f>Estimates_on_the_use_of_water__2020__a_3712[[#This Row],[pop_n]]*1000</f>
        <v>2225728.0270000002</v>
      </c>
      <c r="E71" s="9" t="s">
        <v>441</v>
      </c>
      <c r="F71" s="1">
        <v>0.90092002869999999</v>
      </c>
      <c r="G71" s="2">
        <v>2005202.9579632345</v>
      </c>
      <c r="H71" s="1">
        <v>2005.2029579632344</v>
      </c>
      <c r="I71" s="2">
        <v>9.9079971299999983</v>
      </c>
      <c r="J71" t="s">
        <v>442</v>
      </c>
      <c r="K71" t="s">
        <v>443</v>
      </c>
      <c r="L71" t="s">
        <v>444</v>
      </c>
      <c r="M71" t="s">
        <v>1</v>
      </c>
      <c r="N71" t="s">
        <v>445</v>
      </c>
      <c r="O71" t="s">
        <v>446</v>
      </c>
      <c r="P71" t="s">
        <v>447</v>
      </c>
      <c r="Q71" t="s">
        <v>1</v>
      </c>
      <c r="R71" t="s">
        <v>448</v>
      </c>
      <c r="S71" t="s">
        <v>449</v>
      </c>
      <c r="T71" t="s">
        <v>450</v>
      </c>
      <c r="U71" t="s">
        <v>1</v>
      </c>
      <c r="V71">
        <f>COUNTA(Estimates_on_the_use_of_water__2020__a_3712[[#This Row],[name]:[wat_sur_u]])</f>
        <v>21</v>
      </c>
      <c r="W71">
        <f>COUNT(Estimates_on_the_use_of_water__2020__a_3712[[#This Row],[name]:[wat_sur_u]])</f>
        <v>6</v>
      </c>
    </row>
    <row r="72" spans="1:23" x14ac:dyDescent="0.25">
      <c r="A72" t="s">
        <v>451</v>
      </c>
      <c r="B72" t="s">
        <v>35</v>
      </c>
      <c r="C72">
        <v>2351.625</v>
      </c>
      <c r="D72" s="3">
        <f>Estimates_on_the_use_of_water__2020__a_3712[[#This Row],[pop_n]]*1000</f>
        <v>2351625</v>
      </c>
      <c r="E72" s="9" t="s">
        <v>452</v>
      </c>
      <c r="F72" s="1">
        <v>0.70876998899999999</v>
      </c>
      <c r="G72" s="2">
        <v>1666761.225382125</v>
      </c>
      <c r="H72" s="1">
        <v>1666.7612253821251</v>
      </c>
      <c r="I72" s="2">
        <v>29.123001099999996</v>
      </c>
      <c r="J72" t="s">
        <v>453</v>
      </c>
      <c r="K72" t="s">
        <v>454</v>
      </c>
      <c r="L72" t="s">
        <v>455</v>
      </c>
      <c r="M72" t="s">
        <v>456</v>
      </c>
      <c r="N72" t="s">
        <v>457</v>
      </c>
      <c r="O72" t="s">
        <v>458</v>
      </c>
      <c r="P72" t="s">
        <v>459</v>
      </c>
      <c r="Q72" t="s">
        <v>460</v>
      </c>
      <c r="R72" t="s">
        <v>461</v>
      </c>
      <c r="S72" t="s">
        <v>462</v>
      </c>
      <c r="T72" t="s">
        <v>463</v>
      </c>
      <c r="U72" t="s">
        <v>464</v>
      </c>
      <c r="V72">
        <f>COUNTA(Estimates_on_the_use_of_water__2020__a_3712[[#This Row],[name]:[wat_sur_u]])</f>
        <v>21</v>
      </c>
      <c r="W72">
        <f>COUNT(Estimates_on_the_use_of_water__2020__a_3712[[#This Row],[name]:[wat_sur_u]])</f>
        <v>6</v>
      </c>
    </row>
    <row r="73" spans="1:23" x14ac:dyDescent="0.25">
      <c r="A73" t="s">
        <v>465</v>
      </c>
      <c r="B73" t="s">
        <v>397</v>
      </c>
      <c r="C73">
        <v>2416.6640630000002</v>
      </c>
      <c r="D73" s="3">
        <f>Estimates_on_the_use_of_water__2020__a_3712[[#This Row],[pop_n]]*1000</f>
        <v>2416664.0630000001</v>
      </c>
      <c r="E73" s="9" t="s">
        <v>466</v>
      </c>
      <c r="F73" s="1">
        <v>0.62581996920000005</v>
      </c>
      <c r="G73" s="2">
        <v>1512396.6294734071</v>
      </c>
      <c r="H73" s="1">
        <v>1512.3966294734071</v>
      </c>
      <c r="I73" s="2">
        <v>37.418003079999998</v>
      </c>
      <c r="J73" t="s">
        <v>467</v>
      </c>
      <c r="K73" t="s">
        <v>468</v>
      </c>
      <c r="L73" t="s">
        <v>469</v>
      </c>
      <c r="M73" t="s">
        <v>470</v>
      </c>
      <c r="N73" t="s">
        <v>471</v>
      </c>
      <c r="O73" t="s">
        <v>472</v>
      </c>
      <c r="P73" t="s">
        <v>473</v>
      </c>
      <c r="Q73" t="s">
        <v>474</v>
      </c>
      <c r="R73" t="s">
        <v>475</v>
      </c>
      <c r="S73" t="s">
        <v>476</v>
      </c>
      <c r="T73" t="s">
        <v>477</v>
      </c>
      <c r="U73" t="s">
        <v>478</v>
      </c>
      <c r="V73">
        <f>COUNTA(Estimates_on_the_use_of_water__2020__a_3712[[#This Row],[name]:[wat_sur_u]])</f>
        <v>21</v>
      </c>
      <c r="W73">
        <f>COUNT(Estimates_on_the_use_of_water__2020__a_3712[[#This Row],[name]:[wat_sur_u]])</f>
        <v>6</v>
      </c>
    </row>
    <row r="74" spans="1:23" x14ac:dyDescent="0.25">
      <c r="A74" t="s">
        <v>479</v>
      </c>
      <c r="B74" t="s">
        <v>35</v>
      </c>
      <c r="C74">
        <v>2540.9160160000001</v>
      </c>
      <c r="D74" s="3">
        <f>Estimates_on_the_use_of_water__2020__a_3712[[#This Row],[pop_n]]*1000</f>
        <v>2540916.0160000003</v>
      </c>
      <c r="E74" s="9" t="s">
        <v>480</v>
      </c>
      <c r="F74" s="1">
        <v>0.52033000949999997</v>
      </c>
      <c r="G74" s="2">
        <v>1322114.8547439822</v>
      </c>
      <c r="H74" s="1">
        <v>1322.1148547439821</v>
      </c>
      <c r="I74" s="2">
        <v>47.966999049999998</v>
      </c>
      <c r="J74" t="s">
        <v>481</v>
      </c>
      <c r="K74" t="s">
        <v>482</v>
      </c>
      <c r="L74" t="s">
        <v>483</v>
      </c>
      <c r="M74" t="s">
        <v>484</v>
      </c>
      <c r="N74" t="s">
        <v>485</v>
      </c>
      <c r="O74" t="s">
        <v>486</v>
      </c>
      <c r="P74" t="s">
        <v>487</v>
      </c>
      <c r="Q74" t="s">
        <v>488</v>
      </c>
      <c r="R74" t="s">
        <v>489</v>
      </c>
      <c r="S74" t="s">
        <v>490</v>
      </c>
      <c r="T74" t="s">
        <v>491</v>
      </c>
      <c r="U74" t="s">
        <v>492</v>
      </c>
      <c r="V74">
        <f>COUNTA(Estimates_on_the_use_of_water__2020__a_3712[[#This Row],[name]:[wat_sur_u]])</f>
        <v>21</v>
      </c>
      <c r="W74">
        <f>COUNT(Estimates_on_the_use_of_water__2020__a_3712[[#This Row],[name]:[wat_sur_u]])</f>
        <v>6</v>
      </c>
    </row>
    <row r="75" spans="1:23" x14ac:dyDescent="0.25">
      <c r="A75" t="s">
        <v>493</v>
      </c>
      <c r="B75" t="s">
        <v>30</v>
      </c>
      <c r="C75">
        <v>2722.2910160000001</v>
      </c>
      <c r="D75" s="3">
        <f>Estimates_on_the_use_of_water__2020__a_3712[[#This Row],[pop_n]]*1000</f>
        <v>2722291.0160000003</v>
      </c>
      <c r="E75" s="9" t="s">
        <v>494</v>
      </c>
      <c r="F75" s="1">
        <v>0.68045997619999998</v>
      </c>
      <c r="G75" s="2">
        <v>1852410.079956834</v>
      </c>
      <c r="H75" s="1">
        <v>1852.4100799568339</v>
      </c>
      <c r="I75" s="2">
        <v>31.954002380000006</v>
      </c>
      <c r="J75" t="s">
        <v>495</v>
      </c>
      <c r="K75" t="s">
        <v>2</v>
      </c>
      <c r="L75" t="s">
        <v>496</v>
      </c>
      <c r="M75" t="s">
        <v>2</v>
      </c>
      <c r="N75" t="s">
        <v>497</v>
      </c>
      <c r="O75" t="s">
        <v>2</v>
      </c>
      <c r="P75" t="s">
        <v>498</v>
      </c>
      <c r="Q75" t="s">
        <v>2</v>
      </c>
      <c r="R75" t="s">
        <v>15</v>
      </c>
      <c r="S75" t="s">
        <v>2</v>
      </c>
      <c r="T75" t="s">
        <v>2</v>
      </c>
      <c r="U75" t="s">
        <v>2</v>
      </c>
      <c r="V75">
        <f>COUNTA(Estimates_on_the_use_of_water__2020__a_3712[[#This Row],[name]:[wat_sur_u]])</f>
        <v>21</v>
      </c>
      <c r="W75">
        <f>COUNT(Estimates_on_the_use_of_water__2020__a_3712[[#This Row],[name]:[wat_sur_u]])</f>
        <v>6</v>
      </c>
    </row>
    <row r="76" spans="1:23" x14ac:dyDescent="0.25">
      <c r="A76" t="s">
        <v>499</v>
      </c>
      <c r="B76" t="s">
        <v>30</v>
      </c>
      <c r="C76">
        <v>2860.8400879999999</v>
      </c>
      <c r="D76" s="3">
        <f>Estimates_on_the_use_of_water__2020__a_3712[[#This Row],[pop_n]]*1000</f>
        <v>2860840.088</v>
      </c>
      <c r="E76" s="9" t="s">
        <v>500</v>
      </c>
      <c r="F76" s="1">
        <v>0.93581001279999998</v>
      </c>
      <c r="G76" s="2">
        <v>2677202.7993700332</v>
      </c>
      <c r="H76" s="1">
        <v>2677.2027993700331</v>
      </c>
      <c r="I76" s="2">
        <v>6.4189987200000047</v>
      </c>
      <c r="J76" t="s">
        <v>15</v>
      </c>
      <c r="K76" t="s">
        <v>2</v>
      </c>
      <c r="L76" t="s">
        <v>2</v>
      </c>
      <c r="M76" t="s">
        <v>2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>
        <f>COUNTA(Estimates_on_the_use_of_water__2020__a_3712[[#This Row],[name]:[wat_sur_u]])</f>
        <v>21</v>
      </c>
      <c r="W76">
        <f>COUNT(Estimates_on_the_use_of_water__2020__a_3712[[#This Row],[name]:[wat_sur_u]])</f>
        <v>6</v>
      </c>
    </row>
    <row r="77" spans="1:23" x14ac:dyDescent="0.25">
      <c r="A77" t="s">
        <v>501</v>
      </c>
      <c r="B77" t="s">
        <v>35</v>
      </c>
      <c r="C77">
        <v>2877.8000489999999</v>
      </c>
      <c r="D77" s="3">
        <f>Estimates_on_the_use_of_water__2020__a_3712[[#This Row],[pop_n]]*1000</f>
        <v>2877800.0490000001</v>
      </c>
      <c r="E77" s="9" t="s">
        <v>502</v>
      </c>
      <c r="F77" s="1">
        <v>0.62111999509999993</v>
      </c>
      <c r="G77" s="2">
        <v>1787459.1523336596</v>
      </c>
      <c r="H77" s="1">
        <v>1787.4591523336596</v>
      </c>
      <c r="I77" s="2">
        <v>37.888000490000003</v>
      </c>
      <c r="J77" t="s">
        <v>503</v>
      </c>
      <c r="K77" t="s">
        <v>504</v>
      </c>
      <c r="L77" t="s">
        <v>505</v>
      </c>
      <c r="M77" t="s">
        <v>2</v>
      </c>
      <c r="N77" t="s">
        <v>506</v>
      </c>
      <c r="O77" t="s">
        <v>507</v>
      </c>
      <c r="P77" t="s">
        <v>508</v>
      </c>
      <c r="Q77" t="s">
        <v>2</v>
      </c>
      <c r="R77" t="s">
        <v>509</v>
      </c>
      <c r="S77" t="s">
        <v>510</v>
      </c>
      <c r="T77" t="s">
        <v>511</v>
      </c>
      <c r="U77" t="s">
        <v>2</v>
      </c>
      <c r="V77">
        <f>COUNTA(Estimates_on_the_use_of_water__2020__a_3712[[#This Row],[name]:[wat_sur_u]])</f>
        <v>21</v>
      </c>
      <c r="W77">
        <f>COUNT(Estimates_on_the_use_of_water__2020__a_3712[[#This Row],[name]:[wat_sur_u]])</f>
        <v>6</v>
      </c>
    </row>
    <row r="78" spans="1:23" x14ac:dyDescent="0.25">
      <c r="A78" t="s">
        <v>512</v>
      </c>
      <c r="B78" t="s">
        <v>30</v>
      </c>
      <c r="C78">
        <v>2881.0600589999999</v>
      </c>
      <c r="D78" s="3">
        <f>Estimates_on_the_use_of_water__2020__a_3712[[#This Row],[pop_n]]*1000</f>
        <v>2881060.0589999999</v>
      </c>
      <c r="E78" s="9" t="s">
        <v>513</v>
      </c>
      <c r="F78" s="1">
        <v>0.99235000610000001</v>
      </c>
      <c r="G78" s="2">
        <v>2859019.9671231164</v>
      </c>
      <c r="H78" s="1">
        <v>2859.0199671231162</v>
      </c>
      <c r="I78" s="2">
        <v>0.76499938999999983</v>
      </c>
      <c r="J78" t="s">
        <v>514</v>
      </c>
      <c r="K78" t="s">
        <v>2</v>
      </c>
      <c r="L78" t="s">
        <v>515</v>
      </c>
      <c r="M78" t="s">
        <v>2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>
        <f>COUNTA(Estimates_on_the_use_of_water__2020__a_3712[[#This Row],[name]:[wat_sur_u]])</f>
        <v>21</v>
      </c>
      <c r="W78">
        <f>COUNT(Estimates_on_the_use_of_water__2020__a_3712[[#This Row],[name]:[wat_sur_u]])</f>
        <v>6</v>
      </c>
    </row>
    <row r="79" spans="1:23" x14ac:dyDescent="0.25">
      <c r="A79" t="s">
        <v>516</v>
      </c>
      <c r="B79" t="s">
        <v>35</v>
      </c>
      <c r="C79">
        <v>2961.1608890000002</v>
      </c>
      <c r="D79" s="3">
        <f>Estimates_on_the_use_of_water__2020__a_3712[[#This Row],[pop_n]]*1000</f>
        <v>2961160.8890000004</v>
      </c>
      <c r="E79" s="9" t="s">
        <v>517</v>
      </c>
      <c r="F79" s="1">
        <v>0.56311000820000001</v>
      </c>
      <c r="G79" s="2">
        <v>1667459.3324863096</v>
      </c>
      <c r="H79" s="1">
        <v>1667.4593324863094</v>
      </c>
      <c r="I79" s="2">
        <v>43.688999180000003</v>
      </c>
      <c r="J79" t="s">
        <v>518</v>
      </c>
      <c r="K79" t="s">
        <v>519</v>
      </c>
      <c r="L79" t="s">
        <v>520</v>
      </c>
      <c r="M79" t="s">
        <v>521</v>
      </c>
      <c r="N79" t="s">
        <v>522</v>
      </c>
      <c r="O79" t="s">
        <v>523</v>
      </c>
      <c r="P79" t="s">
        <v>524</v>
      </c>
      <c r="Q79" t="s">
        <v>525</v>
      </c>
      <c r="R79" t="s">
        <v>526</v>
      </c>
      <c r="S79" t="s">
        <v>527</v>
      </c>
      <c r="T79" t="s">
        <v>528</v>
      </c>
      <c r="U79" t="s">
        <v>529</v>
      </c>
      <c r="V79">
        <f>COUNTA(Estimates_on_the_use_of_water__2020__a_3712[[#This Row],[name]:[wat_sur_u]])</f>
        <v>21</v>
      </c>
      <c r="W79">
        <f>COUNT(Estimates_on_the_use_of_water__2020__a_3712[[#This Row],[name]:[wat_sur_u]])</f>
        <v>6</v>
      </c>
    </row>
    <row r="80" spans="1:23" x14ac:dyDescent="0.25">
      <c r="A80" t="s">
        <v>530</v>
      </c>
      <c r="B80" t="s">
        <v>35</v>
      </c>
      <c r="C80">
        <v>2963.2338869999999</v>
      </c>
      <c r="D80" s="3">
        <f>Estimates_on_the_use_of_water__2020__a_3712[[#This Row],[pop_n]]*1000</f>
        <v>2963233.8869999996</v>
      </c>
      <c r="E80" s="9" t="s">
        <v>531</v>
      </c>
      <c r="F80" s="1">
        <v>0.63312999729999997</v>
      </c>
      <c r="G80" s="2">
        <v>1876112.2628755781</v>
      </c>
      <c r="H80" s="1">
        <v>1876.1122628755784</v>
      </c>
      <c r="I80" s="2">
        <v>36.687000269999999</v>
      </c>
      <c r="J80" t="s">
        <v>532</v>
      </c>
      <c r="K80" t="s">
        <v>2</v>
      </c>
      <c r="L80" t="s">
        <v>533</v>
      </c>
      <c r="M80" t="s">
        <v>2</v>
      </c>
      <c r="N80" t="s">
        <v>15</v>
      </c>
      <c r="O80" t="s">
        <v>2</v>
      </c>
      <c r="P80" t="s">
        <v>2</v>
      </c>
      <c r="Q80" t="s">
        <v>2</v>
      </c>
      <c r="R80" t="s">
        <v>534</v>
      </c>
      <c r="S80" t="s">
        <v>2</v>
      </c>
      <c r="T80" t="s">
        <v>535</v>
      </c>
      <c r="U80" t="s">
        <v>2</v>
      </c>
      <c r="V80">
        <f>COUNTA(Estimates_on_the_use_of_water__2020__a_3712[[#This Row],[name]:[wat_sur_u]])</f>
        <v>21</v>
      </c>
      <c r="W80">
        <f>COUNT(Estimates_on_the_use_of_water__2020__a_3712[[#This Row],[name]:[wat_sur_u]])</f>
        <v>6</v>
      </c>
    </row>
    <row r="81" spans="1:23" x14ac:dyDescent="0.25">
      <c r="A81" t="s">
        <v>536</v>
      </c>
      <c r="B81" t="s">
        <v>109</v>
      </c>
      <c r="C81">
        <v>3278.2919919999999</v>
      </c>
      <c r="D81" s="3">
        <f>Estimates_on_the_use_of_water__2020__a_3712[[#This Row],[pop_n]]*1000</f>
        <v>3278291.9920000001</v>
      </c>
      <c r="E81" s="9" t="s">
        <v>537</v>
      </c>
      <c r="F81" s="1">
        <v>0.68656997679999998</v>
      </c>
      <c r="G81" s="2">
        <v>2250776.8568910658</v>
      </c>
      <c r="H81" s="1">
        <v>2250.7768568910656</v>
      </c>
      <c r="I81" s="2">
        <v>31.343002319999997</v>
      </c>
      <c r="J81" t="s">
        <v>538</v>
      </c>
      <c r="K81" t="s">
        <v>539</v>
      </c>
      <c r="L81" t="s">
        <v>540</v>
      </c>
      <c r="M81" t="s">
        <v>541</v>
      </c>
      <c r="N81" t="s">
        <v>542</v>
      </c>
      <c r="O81" t="s">
        <v>543</v>
      </c>
      <c r="P81" t="s">
        <v>544</v>
      </c>
      <c r="Q81" t="s">
        <v>545</v>
      </c>
      <c r="R81" t="s">
        <v>546</v>
      </c>
      <c r="S81" t="s">
        <v>547</v>
      </c>
      <c r="T81" t="s">
        <v>548</v>
      </c>
      <c r="U81" t="s">
        <v>2</v>
      </c>
      <c r="V81">
        <f>COUNTA(Estimates_on_the_use_of_water__2020__a_3712[[#This Row],[name]:[wat_sur_u]])</f>
        <v>21</v>
      </c>
      <c r="W81">
        <f>COUNT(Estimates_on_the_use_of_water__2020__a_3712[[#This Row],[name]:[wat_sur_u]])</f>
        <v>6</v>
      </c>
    </row>
    <row r="82" spans="1:23" x14ac:dyDescent="0.25">
      <c r="A82" t="s">
        <v>549</v>
      </c>
      <c r="B82" t="s">
        <v>35</v>
      </c>
      <c r="C82">
        <v>3280.8149410000001</v>
      </c>
      <c r="D82" s="3">
        <f>Estimates_on_the_use_of_water__2020__a_3712[[#This Row],[pop_n]]*1000</f>
        <v>3280814.9410000001</v>
      </c>
      <c r="E82" s="9" t="s">
        <v>550</v>
      </c>
      <c r="F82" s="1">
        <v>0.49020000459999996</v>
      </c>
      <c r="G82" s="2">
        <v>1608255.4991699487</v>
      </c>
      <c r="H82" s="1">
        <v>1608.2554991699487</v>
      </c>
      <c r="I82" s="2">
        <v>50.979999540000001</v>
      </c>
      <c r="J82" t="s">
        <v>551</v>
      </c>
      <c r="K82" t="s">
        <v>552</v>
      </c>
      <c r="L82" t="s">
        <v>553</v>
      </c>
      <c r="M82" t="s">
        <v>2</v>
      </c>
      <c r="N82" t="s">
        <v>554</v>
      </c>
      <c r="O82" t="s">
        <v>555</v>
      </c>
      <c r="P82" t="s">
        <v>2</v>
      </c>
      <c r="Q82" t="s">
        <v>2</v>
      </c>
      <c r="R82" t="s">
        <v>556</v>
      </c>
      <c r="S82" t="s">
        <v>557</v>
      </c>
      <c r="T82" t="s">
        <v>558</v>
      </c>
      <c r="U82" t="s">
        <v>2</v>
      </c>
      <c r="V82">
        <f>COUNTA(Estimates_on_the_use_of_water__2020__a_3712[[#This Row],[name]:[wat_sur_u]])</f>
        <v>21</v>
      </c>
      <c r="W82">
        <f>COUNT(Estimates_on_the_use_of_water__2020__a_3712[[#This Row],[name]:[wat_sur_u]])</f>
        <v>6</v>
      </c>
    </row>
    <row r="83" spans="1:23" x14ac:dyDescent="0.25">
      <c r="A83" t="s">
        <v>559</v>
      </c>
      <c r="B83" t="s">
        <v>30</v>
      </c>
      <c r="C83">
        <v>3473.7270509999998</v>
      </c>
      <c r="D83" s="3">
        <f>Estimates_on_the_use_of_water__2020__a_3712[[#This Row],[pop_n]]*1000</f>
        <v>3473727.051</v>
      </c>
      <c r="E83" s="9" t="s">
        <v>560</v>
      </c>
      <c r="F83" s="1">
        <v>0.95514999389999999</v>
      </c>
      <c r="G83" s="2">
        <v>3317930.371572915</v>
      </c>
      <c r="H83" s="1">
        <v>3317.9303715729147</v>
      </c>
      <c r="I83" s="2">
        <v>4.4850006100000002</v>
      </c>
      <c r="J83" t="s">
        <v>561</v>
      </c>
      <c r="K83" t="s">
        <v>562</v>
      </c>
      <c r="L83" t="s">
        <v>2</v>
      </c>
      <c r="M83" t="s">
        <v>2</v>
      </c>
      <c r="N83" t="s">
        <v>563</v>
      </c>
      <c r="O83" t="s">
        <v>564</v>
      </c>
      <c r="P83" t="s">
        <v>2</v>
      </c>
      <c r="Q83" t="s">
        <v>2</v>
      </c>
      <c r="R83" t="s">
        <v>565</v>
      </c>
      <c r="S83" t="s">
        <v>566</v>
      </c>
      <c r="T83" t="s">
        <v>2</v>
      </c>
      <c r="U83" t="s">
        <v>2</v>
      </c>
      <c r="V83">
        <f>COUNTA(Estimates_on_the_use_of_water__2020__a_3712[[#This Row],[name]:[wat_sur_u]])</f>
        <v>21</v>
      </c>
      <c r="W83">
        <f>COUNT(Estimates_on_the_use_of_water__2020__a_3712[[#This Row],[name]:[wat_sur_u]])</f>
        <v>6</v>
      </c>
    </row>
    <row r="84" spans="1:23" x14ac:dyDescent="0.25">
      <c r="A84" t="s">
        <v>567</v>
      </c>
      <c r="B84" t="s">
        <v>35</v>
      </c>
      <c r="C84">
        <v>3989.1750489999999</v>
      </c>
      <c r="D84" s="3">
        <f>Estimates_on_the_use_of_water__2020__a_3712[[#This Row],[pop_n]]*1000</f>
        <v>3989175.0490000001</v>
      </c>
      <c r="E84" s="9" t="s">
        <v>568</v>
      </c>
      <c r="F84" s="1">
        <v>0.594529953</v>
      </c>
      <c r="G84" s="2">
        <v>2371684.0543907429</v>
      </c>
      <c r="H84" s="1">
        <v>2371.6840543907429</v>
      </c>
      <c r="I84" s="2">
        <v>40.547004700000002</v>
      </c>
      <c r="J84" t="s">
        <v>569</v>
      </c>
      <c r="K84" t="s">
        <v>2</v>
      </c>
      <c r="L84" t="s">
        <v>570</v>
      </c>
      <c r="M84" t="s">
        <v>571</v>
      </c>
      <c r="N84" t="s">
        <v>572</v>
      </c>
      <c r="O84" t="s">
        <v>2</v>
      </c>
      <c r="P84" t="s">
        <v>573</v>
      </c>
      <c r="Q84" t="s">
        <v>574</v>
      </c>
      <c r="R84" t="s">
        <v>575</v>
      </c>
      <c r="S84" t="s">
        <v>2</v>
      </c>
      <c r="T84" t="s">
        <v>576</v>
      </c>
      <c r="U84" t="s">
        <v>577</v>
      </c>
      <c r="V84">
        <f>COUNTA(Estimates_on_the_use_of_water__2020__a_3712[[#This Row],[name]:[wat_sur_u]])</f>
        <v>21</v>
      </c>
      <c r="W84">
        <f>COUNT(Estimates_on_the_use_of_water__2020__a_3712[[#This Row],[name]:[wat_sur_u]])</f>
        <v>6</v>
      </c>
    </row>
    <row r="85" spans="1:23" x14ac:dyDescent="0.25">
      <c r="A85" t="s">
        <v>578</v>
      </c>
      <c r="B85" t="s">
        <v>35</v>
      </c>
      <c r="C85">
        <v>4033.9628910000001</v>
      </c>
      <c r="D85" s="3">
        <f>Estimates_on_the_use_of_water__2020__a_3712[[#This Row],[pop_n]]*1000</f>
        <v>4033962.8910000003</v>
      </c>
      <c r="E85" s="9" t="s">
        <v>579</v>
      </c>
      <c r="F85" s="1">
        <v>0.42849002839999994</v>
      </c>
      <c r="G85" s="2">
        <v>1728512.8737291361</v>
      </c>
      <c r="H85" s="1">
        <v>1728.5128737291359</v>
      </c>
      <c r="I85" s="2">
        <v>57.150997160000003</v>
      </c>
      <c r="J85" t="s">
        <v>580</v>
      </c>
      <c r="K85" t="s">
        <v>581</v>
      </c>
      <c r="L85" t="s">
        <v>582</v>
      </c>
      <c r="M85" t="s">
        <v>2</v>
      </c>
      <c r="N85" t="s">
        <v>583</v>
      </c>
      <c r="O85" t="s">
        <v>584</v>
      </c>
      <c r="P85" t="s">
        <v>585</v>
      </c>
      <c r="Q85" t="s">
        <v>2</v>
      </c>
      <c r="R85" t="s">
        <v>586</v>
      </c>
      <c r="S85" t="s">
        <v>587</v>
      </c>
      <c r="T85" t="s">
        <v>588</v>
      </c>
      <c r="U85" t="s">
        <v>2</v>
      </c>
      <c r="V85">
        <f>COUNTA(Estimates_on_the_use_of_water__2020__a_3712[[#This Row],[name]:[wat_sur_u]])</f>
        <v>21</v>
      </c>
      <c r="W85">
        <f>COUNT(Estimates_on_the_use_of_water__2020__a_3712[[#This Row],[name]:[wat_sur_u]])</f>
        <v>6</v>
      </c>
    </row>
    <row r="86" spans="1:23" x14ac:dyDescent="0.25">
      <c r="A86" t="s">
        <v>589</v>
      </c>
      <c r="B86" t="s">
        <v>30</v>
      </c>
      <c r="C86">
        <v>4105.2680659999996</v>
      </c>
      <c r="D86" s="3">
        <f>Estimates_on_the_use_of_water__2020__a_3712[[#This Row],[pop_n]]*1000</f>
        <v>4105268.0659999996</v>
      </c>
      <c r="E86" s="9" t="s">
        <v>590</v>
      </c>
      <c r="F86" s="1">
        <v>0.57552997589999999</v>
      </c>
      <c r="G86" s="2">
        <v>2362704.8310880195</v>
      </c>
      <c r="H86" s="1">
        <v>2362.7048310880195</v>
      </c>
      <c r="I86" s="2">
        <v>42.447002410000003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15</v>
      </c>
      <c r="S86" t="s">
        <v>2</v>
      </c>
      <c r="T86" t="s">
        <v>2</v>
      </c>
      <c r="U86" t="s">
        <v>2</v>
      </c>
      <c r="V86">
        <f>COUNTA(Estimates_on_the_use_of_water__2020__a_3712[[#This Row],[name]:[wat_sur_u]])</f>
        <v>21</v>
      </c>
      <c r="W86">
        <f>COUNT(Estimates_on_the_use_of_water__2020__a_3712[[#This Row],[name]:[wat_sur_u]])</f>
        <v>6</v>
      </c>
    </row>
    <row r="87" spans="1:23" x14ac:dyDescent="0.25">
      <c r="A87" t="s">
        <v>591</v>
      </c>
      <c r="B87" t="s">
        <v>30</v>
      </c>
      <c r="C87">
        <v>4270.5629879999997</v>
      </c>
      <c r="D87" s="3">
        <f>Estimates_on_the_use_of_water__2020__a_3712[[#This Row],[pop_n]]*1000</f>
        <v>4270562.9879999999</v>
      </c>
      <c r="E87" s="9" t="s">
        <v>15</v>
      </c>
      <c r="F87" s="1">
        <v>1</v>
      </c>
      <c r="G87" s="2">
        <v>4270562.9879999999</v>
      </c>
      <c r="H87" s="1">
        <v>4270.5629879999997</v>
      </c>
      <c r="I87" s="2">
        <v>0</v>
      </c>
      <c r="J87" t="s">
        <v>15</v>
      </c>
      <c r="K87" t="s">
        <v>2</v>
      </c>
      <c r="L87" t="s">
        <v>2</v>
      </c>
      <c r="M87" t="s">
        <v>2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>
        <f>COUNTA(Estimates_on_the_use_of_water__2020__a_3712[[#This Row],[name]:[wat_sur_u]])</f>
        <v>21</v>
      </c>
      <c r="W87">
        <f>COUNT(Estimates_on_the_use_of_water__2020__a_3712[[#This Row],[name]:[wat_sur_u]])</f>
        <v>6</v>
      </c>
    </row>
    <row r="88" spans="1:23" x14ac:dyDescent="0.25">
      <c r="A88" t="s">
        <v>592</v>
      </c>
      <c r="B88" t="s">
        <v>30</v>
      </c>
      <c r="C88">
        <v>4314.7680659999996</v>
      </c>
      <c r="D88" s="3">
        <f>Estimates_on_the_use_of_water__2020__a_3712[[#This Row],[pop_n]]*1000</f>
        <v>4314768.0659999996</v>
      </c>
      <c r="E88" s="9" t="s">
        <v>593</v>
      </c>
      <c r="F88" s="1">
        <v>0.68414001459999996</v>
      </c>
      <c r="G88" s="2">
        <v>2951905.4876688533</v>
      </c>
      <c r="H88" s="1">
        <v>2951.9054876688533</v>
      </c>
      <c r="I88" s="2">
        <v>31.585998540000006</v>
      </c>
      <c r="J88" t="s">
        <v>594</v>
      </c>
      <c r="K88" t="s">
        <v>595</v>
      </c>
      <c r="L88" t="s">
        <v>596</v>
      </c>
      <c r="M88" t="s">
        <v>597</v>
      </c>
      <c r="N88" t="s">
        <v>598</v>
      </c>
      <c r="O88" t="s">
        <v>599</v>
      </c>
      <c r="P88" t="s">
        <v>600</v>
      </c>
      <c r="Q88" t="s">
        <v>601</v>
      </c>
      <c r="R88" t="s">
        <v>602</v>
      </c>
      <c r="S88" t="s">
        <v>603</v>
      </c>
      <c r="T88" t="s">
        <v>2</v>
      </c>
      <c r="U88" t="s">
        <v>2</v>
      </c>
      <c r="V88">
        <f>COUNTA(Estimates_on_the_use_of_water__2020__a_3712[[#This Row],[name]:[wat_sur_u]])</f>
        <v>21</v>
      </c>
      <c r="W88">
        <f>COUNT(Estimates_on_the_use_of_water__2020__a_3712[[#This Row],[name]:[wat_sur_u]])</f>
        <v>6</v>
      </c>
    </row>
    <row r="89" spans="1:23" x14ac:dyDescent="0.25">
      <c r="A89" t="s">
        <v>604</v>
      </c>
      <c r="B89" t="s">
        <v>109</v>
      </c>
      <c r="C89">
        <v>4649.6601559999999</v>
      </c>
      <c r="D89" s="3">
        <f>Estimates_on_the_use_of_water__2020__a_3712[[#This Row],[pop_n]]*1000</f>
        <v>4649660.1559999995</v>
      </c>
      <c r="E89" s="9" t="s">
        <v>605</v>
      </c>
      <c r="F89" s="1">
        <v>0.55326995850000005</v>
      </c>
      <c r="G89" s="2">
        <v>2572517.2815492237</v>
      </c>
      <c r="H89" s="1">
        <v>2572.5172815492238</v>
      </c>
      <c r="I89" s="2">
        <v>44.673004149999997</v>
      </c>
      <c r="J89" t="s">
        <v>606</v>
      </c>
      <c r="K89" t="s">
        <v>607</v>
      </c>
      <c r="L89" t="s">
        <v>608</v>
      </c>
      <c r="M89" t="s">
        <v>609</v>
      </c>
      <c r="N89" t="s">
        <v>610</v>
      </c>
      <c r="O89" t="s">
        <v>611</v>
      </c>
      <c r="P89" t="s">
        <v>612</v>
      </c>
      <c r="Q89" t="s">
        <v>613</v>
      </c>
      <c r="R89" t="s">
        <v>614</v>
      </c>
      <c r="S89" t="s">
        <v>615</v>
      </c>
      <c r="T89" t="s">
        <v>616</v>
      </c>
      <c r="U89" t="s">
        <v>2</v>
      </c>
      <c r="V89">
        <f>COUNTA(Estimates_on_the_use_of_water__2020__a_3712[[#This Row],[name]:[wat_sur_u]])</f>
        <v>21</v>
      </c>
      <c r="W89">
        <f>COUNT(Estimates_on_the_use_of_water__2020__a_3712[[#This Row],[name]:[wat_sur_u]])</f>
        <v>6</v>
      </c>
    </row>
    <row r="90" spans="1:23" x14ac:dyDescent="0.25">
      <c r="A90" t="s">
        <v>617</v>
      </c>
      <c r="B90" t="s">
        <v>30</v>
      </c>
      <c r="C90">
        <v>4822.2329099999997</v>
      </c>
      <c r="D90" s="3">
        <f>Estimates_on_the_use_of_water__2020__a_3712[[#This Row],[pop_n]]*1000</f>
        <v>4822232.91</v>
      </c>
      <c r="E90" s="9" t="s">
        <v>618</v>
      </c>
      <c r="F90" s="1">
        <v>0.86698997500000008</v>
      </c>
      <c r="G90" s="2">
        <v>4180827.5900850776</v>
      </c>
      <c r="H90" s="1">
        <v>4180.8275900850776</v>
      </c>
      <c r="I90" s="2">
        <v>13.301002499999996</v>
      </c>
      <c r="J90" t="s">
        <v>619</v>
      </c>
      <c r="K90" t="s">
        <v>2</v>
      </c>
      <c r="L90" t="s">
        <v>2</v>
      </c>
      <c r="M90" t="s">
        <v>2</v>
      </c>
      <c r="N90" t="s">
        <v>15</v>
      </c>
      <c r="O90" t="s">
        <v>2</v>
      </c>
      <c r="P90" t="s">
        <v>2</v>
      </c>
      <c r="Q90" t="s">
        <v>2</v>
      </c>
      <c r="R90" t="s">
        <v>15</v>
      </c>
      <c r="S90" t="s">
        <v>2</v>
      </c>
      <c r="T90" t="s">
        <v>2</v>
      </c>
      <c r="U90" t="s">
        <v>2</v>
      </c>
      <c r="V90">
        <f>COUNTA(Estimates_on_the_use_of_water__2020__a_3712[[#This Row],[name]:[wat_sur_u]])</f>
        <v>21</v>
      </c>
      <c r="W90">
        <f>COUNT(Estimates_on_the_use_of_water__2020__a_3712[[#This Row],[name]:[wat_sur_u]])</f>
        <v>6</v>
      </c>
    </row>
    <row r="91" spans="1:23" x14ac:dyDescent="0.25">
      <c r="A91" t="s">
        <v>620</v>
      </c>
      <c r="B91" t="s">
        <v>397</v>
      </c>
      <c r="C91">
        <v>4829.7641599999997</v>
      </c>
      <c r="D91" s="3">
        <f>Estimates_on_the_use_of_water__2020__a_3712[[#This Row],[pop_n]]*1000</f>
        <v>4829764.16</v>
      </c>
      <c r="E91" s="9" t="s">
        <v>621</v>
      </c>
      <c r="F91" s="1">
        <v>0.42197998050000002</v>
      </c>
      <c r="G91" s="2">
        <v>2038063.7860563991</v>
      </c>
      <c r="H91" s="1">
        <v>2038.0637860563988</v>
      </c>
      <c r="I91" s="2">
        <v>57.802001949999998</v>
      </c>
      <c r="J91" t="s">
        <v>622</v>
      </c>
      <c r="K91" t="s">
        <v>623</v>
      </c>
      <c r="L91" t="s">
        <v>624</v>
      </c>
      <c r="M91" t="s">
        <v>625</v>
      </c>
      <c r="N91" t="s">
        <v>626</v>
      </c>
      <c r="O91" t="s">
        <v>627</v>
      </c>
      <c r="P91" t="s">
        <v>628</v>
      </c>
      <c r="Q91" t="s">
        <v>629</v>
      </c>
      <c r="R91" t="s">
        <v>630</v>
      </c>
      <c r="S91" t="s">
        <v>631</v>
      </c>
      <c r="T91" t="s">
        <v>632</v>
      </c>
      <c r="U91" t="s">
        <v>633</v>
      </c>
      <c r="V91">
        <f>COUNTA(Estimates_on_the_use_of_water__2020__a_3712[[#This Row],[name]:[wat_sur_u]])</f>
        <v>21</v>
      </c>
      <c r="W91">
        <f>COUNT(Estimates_on_the_use_of_water__2020__a_3712[[#This Row],[name]:[wat_sur_u]])</f>
        <v>6</v>
      </c>
    </row>
    <row r="92" spans="1:23" x14ac:dyDescent="0.25">
      <c r="A92" t="s">
        <v>634</v>
      </c>
      <c r="B92" t="s">
        <v>30</v>
      </c>
      <c r="C92">
        <v>4937.7958980000003</v>
      </c>
      <c r="D92" s="3">
        <f>Estimates_on_the_use_of_water__2020__a_3712[[#This Row],[pop_n]]*1000</f>
        <v>4937795.898</v>
      </c>
      <c r="E92" s="9" t="s">
        <v>635</v>
      </c>
      <c r="F92" s="1">
        <v>0.63652999880000005</v>
      </c>
      <c r="G92" s="2">
        <v>3143055.2170285853</v>
      </c>
      <c r="H92" s="1">
        <v>3143.0552170285855</v>
      </c>
      <c r="I92" s="2">
        <v>36.347000119999997</v>
      </c>
      <c r="J92" t="s">
        <v>636</v>
      </c>
      <c r="K92" t="s">
        <v>2</v>
      </c>
      <c r="L92" t="s">
        <v>637</v>
      </c>
      <c r="M92" t="s">
        <v>2</v>
      </c>
      <c r="N92" t="s">
        <v>638</v>
      </c>
      <c r="O92" t="s">
        <v>2</v>
      </c>
      <c r="P92" t="s">
        <v>639</v>
      </c>
      <c r="Q92" t="s">
        <v>2</v>
      </c>
      <c r="R92" t="s">
        <v>640</v>
      </c>
      <c r="S92" t="s">
        <v>2</v>
      </c>
      <c r="T92" t="s">
        <v>641</v>
      </c>
      <c r="U92" t="s">
        <v>2</v>
      </c>
      <c r="V92">
        <f>COUNTA(Estimates_on_the_use_of_water__2020__a_3712[[#This Row],[name]:[wat_sur_u]])</f>
        <v>21</v>
      </c>
      <c r="W92">
        <f>COUNT(Estimates_on_the_use_of_water__2020__a_3712[[#This Row],[name]:[wat_sur_u]])</f>
        <v>6</v>
      </c>
    </row>
    <row r="93" spans="1:23" x14ac:dyDescent="0.25">
      <c r="A93" t="s">
        <v>642</v>
      </c>
      <c r="B93" t="s">
        <v>397</v>
      </c>
      <c r="C93">
        <v>5057.6767579999996</v>
      </c>
      <c r="D93" s="3">
        <f>Estimates_on_the_use_of_water__2020__a_3712[[#This Row],[pop_n]]*1000</f>
        <v>5057676.7579999994</v>
      </c>
      <c r="E93" s="9" t="s">
        <v>643</v>
      </c>
      <c r="F93" s="1">
        <v>0.52088996889999994</v>
      </c>
      <c r="G93" s="2">
        <v>2634493.0891808723</v>
      </c>
      <c r="H93" s="1">
        <v>2634.4930891808722</v>
      </c>
      <c r="I93" s="2">
        <v>47.911003110000003</v>
      </c>
      <c r="J93" t="s">
        <v>644</v>
      </c>
      <c r="K93" t="s">
        <v>645</v>
      </c>
      <c r="L93" t="s">
        <v>646</v>
      </c>
      <c r="M93" t="s">
        <v>647</v>
      </c>
      <c r="N93" t="s">
        <v>648</v>
      </c>
      <c r="O93" t="s">
        <v>649</v>
      </c>
      <c r="P93" t="s">
        <v>650</v>
      </c>
      <c r="Q93" t="s">
        <v>651</v>
      </c>
      <c r="R93" t="s">
        <v>652</v>
      </c>
      <c r="S93" t="s">
        <v>653</v>
      </c>
      <c r="T93" t="s">
        <v>654</v>
      </c>
      <c r="U93" t="s">
        <v>655</v>
      </c>
      <c r="V93">
        <f>COUNTA(Estimates_on_the_use_of_water__2020__a_3712[[#This Row],[name]:[wat_sur_u]])</f>
        <v>21</v>
      </c>
      <c r="W93">
        <f>COUNT(Estimates_on_the_use_of_water__2020__a_3712[[#This Row],[name]:[wat_sur_u]])</f>
        <v>6</v>
      </c>
    </row>
    <row r="94" spans="1:23" x14ac:dyDescent="0.25">
      <c r="A94" t="s">
        <v>656</v>
      </c>
      <c r="B94" t="s">
        <v>35</v>
      </c>
      <c r="C94">
        <v>5094.1137699999999</v>
      </c>
      <c r="D94" s="3">
        <f>Estimates_on_the_use_of_water__2020__a_3712[[#This Row],[pop_n]]*1000</f>
        <v>5094113.7699999996</v>
      </c>
      <c r="E94" s="9" t="s">
        <v>657</v>
      </c>
      <c r="F94" s="1">
        <v>0.80770996090000002</v>
      </c>
      <c r="G94" s="2">
        <v>4114566.4339868515</v>
      </c>
      <c r="H94" s="1">
        <v>4114.5664339868517</v>
      </c>
      <c r="I94" s="2">
        <v>19.229003910000003</v>
      </c>
      <c r="J94" t="s">
        <v>658</v>
      </c>
      <c r="K94" t="s">
        <v>659</v>
      </c>
      <c r="L94" t="s">
        <v>660</v>
      </c>
      <c r="M94" t="s">
        <v>2</v>
      </c>
      <c r="N94" t="s">
        <v>661</v>
      </c>
      <c r="O94" t="s">
        <v>662</v>
      </c>
      <c r="P94" t="s">
        <v>2</v>
      </c>
      <c r="Q94" t="s">
        <v>2</v>
      </c>
      <c r="R94" t="s">
        <v>663</v>
      </c>
      <c r="S94" t="s">
        <v>664</v>
      </c>
      <c r="T94" t="s">
        <v>2</v>
      </c>
      <c r="U94" t="s">
        <v>2</v>
      </c>
      <c r="V94">
        <f>COUNTA(Estimates_on_the_use_of_water__2020__a_3712[[#This Row],[name]:[wat_sur_u]])</f>
        <v>21</v>
      </c>
      <c r="W94">
        <f>COUNT(Estimates_on_the_use_of_water__2020__a_3712[[#This Row],[name]:[wat_sur_u]])</f>
        <v>6</v>
      </c>
    </row>
    <row r="95" spans="1:23" x14ac:dyDescent="0.25">
      <c r="A95" t="s">
        <v>665</v>
      </c>
      <c r="B95" t="s">
        <v>109</v>
      </c>
      <c r="C95">
        <v>5101.4160160000001</v>
      </c>
      <c r="D95" s="3">
        <f>Estimates_on_the_use_of_water__2020__a_3712[[#This Row],[pop_n]]*1000</f>
        <v>5101416.0159999998</v>
      </c>
      <c r="E95" s="9" t="s">
        <v>666</v>
      </c>
      <c r="F95" s="1">
        <v>0.76718994140000007</v>
      </c>
      <c r="G95" s="2">
        <v>3913755.0543720615</v>
      </c>
      <c r="H95" s="1">
        <v>3913.7550543720617</v>
      </c>
      <c r="I95" s="2">
        <v>23.281005859999993</v>
      </c>
      <c r="J95" t="s">
        <v>667</v>
      </c>
      <c r="K95" t="s">
        <v>668</v>
      </c>
      <c r="L95" t="s">
        <v>669</v>
      </c>
      <c r="M95" t="s">
        <v>1</v>
      </c>
      <c r="N95" t="s">
        <v>670</v>
      </c>
      <c r="O95" t="s">
        <v>671</v>
      </c>
      <c r="P95" t="s">
        <v>672</v>
      </c>
      <c r="Q95" t="s">
        <v>1</v>
      </c>
      <c r="R95" t="s">
        <v>673</v>
      </c>
      <c r="S95" t="s">
        <v>674</v>
      </c>
      <c r="T95" t="s">
        <v>675</v>
      </c>
      <c r="U95" t="s">
        <v>1</v>
      </c>
      <c r="V95">
        <f>COUNTA(Estimates_on_the_use_of_water__2020__a_3712[[#This Row],[name]:[wat_sur_u]])</f>
        <v>21</v>
      </c>
      <c r="W95">
        <f>COUNT(Estimates_on_the_use_of_water__2020__a_3712[[#This Row],[name]:[wat_sur_u]])</f>
        <v>6</v>
      </c>
    </row>
    <row r="96" spans="1:23" x14ac:dyDescent="0.25">
      <c r="A96" t="s">
        <v>676</v>
      </c>
      <c r="B96" t="s">
        <v>30</v>
      </c>
      <c r="C96">
        <v>5106.6220700000003</v>
      </c>
      <c r="D96" s="3">
        <f>Estimates_on_the_use_of_water__2020__a_3712[[#This Row],[pop_n]]*1000</f>
        <v>5106622.07</v>
      </c>
      <c r="E96" s="9" t="s">
        <v>677</v>
      </c>
      <c r="F96" s="1">
        <v>0.86275993349999991</v>
      </c>
      <c r="G96" s="2">
        <v>4405788.9175228318</v>
      </c>
      <c r="H96" s="1">
        <v>4405.788917522832</v>
      </c>
      <c r="I96" s="2">
        <v>13.724006650000007</v>
      </c>
      <c r="J96" t="s">
        <v>678</v>
      </c>
      <c r="K96" t="s">
        <v>679</v>
      </c>
      <c r="L96" t="s">
        <v>680</v>
      </c>
      <c r="M96" t="s">
        <v>681</v>
      </c>
      <c r="N96" t="s">
        <v>682</v>
      </c>
      <c r="O96" t="s">
        <v>683</v>
      </c>
      <c r="P96" t="s">
        <v>684</v>
      </c>
      <c r="Q96" t="s">
        <v>685</v>
      </c>
      <c r="R96" t="s">
        <v>686</v>
      </c>
      <c r="S96" t="s">
        <v>687</v>
      </c>
      <c r="T96" t="s">
        <v>2</v>
      </c>
      <c r="U96" t="s">
        <v>2</v>
      </c>
      <c r="V96">
        <f>COUNTA(Estimates_on_the_use_of_water__2020__a_3712[[#This Row],[name]:[wat_sur_u]])</f>
        <v>21</v>
      </c>
      <c r="W96">
        <f>COUNT(Estimates_on_the_use_of_water__2020__a_3712[[#This Row],[name]:[wat_sur_u]])</f>
        <v>6</v>
      </c>
    </row>
    <row r="97" spans="1:23" x14ac:dyDescent="0.25">
      <c r="A97" t="s">
        <v>688</v>
      </c>
      <c r="B97" t="s">
        <v>30</v>
      </c>
      <c r="C97">
        <v>5421.2421880000002</v>
      </c>
      <c r="D97" s="3">
        <f>Estimates_on_the_use_of_water__2020__a_3712[[#This Row],[pop_n]]*1000</f>
        <v>5421242.1880000001</v>
      </c>
      <c r="E97" s="9" t="s">
        <v>689</v>
      </c>
      <c r="F97" s="1">
        <v>0.8297399138999999</v>
      </c>
      <c r="G97" s="2">
        <v>4498221.0263021672</v>
      </c>
      <c r="H97" s="1">
        <v>4498.221026302167</v>
      </c>
      <c r="I97" s="2">
        <v>17.026008610000005</v>
      </c>
      <c r="J97" t="s">
        <v>690</v>
      </c>
      <c r="K97" t="s">
        <v>2</v>
      </c>
      <c r="L97" t="s">
        <v>691</v>
      </c>
      <c r="M97" t="s">
        <v>2</v>
      </c>
      <c r="N97" t="s">
        <v>15</v>
      </c>
      <c r="O97" t="s">
        <v>2</v>
      </c>
      <c r="P97" t="s">
        <v>2</v>
      </c>
      <c r="Q97" t="s">
        <v>2</v>
      </c>
      <c r="R97" t="s">
        <v>15</v>
      </c>
      <c r="S97" t="s">
        <v>2</v>
      </c>
      <c r="T97" t="s">
        <v>2</v>
      </c>
      <c r="U97" t="s">
        <v>2</v>
      </c>
      <c r="V97">
        <f>COUNTA(Estimates_on_the_use_of_water__2020__a_3712[[#This Row],[name]:[wat_sur_u]])</f>
        <v>21</v>
      </c>
      <c r="W97">
        <f>COUNT(Estimates_on_the_use_of_water__2020__a_3712[[#This Row],[name]:[wat_sur_u]])</f>
        <v>6</v>
      </c>
    </row>
    <row r="98" spans="1:23" x14ac:dyDescent="0.25">
      <c r="A98" t="s">
        <v>692</v>
      </c>
      <c r="B98" t="s">
        <v>30</v>
      </c>
      <c r="C98">
        <v>5459.6430659999996</v>
      </c>
      <c r="D98" s="3">
        <f>Estimates_on_the_use_of_water__2020__a_3712[[#This Row],[pop_n]]*1000</f>
        <v>5459643.0659999996</v>
      </c>
      <c r="E98" s="9" t="s">
        <v>693</v>
      </c>
      <c r="F98" s="1">
        <v>0.53759998320000002</v>
      </c>
      <c r="G98" s="2">
        <v>2935104.0205595964</v>
      </c>
      <c r="H98" s="1">
        <v>2935.1040205595964</v>
      </c>
      <c r="I98" s="2">
        <v>46.240001679999999</v>
      </c>
      <c r="J98" t="s">
        <v>694</v>
      </c>
      <c r="K98" t="s">
        <v>695</v>
      </c>
      <c r="L98" t="s">
        <v>2</v>
      </c>
      <c r="M98" t="s">
        <v>2</v>
      </c>
      <c r="N98" t="s">
        <v>15</v>
      </c>
      <c r="O98" t="s">
        <v>2</v>
      </c>
      <c r="P98" t="s">
        <v>2</v>
      </c>
      <c r="Q98" t="s">
        <v>2</v>
      </c>
      <c r="R98" t="s">
        <v>696</v>
      </c>
      <c r="S98" t="s">
        <v>697</v>
      </c>
      <c r="T98" t="s">
        <v>2</v>
      </c>
      <c r="U98" t="s">
        <v>2</v>
      </c>
      <c r="V98">
        <f>COUNTA(Estimates_on_the_use_of_water__2020__a_3712[[#This Row],[name]:[wat_sur_u]])</f>
        <v>21</v>
      </c>
      <c r="W98">
        <f>COUNT(Estimates_on_the_use_of_water__2020__a_3712[[#This Row],[name]:[wat_sur_u]])</f>
        <v>6</v>
      </c>
    </row>
    <row r="99" spans="1:23" x14ac:dyDescent="0.25">
      <c r="A99" t="s">
        <v>698</v>
      </c>
      <c r="B99" t="s">
        <v>109</v>
      </c>
      <c r="C99">
        <v>5518.091797</v>
      </c>
      <c r="D99" s="3">
        <f>Estimates_on_the_use_of_water__2020__a_3712[[#This Row],[pop_n]]*1000</f>
        <v>5518091.7970000003</v>
      </c>
      <c r="E99" s="9" t="s">
        <v>699</v>
      </c>
      <c r="F99" s="1">
        <v>0.67829002380000003</v>
      </c>
      <c r="G99" s="2">
        <v>3742866.616317715</v>
      </c>
      <c r="H99" s="1">
        <v>3742.8666163177149</v>
      </c>
      <c r="I99" s="2">
        <v>32.170997619999994</v>
      </c>
      <c r="J99" t="s">
        <v>700</v>
      </c>
      <c r="K99" t="s">
        <v>701</v>
      </c>
      <c r="L99" t="s">
        <v>702</v>
      </c>
      <c r="M99" t="s">
        <v>703</v>
      </c>
      <c r="N99" t="s">
        <v>704</v>
      </c>
      <c r="O99" t="s">
        <v>705</v>
      </c>
      <c r="P99" t="s">
        <v>706</v>
      </c>
      <c r="Q99" t="s">
        <v>707</v>
      </c>
      <c r="R99" t="s">
        <v>708</v>
      </c>
      <c r="S99" t="s">
        <v>709</v>
      </c>
      <c r="T99" t="s">
        <v>710</v>
      </c>
      <c r="U99" t="s">
        <v>711</v>
      </c>
      <c r="V99">
        <f>COUNTA(Estimates_on_the_use_of_water__2020__a_3712[[#This Row],[name]:[wat_sur_u]])</f>
        <v>21</v>
      </c>
      <c r="W99">
        <f>COUNT(Estimates_on_the_use_of_water__2020__a_3712[[#This Row],[name]:[wat_sur_u]])</f>
        <v>6</v>
      </c>
    </row>
    <row r="100" spans="1:23" x14ac:dyDescent="0.25">
      <c r="A100" t="s">
        <v>712</v>
      </c>
      <c r="B100" t="s">
        <v>30</v>
      </c>
      <c r="C100">
        <v>5540.7177730000003</v>
      </c>
      <c r="D100" s="3">
        <f>Estimates_on_the_use_of_water__2020__a_3712[[#This Row],[pop_n]]*1000</f>
        <v>5540717.773</v>
      </c>
      <c r="E100" s="9" t="s">
        <v>713</v>
      </c>
      <c r="F100" s="1">
        <v>0.8551700592</v>
      </c>
      <c r="G100" s="2">
        <v>4738255.945946902</v>
      </c>
      <c r="H100" s="1">
        <v>4738.2559459469021</v>
      </c>
      <c r="I100" s="2">
        <v>14.482994079999997</v>
      </c>
      <c r="J100" t="s">
        <v>714</v>
      </c>
      <c r="K100" t="s">
        <v>2</v>
      </c>
      <c r="L100" t="s">
        <v>2</v>
      </c>
      <c r="M100" t="s">
        <v>2</v>
      </c>
      <c r="N100" t="s">
        <v>15</v>
      </c>
      <c r="O100" t="s">
        <v>2</v>
      </c>
      <c r="P100" t="s">
        <v>2</v>
      </c>
      <c r="Q100" t="s">
        <v>2</v>
      </c>
      <c r="R100" t="s">
        <v>15</v>
      </c>
      <c r="S100" t="s">
        <v>2</v>
      </c>
      <c r="T100" t="s">
        <v>2</v>
      </c>
      <c r="U100" t="s">
        <v>2</v>
      </c>
      <c r="V100">
        <f>COUNTA(Estimates_on_the_use_of_water__2020__a_3712[[#This Row],[name]:[wat_sur_u]])</f>
        <v>21</v>
      </c>
      <c r="W100">
        <f>COUNT(Estimates_on_the_use_of_water__2020__a_3712[[#This Row],[name]:[wat_sur_u]])</f>
        <v>6</v>
      </c>
    </row>
    <row r="101" spans="1:23" x14ac:dyDescent="0.25">
      <c r="A101" t="s">
        <v>715</v>
      </c>
      <c r="B101" t="s">
        <v>30</v>
      </c>
      <c r="C101">
        <v>5792.203125</v>
      </c>
      <c r="D101" s="3">
        <f>Estimates_on_the_use_of_water__2020__a_3712[[#This Row],[pop_n]]*1000</f>
        <v>5792203.125</v>
      </c>
      <c r="E101" s="9" t="s">
        <v>716</v>
      </c>
      <c r="F101" s="1">
        <v>0.88116004939999992</v>
      </c>
      <c r="G101" s="2">
        <v>5103857.9917598339</v>
      </c>
      <c r="H101" s="1">
        <v>5103.8579917598336</v>
      </c>
      <c r="I101" s="2">
        <v>11.883995060000004</v>
      </c>
      <c r="J101" t="s">
        <v>717</v>
      </c>
      <c r="K101" t="s">
        <v>2</v>
      </c>
      <c r="L101" t="s">
        <v>2</v>
      </c>
      <c r="M101" t="s">
        <v>2</v>
      </c>
      <c r="N101" t="s">
        <v>15</v>
      </c>
      <c r="O101" t="s">
        <v>2</v>
      </c>
      <c r="P101" t="s">
        <v>2</v>
      </c>
      <c r="Q101" t="s">
        <v>2</v>
      </c>
      <c r="R101" t="s">
        <v>15</v>
      </c>
      <c r="S101" t="s">
        <v>2</v>
      </c>
      <c r="T101" t="s">
        <v>2</v>
      </c>
      <c r="U101" t="s">
        <v>2</v>
      </c>
      <c r="V101">
        <f>COUNTA(Estimates_on_the_use_of_water__2020__a_3712[[#This Row],[name]:[wat_sur_u]])</f>
        <v>21</v>
      </c>
      <c r="W101">
        <f>COUNT(Estimates_on_the_use_of_water__2020__a_3712[[#This Row],[name]:[wat_sur_u]])</f>
        <v>6</v>
      </c>
    </row>
    <row r="102" spans="1:23" x14ac:dyDescent="0.25">
      <c r="A102" t="s">
        <v>718</v>
      </c>
      <c r="B102" t="s">
        <v>30</v>
      </c>
      <c r="C102">
        <v>5850.3427730000003</v>
      </c>
      <c r="D102" s="3">
        <f>Estimates_on_the_use_of_water__2020__a_3712[[#This Row],[pop_n]]*1000</f>
        <v>5850342.773</v>
      </c>
      <c r="E102" s="9" t="s">
        <v>15</v>
      </c>
      <c r="F102" s="1">
        <v>1</v>
      </c>
      <c r="G102" s="2">
        <v>5850342.773</v>
      </c>
      <c r="H102" s="1">
        <v>5850.3427730000003</v>
      </c>
      <c r="I102" s="2">
        <v>0</v>
      </c>
      <c r="J102" t="s">
        <v>15</v>
      </c>
      <c r="K102" t="s">
        <v>2</v>
      </c>
      <c r="L102" t="s">
        <v>2</v>
      </c>
      <c r="M102" t="s">
        <v>2</v>
      </c>
      <c r="N102" t="s">
        <v>1</v>
      </c>
      <c r="O102" t="s">
        <v>1</v>
      </c>
      <c r="P102" t="s">
        <v>1</v>
      </c>
      <c r="Q102" t="s">
        <v>1</v>
      </c>
      <c r="R102" t="s">
        <v>15</v>
      </c>
      <c r="S102" t="s">
        <v>2</v>
      </c>
      <c r="T102" t="s">
        <v>2</v>
      </c>
      <c r="U102" t="s">
        <v>2</v>
      </c>
      <c r="V102">
        <f>COUNTA(Estimates_on_the_use_of_water__2020__a_3712[[#This Row],[name]:[wat_sur_u]])</f>
        <v>21</v>
      </c>
      <c r="W102">
        <f>COUNT(Estimates_on_the_use_of_water__2020__a_3712[[#This Row],[name]:[wat_sur_u]])</f>
        <v>6</v>
      </c>
    </row>
    <row r="103" spans="1:23" x14ac:dyDescent="0.25">
      <c r="A103" t="s">
        <v>719</v>
      </c>
      <c r="B103" t="s">
        <v>35</v>
      </c>
      <c r="C103">
        <v>6031.1870120000003</v>
      </c>
      <c r="D103" s="3">
        <f>Estimates_on_the_use_of_water__2020__a_3712[[#This Row],[pop_n]]*1000</f>
        <v>6031187.0120000001</v>
      </c>
      <c r="E103" s="9" t="s">
        <v>720</v>
      </c>
      <c r="F103" s="1">
        <v>0.52516002659999994</v>
      </c>
      <c r="G103" s="2">
        <v>3167338.3316514944</v>
      </c>
      <c r="H103" s="1">
        <v>3167.3383316514942</v>
      </c>
      <c r="I103" s="2">
        <v>47.483997340000002</v>
      </c>
      <c r="J103" t="s">
        <v>15</v>
      </c>
      <c r="K103" t="s">
        <v>2</v>
      </c>
      <c r="L103" t="s">
        <v>2</v>
      </c>
      <c r="M103" t="s">
        <v>2</v>
      </c>
      <c r="N103" t="s">
        <v>15</v>
      </c>
      <c r="O103" t="s">
        <v>2</v>
      </c>
      <c r="P103" t="s">
        <v>2</v>
      </c>
      <c r="Q103" t="s">
        <v>2</v>
      </c>
      <c r="R103" t="s">
        <v>15</v>
      </c>
      <c r="S103" t="s">
        <v>2</v>
      </c>
      <c r="T103" t="s">
        <v>2</v>
      </c>
      <c r="U103" t="s">
        <v>2</v>
      </c>
      <c r="V103">
        <f>COUNTA(Estimates_on_the_use_of_water__2020__a_3712[[#This Row],[name]:[wat_sur_u]])</f>
        <v>21</v>
      </c>
      <c r="W103">
        <f>COUNT(Estimates_on_the_use_of_water__2020__a_3712[[#This Row],[name]:[wat_sur_u]])</f>
        <v>6</v>
      </c>
    </row>
    <row r="104" spans="1:23" x14ac:dyDescent="0.25">
      <c r="A104" t="s">
        <v>721</v>
      </c>
      <c r="B104" t="s">
        <v>109</v>
      </c>
      <c r="C104">
        <v>6486.201172</v>
      </c>
      <c r="D104" s="3">
        <f>Estimates_on_the_use_of_water__2020__a_3712[[#This Row],[pop_n]]*1000</f>
        <v>6486201.1720000003</v>
      </c>
      <c r="E104" s="9" t="s">
        <v>722</v>
      </c>
      <c r="F104" s="1">
        <v>0.73444000239999996</v>
      </c>
      <c r="G104" s="2">
        <v>4763725.604330563</v>
      </c>
      <c r="H104" s="1">
        <v>4763.7256043305624</v>
      </c>
      <c r="I104" s="2">
        <v>26.555999760000006</v>
      </c>
      <c r="J104" t="s">
        <v>723</v>
      </c>
      <c r="K104" t="s">
        <v>724</v>
      </c>
      <c r="L104" t="s">
        <v>725</v>
      </c>
      <c r="M104" t="s">
        <v>726</v>
      </c>
      <c r="N104" t="s">
        <v>727</v>
      </c>
      <c r="O104" t="s">
        <v>728</v>
      </c>
      <c r="P104" t="s">
        <v>2</v>
      </c>
      <c r="Q104" t="s">
        <v>729</v>
      </c>
      <c r="R104" t="s">
        <v>730</v>
      </c>
      <c r="S104" t="s">
        <v>2</v>
      </c>
      <c r="T104" t="s">
        <v>731</v>
      </c>
      <c r="U104" t="s">
        <v>2</v>
      </c>
      <c r="V104">
        <f>COUNTA(Estimates_on_the_use_of_water__2020__a_3712[[#This Row],[name]:[wat_sur_u]])</f>
        <v>21</v>
      </c>
      <c r="W104">
        <f>COUNT(Estimates_on_the_use_of_water__2020__a_3712[[#This Row],[name]:[wat_sur_u]])</f>
        <v>6</v>
      </c>
    </row>
    <row r="105" spans="1:23" x14ac:dyDescent="0.25">
      <c r="A105" t="s">
        <v>732</v>
      </c>
      <c r="B105" t="s">
        <v>1</v>
      </c>
      <c r="C105">
        <v>6524.1909180000002</v>
      </c>
      <c r="D105" s="3">
        <f>Estimates_on_the_use_of_water__2020__a_3712[[#This Row],[pop_n]]*1000</f>
        <v>6524190.9180000005</v>
      </c>
      <c r="E105" s="9" t="s">
        <v>733</v>
      </c>
      <c r="F105" s="1">
        <v>0.36855998990000005</v>
      </c>
      <c r="G105" s="2">
        <v>2404555.7388437521</v>
      </c>
      <c r="H105" s="1">
        <v>2404.5557388437524</v>
      </c>
      <c r="I105" s="2">
        <v>63.144001009999997</v>
      </c>
      <c r="J105" t="s">
        <v>734</v>
      </c>
      <c r="K105" t="s">
        <v>735</v>
      </c>
      <c r="L105" t="s">
        <v>736</v>
      </c>
      <c r="M105" t="s">
        <v>737</v>
      </c>
      <c r="N105" t="s">
        <v>738</v>
      </c>
      <c r="O105" t="s">
        <v>739</v>
      </c>
      <c r="P105" t="s">
        <v>740</v>
      </c>
      <c r="Q105" t="s">
        <v>741</v>
      </c>
      <c r="R105" t="s">
        <v>742</v>
      </c>
      <c r="S105" t="s">
        <v>743</v>
      </c>
      <c r="T105" t="s">
        <v>2</v>
      </c>
      <c r="U105" t="s">
        <v>2</v>
      </c>
      <c r="V105">
        <f>COUNTA(Estimates_on_the_use_of_water__2020__a_3712[[#This Row],[name]:[wat_sur_u]])</f>
        <v>21</v>
      </c>
      <c r="W105">
        <f>COUNT(Estimates_on_the_use_of_water__2020__a_3712[[#This Row],[name]:[wat_sur_u]])</f>
        <v>6</v>
      </c>
    </row>
    <row r="106" spans="1:23" x14ac:dyDescent="0.25">
      <c r="A106" t="s">
        <v>744</v>
      </c>
      <c r="B106" t="s">
        <v>109</v>
      </c>
      <c r="C106">
        <v>6624.5541990000002</v>
      </c>
      <c r="D106" s="3">
        <f>Estimates_on_the_use_of_water__2020__a_3712[[#This Row],[pop_n]]*1000</f>
        <v>6624554.199</v>
      </c>
      <c r="E106" s="9" t="s">
        <v>745</v>
      </c>
      <c r="F106" s="1">
        <v>0.59012001040000006</v>
      </c>
      <c r="G106" s="2">
        <v>3909281.992809244</v>
      </c>
      <c r="H106" s="1">
        <v>3909.281992809244</v>
      </c>
      <c r="I106" s="2">
        <v>40.987998959999999</v>
      </c>
      <c r="J106" t="s">
        <v>746</v>
      </c>
      <c r="K106" t="s">
        <v>747</v>
      </c>
      <c r="L106" t="s">
        <v>748</v>
      </c>
      <c r="M106" t="s">
        <v>749</v>
      </c>
      <c r="N106" t="s">
        <v>750</v>
      </c>
      <c r="O106" t="s">
        <v>751</v>
      </c>
      <c r="P106" t="s">
        <v>752</v>
      </c>
      <c r="Q106" t="s">
        <v>753</v>
      </c>
      <c r="R106" t="s">
        <v>754</v>
      </c>
      <c r="S106" t="s">
        <v>755</v>
      </c>
      <c r="T106" t="s">
        <v>756</v>
      </c>
      <c r="U106" t="s">
        <v>757</v>
      </c>
      <c r="V106">
        <f>COUNTA(Estimates_on_the_use_of_water__2020__a_3712[[#This Row],[name]:[wat_sur_u]])</f>
        <v>21</v>
      </c>
      <c r="W106">
        <f>COUNT(Estimates_on_the_use_of_water__2020__a_3712[[#This Row],[name]:[wat_sur_u]])</f>
        <v>6</v>
      </c>
    </row>
    <row r="107" spans="1:23" x14ac:dyDescent="0.25">
      <c r="A107" t="s">
        <v>758</v>
      </c>
      <c r="B107" t="s">
        <v>109</v>
      </c>
      <c r="C107">
        <v>6825.4418949999999</v>
      </c>
      <c r="D107" s="3">
        <f>Estimates_on_the_use_of_water__2020__a_3712[[#This Row],[pop_n]]*1000</f>
        <v>6825441.8949999996</v>
      </c>
      <c r="E107" s="9" t="s">
        <v>759</v>
      </c>
      <c r="F107" s="1">
        <v>0.88924995419999997</v>
      </c>
      <c r="G107" s="2">
        <v>6069523.8925235104</v>
      </c>
      <c r="H107" s="1">
        <v>6069.5238925235108</v>
      </c>
      <c r="I107" s="2">
        <v>11.075004579999998</v>
      </c>
      <c r="J107" t="s">
        <v>760</v>
      </c>
      <c r="K107" t="s">
        <v>761</v>
      </c>
      <c r="L107" t="s">
        <v>2</v>
      </c>
      <c r="M107" t="s">
        <v>2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>
        <f>COUNTA(Estimates_on_the_use_of_water__2020__a_3712[[#This Row],[name]:[wat_sur_u]])</f>
        <v>21</v>
      </c>
      <c r="W107">
        <f>COUNT(Estimates_on_the_use_of_water__2020__a_3712[[#This Row],[name]:[wat_sur_u]])</f>
        <v>6</v>
      </c>
    </row>
    <row r="108" spans="1:23" x14ac:dyDescent="0.25">
      <c r="A108" t="s">
        <v>762</v>
      </c>
      <c r="B108" t="s">
        <v>35</v>
      </c>
      <c r="C108">
        <v>6871.2871089999999</v>
      </c>
      <c r="D108" s="3">
        <f>Estimates_on_the_use_of_water__2020__a_3712[[#This Row],[pop_n]]*1000</f>
        <v>6871287.1090000002</v>
      </c>
      <c r="E108" s="9" t="s">
        <v>763</v>
      </c>
      <c r="F108" s="1">
        <v>0.80691001889999991</v>
      </c>
      <c r="G108" s="2">
        <v>5544510.4109905157</v>
      </c>
      <c r="H108" s="1">
        <v>5544.510410990516</v>
      </c>
      <c r="I108" s="2">
        <v>19.308998110000005</v>
      </c>
      <c r="J108" t="s">
        <v>764</v>
      </c>
      <c r="K108" t="s">
        <v>2</v>
      </c>
      <c r="L108" t="s">
        <v>765</v>
      </c>
      <c r="M108" t="s">
        <v>2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>
        <f>COUNTA(Estimates_on_the_use_of_water__2020__a_3712[[#This Row],[name]:[wat_sur_u]])</f>
        <v>21</v>
      </c>
      <c r="W108">
        <f>COUNT(Estimates_on_the_use_of_water__2020__a_3712[[#This Row],[name]:[wat_sur_u]])</f>
        <v>6</v>
      </c>
    </row>
    <row r="109" spans="1:23" x14ac:dyDescent="0.25">
      <c r="A109" t="s">
        <v>766</v>
      </c>
      <c r="B109" t="s">
        <v>35</v>
      </c>
      <c r="C109">
        <v>6948.4448240000002</v>
      </c>
      <c r="D109" s="3">
        <f>Estimates_on_the_use_of_water__2020__a_3712[[#This Row],[pop_n]]*1000</f>
        <v>6948444.824</v>
      </c>
      <c r="E109" s="9" t="s">
        <v>767</v>
      </c>
      <c r="F109" s="1">
        <v>0.75685997009999995</v>
      </c>
      <c r="G109" s="2">
        <v>5258999.7417341396</v>
      </c>
      <c r="H109" s="1">
        <v>5258.9997417341392</v>
      </c>
      <c r="I109" s="2">
        <v>24.314002990000006</v>
      </c>
      <c r="J109" t="s">
        <v>768</v>
      </c>
      <c r="K109" t="s">
        <v>2</v>
      </c>
      <c r="L109" t="s">
        <v>769</v>
      </c>
      <c r="M109" t="s">
        <v>2</v>
      </c>
      <c r="N109" t="s">
        <v>770</v>
      </c>
      <c r="O109" t="s">
        <v>2</v>
      </c>
      <c r="P109" t="s">
        <v>771</v>
      </c>
      <c r="Q109" t="s">
        <v>2</v>
      </c>
      <c r="R109" t="s">
        <v>772</v>
      </c>
      <c r="S109" t="s">
        <v>2</v>
      </c>
      <c r="T109" t="s">
        <v>773</v>
      </c>
      <c r="U109" t="s">
        <v>2</v>
      </c>
      <c r="V109">
        <f>COUNTA(Estimates_on_the_use_of_water__2020__a_3712[[#This Row],[name]:[wat_sur_u]])</f>
        <v>21</v>
      </c>
      <c r="W109">
        <f>COUNT(Estimates_on_the_use_of_water__2020__a_3712[[#This Row],[name]:[wat_sur_u]])</f>
        <v>6</v>
      </c>
    </row>
    <row r="110" spans="1:23" x14ac:dyDescent="0.25">
      <c r="A110" t="s">
        <v>774</v>
      </c>
      <c r="B110" t="s">
        <v>35</v>
      </c>
      <c r="C110">
        <v>7132.5297849999997</v>
      </c>
      <c r="D110" s="3">
        <f>Estimates_on_the_use_of_water__2020__a_3712[[#This Row],[pop_n]]*1000</f>
        <v>7132529.7850000001</v>
      </c>
      <c r="E110" s="9" t="s">
        <v>775</v>
      </c>
      <c r="F110" s="1">
        <v>0.62182994839999994</v>
      </c>
      <c r="G110" s="2">
        <v>4435220.6281680129</v>
      </c>
      <c r="H110" s="1">
        <v>4435.2206281680128</v>
      </c>
      <c r="I110" s="2">
        <v>37.817005160000001</v>
      </c>
      <c r="J110" t="s">
        <v>776</v>
      </c>
      <c r="K110" t="s">
        <v>777</v>
      </c>
      <c r="L110" t="s">
        <v>778</v>
      </c>
      <c r="M110" t="s">
        <v>2</v>
      </c>
      <c r="N110" t="s">
        <v>779</v>
      </c>
      <c r="O110" t="s">
        <v>780</v>
      </c>
      <c r="P110" t="s">
        <v>2</v>
      </c>
      <c r="Q110" t="s">
        <v>2</v>
      </c>
      <c r="R110" t="s">
        <v>781</v>
      </c>
      <c r="S110" t="s">
        <v>782</v>
      </c>
      <c r="T110" t="s">
        <v>2</v>
      </c>
      <c r="U110" t="s">
        <v>2</v>
      </c>
      <c r="V110">
        <f>COUNTA(Estimates_on_the_use_of_water__2020__a_3712[[#This Row],[name]:[wat_sur_u]])</f>
        <v>21</v>
      </c>
      <c r="W110">
        <f>COUNT(Estimates_on_the_use_of_water__2020__a_3712[[#This Row],[name]:[wat_sur_u]])</f>
        <v>6</v>
      </c>
    </row>
    <row r="111" spans="1:23" x14ac:dyDescent="0.25">
      <c r="A111" t="s">
        <v>783</v>
      </c>
      <c r="B111" t="s">
        <v>109</v>
      </c>
      <c r="C111">
        <v>7275.5561520000001</v>
      </c>
      <c r="D111" s="3">
        <f>Estimates_on_the_use_of_water__2020__a_3712[[#This Row],[pop_n]]*1000</f>
        <v>7275556.1519999998</v>
      </c>
      <c r="E111" s="9" t="s">
        <v>784</v>
      </c>
      <c r="F111" s="1">
        <v>0.36290000919999998</v>
      </c>
      <c r="G111" s="2">
        <v>2640299.3944959166</v>
      </c>
      <c r="H111" s="1">
        <v>2640.2993944959167</v>
      </c>
      <c r="I111" s="2">
        <v>63.709999080000003</v>
      </c>
      <c r="J111" t="s">
        <v>785</v>
      </c>
      <c r="K111" t="s">
        <v>786</v>
      </c>
      <c r="L111" t="s">
        <v>787</v>
      </c>
      <c r="M111" t="s">
        <v>788</v>
      </c>
      <c r="N111" t="s">
        <v>789</v>
      </c>
      <c r="O111" t="s">
        <v>790</v>
      </c>
      <c r="P111" t="s">
        <v>791</v>
      </c>
      <c r="Q111" t="s">
        <v>792</v>
      </c>
      <c r="R111" t="s">
        <v>793</v>
      </c>
      <c r="S111" t="s">
        <v>2</v>
      </c>
      <c r="T111" t="s">
        <v>794</v>
      </c>
      <c r="U111" t="s">
        <v>2</v>
      </c>
      <c r="V111">
        <f>COUNTA(Estimates_on_the_use_of_water__2020__a_3712[[#This Row],[name]:[wat_sur_u]])</f>
        <v>21</v>
      </c>
      <c r="W111">
        <f>COUNT(Estimates_on_the_use_of_water__2020__a_3712[[#This Row],[name]:[wat_sur_u]])</f>
        <v>6</v>
      </c>
    </row>
    <row r="112" spans="1:23" x14ac:dyDescent="0.25">
      <c r="A112" t="s">
        <v>795</v>
      </c>
      <c r="B112" t="s">
        <v>30</v>
      </c>
      <c r="C112">
        <v>7496.9877930000002</v>
      </c>
      <c r="D112" s="3">
        <f>Estimates_on_the_use_of_water__2020__a_3712[[#This Row],[pop_n]]*1000</f>
        <v>7496987.7930000005</v>
      </c>
      <c r="E112" s="9" t="s">
        <v>15</v>
      </c>
      <c r="F112" s="1">
        <v>1</v>
      </c>
      <c r="G112" s="2">
        <v>7496987.7930000005</v>
      </c>
      <c r="H112" s="1">
        <v>7496.9877930000002</v>
      </c>
      <c r="I112" s="2">
        <v>0</v>
      </c>
      <c r="J112" t="s">
        <v>15</v>
      </c>
      <c r="K112" t="s">
        <v>2</v>
      </c>
      <c r="L112" t="s">
        <v>2</v>
      </c>
      <c r="M112" t="s">
        <v>2</v>
      </c>
      <c r="N112" t="s">
        <v>1</v>
      </c>
      <c r="O112" t="s">
        <v>1</v>
      </c>
      <c r="P112" t="s">
        <v>1</v>
      </c>
      <c r="Q112" t="s">
        <v>1</v>
      </c>
      <c r="R112" t="s">
        <v>15</v>
      </c>
      <c r="S112" t="s">
        <v>2</v>
      </c>
      <c r="T112" t="s">
        <v>2</v>
      </c>
      <c r="U112" t="s">
        <v>2</v>
      </c>
      <c r="V112">
        <f>COUNTA(Estimates_on_the_use_of_water__2020__a_3712[[#This Row],[name]:[wat_sur_u]])</f>
        <v>21</v>
      </c>
      <c r="W112">
        <f>COUNT(Estimates_on_the_use_of_water__2020__a_3712[[#This Row],[name]:[wat_sur_u]])</f>
        <v>6</v>
      </c>
    </row>
    <row r="113" spans="1:23" x14ac:dyDescent="0.25">
      <c r="A113" t="s">
        <v>796</v>
      </c>
      <c r="B113" t="s">
        <v>397</v>
      </c>
      <c r="C113">
        <v>7976.9848629999997</v>
      </c>
      <c r="D113" s="3">
        <f>Estimates_on_the_use_of_water__2020__a_3712[[#This Row],[pop_n]]*1000</f>
        <v>7976984.8629999999</v>
      </c>
      <c r="E113" s="9" t="s">
        <v>797</v>
      </c>
      <c r="F113" s="1">
        <v>0.4292300034</v>
      </c>
      <c r="G113" s="2">
        <v>3423961.2398672383</v>
      </c>
      <c r="H113" s="1">
        <v>3423.9612398672384</v>
      </c>
      <c r="I113" s="2">
        <v>57.076999659999998</v>
      </c>
      <c r="J113" t="s">
        <v>798</v>
      </c>
      <c r="K113" t="s">
        <v>799</v>
      </c>
      <c r="L113" t="s">
        <v>800</v>
      </c>
      <c r="M113" t="s">
        <v>801</v>
      </c>
      <c r="N113" t="s">
        <v>802</v>
      </c>
      <c r="O113" t="s">
        <v>803</v>
      </c>
      <c r="P113" t="s">
        <v>804</v>
      </c>
      <c r="Q113" t="s">
        <v>805</v>
      </c>
      <c r="R113" t="s">
        <v>806</v>
      </c>
      <c r="S113" t="s">
        <v>807</v>
      </c>
      <c r="T113" t="s">
        <v>808</v>
      </c>
      <c r="U113" t="s">
        <v>82</v>
      </c>
      <c r="V113">
        <f>COUNTA(Estimates_on_the_use_of_water__2020__a_3712[[#This Row],[name]:[wat_sur_u]])</f>
        <v>21</v>
      </c>
      <c r="W113">
        <f>COUNT(Estimates_on_the_use_of_water__2020__a_3712[[#This Row],[name]:[wat_sur_u]])</f>
        <v>6</v>
      </c>
    </row>
    <row r="114" spans="1:23" x14ac:dyDescent="0.25">
      <c r="A114" t="s">
        <v>809</v>
      </c>
      <c r="B114" t="s">
        <v>397</v>
      </c>
      <c r="C114">
        <v>8278.7373050000006</v>
      </c>
      <c r="D114" s="3">
        <f>Estimates_on_the_use_of_water__2020__a_3712[[#This Row],[pop_n]]*1000</f>
        <v>8278737.3050000006</v>
      </c>
      <c r="E114" s="9" t="s">
        <v>810</v>
      </c>
      <c r="F114" s="1">
        <v>0.42799999239999997</v>
      </c>
      <c r="G114" s="2">
        <v>3543299.5036215964</v>
      </c>
      <c r="H114" s="1">
        <v>3543.2995036215966</v>
      </c>
      <c r="I114" s="2">
        <v>57.200000760000002</v>
      </c>
      <c r="J114" t="s">
        <v>811</v>
      </c>
      <c r="K114" t="s">
        <v>812</v>
      </c>
      <c r="L114" t="s">
        <v>813</v>
      </c>
      <c r="M114" t="s">
        <v>814</v>
      </c>
      <c r="N114" t="s">
        <v>815</v>
      </c>
      <c r="O114" t="s">
        <v>816</v>
      </c>
      <c r="P114" t="s">
        <v>817</v>
      </c>
      <c r="Q114" t="s">
        <v>818</v>
      </c>
      <c r="R114" t="s">
        <v>819</v>
      </c>
      <c r="S114" t="s">
        <v>820</v>
      </c>
      <c r="T114" t="s">
        <v>821</v>
      </c>
      <c r="U114" t="s">
        <v>822</v>
      </c>
      <c r="V114">
        <f>COUNTA(Estimates_on_the_use_of_water__2020__a_3712[[#This Row],[name]:[wat_sur_u]])</f>
        <v>21</v>
      </c>
      <c r="W114">
        <f>COUNT(Estimates_on_the_use_of_water__2020__a_3712[[#This Row],[name]:[wat_sur_u]])</f>
        <v>6</v>
      </c>
    </row>
    <row r="115" spans="1:23" x14ac:dyDescent="0.25">
      <c r="A115" t="s">
        <v>823</v>
      </c>
      <c r="B115" t="s">
        <v>30</v>
      </c>
      <c r="C115">
        <v>8654.6181639999995</v>
      </c>
      <c r="D115" s="3">
        <f>Estimates_on_the_use_of_water__2020__a_3712[[#This Row],[pop_n]]*1000</f>
        <v>8654618.1639999989</v>
      </c>
      <c r="E115" s="9" t="s">
        <v>824</v>
      </c>
      <c r="F115" s="1">
        <v>0.73915000919999996</v>
      </c>
      <c r="G115" s="2">
        <v>6397061.0955430856</v>
      </c>
      <c r="H115" s="1">
        <v>6397.0610955430866</v>
      </c>
      <c r="I115" s="2">
        <v>26.084999080000003</v>
      </c>
      <c r="J115" t="s">
        <v>825</v>
      </c>
      <c r="K115" t="s">
        <v>2</v>
      </c>
      <c r="L115" t="s">
        <v>2</v>
      </c>
      <c r="M115" t="s">
        <v>2</v>
      </c>
      <c r="N115" t="s">
        <v>15</v>
      </c>
      <c r="O115" t="s">
        <v>2</v>
      </c>
      <c r="P115" t="s">
        <v>2</v>
      </c>
      <c r="Q115" t="s">
        <v>2</v>
      </c>
      <c r="R115" t="s">
        <v>15</v>
      </c>
      <c r="S115" t="s">
        <v>2</v>
      </c>
      <c r="T115" t="s">
        <v>2</v>
      </c>
      <c r="U115" t="s">
        <v>2</v>
      </c>
      <c r="V115">
        <f>COUNTA(Estimates_on_the_use_of_water__2020__a_3712[[#This Row],[name]:[wat_sur_u]])</f>
        <v>21</v>
      </c>
      <c r="W115">
        <f>COUNT(Estimates_on_the_use_of_water__2020__a_3712[[#This Row],[name]:[wat_sur_u]])</f>
        <v>6</v>
      </c>
    </row>
    <row r="116" spans="1:23" x14ac:dyDescent="0.25">
      <c r="A116" t="s">
        <v>826</v>
      </c>
      <c r="B116" t="s">
        <v>30</v>
      </c>
      <c r="C116">
        <v>8655.5410159999992</v>
      </c>
      <c r="D116" s="3">
        <f>Estimates_on_the_use_of_water__2020__a_3712[[#This Row],[pop_n]]*1000</f>
        <v>8655541.0159999989</v>
      </c>
      <c r="E116" s="9" t="s">
        <v>827</v>
      </c>
      <c r="F116" s="1">
        <v>0.92586997989999997</v>
      </c>
      <c r="G116" s="2">
        <v>8013905.5865075439</v>
      </c>
      <c r="H116" s="1">
        <v>8013.9055865075443</v>
      </c>
      <c r="I116" s="2">
        <v>7.4130020099999996</v>
      </c>
      <c r="J116" t="s">
        <v>15</v>
      </c>
      <c r="K116" t="s">
        <v>2</v>
      </c>
      <c r="L116" t="s">
        <v>2</v>
      </c>
      <c r="M116" t="s">
        <v>2</v>
      </c>
      <c r="N116" t="s">
        <v>15</v>
      </c>
      <c r="O116" t="s">
        <v>2</v>
      </c>
      <c r="P116" t="s">
        <v>2</v>
      </c>
      <c r="Q116" t="s">
        <v>2</v>
      </c>
      <c r="R116" t="s">
        <v>15</v>
      </c>
      <c r="S116" t="s">
        <v>2</v>
      </c>
      <c r="T116" t="s">
        <v>2</v>
      </c>
      <c r="U116" t="s">
        <v>2</v>
      </c>
      <c r="V116">
        <f>COUNTA(Estimates_on_the_use_of_water__2020__a_3712[[#This Row],[name]:[wat_sur_u]])</f>
        <v>21</v>
      </c>
      <c r="W116">
        <f>COUNT(Estimates_on_the_use_of_water__2020__a_3712[[#This Row],[name]:[wat_sur_u]])</f>
        <v>6</v>
      </c>
    </row>
    <row r="117" spans="1:23" x14ac:dyDescent="0.25">
      <c r="A117" t="s">
        <v>828</v>
      </c>
      <c r="B117" t="s">
        <v>35</v>
      </c>
      <c r="C117">
        <v>8737.3701170000004</v>
      </c>
      <c r="D117" s="3">
        <f>Estimates_on_the_use_of_water__2020__a_3712[[#This Row],[pop_n]]*1000</f>
        <v>8737370.1170000006</v>
      </c>
      <c r="E117" s="9" t="s">
        <v>829</v>
      </c>
      <c r="F117" s="1">
        <v>0.56445999150000004</v>
      </c>
      <c r="G117" s="2">
        <v>4931895.8619741751</v>
      </c>
      <c r="H117" s="1">
        <v>4931.8958619741743</v>
      </c>
      <c r="I117" s="2">
        <v>43.554000850000001</v>
      </c>
      <c r="J117" t="s">
        <v>830</v>
      </c>
      <c r="K117" t="s">
        <v>831</v>
      </c>
      <c r="L117" t="s">
        <v>832</v>
      </c>
      <c r="M117" t="s">
        <v>833</v>
      </c>
      <c r="N117" t="s">
        <v>834</v>
      </c>
      <c r="O117" t="s">
        <v>835</v>
      </c>
      <c r="P117" t="s">
        <v>836</v>
      </c>
      <c r="Q117" t="s">
        <v>837</v>
      </c>
      <c r="R117" t="s">
        <v>838</v>
      </c>
      <c r="S117" t="s">
        <v>839</v>
      </c>
      <c r="T117" t="s">
        <v>840</v>
      </c>
      <c r="U117" t="s">
        <v>2</v>
      </c>
      <c r="V117">
        <f>COUNTA(Estimates_on_the_use_of_water__2020__a_3712[[#This Row],[name]:[wat_sur_u]])</f>
        <v>21</v>
      </c>
      <c r="W117">
        <f>COUNT(Estimates_on_the_use_of_water__2020__a_3712[[#This Row],[name]:[wat_sur_u]])</f>
        <v>6</v>
      </c>
    </row>
    <row r="118" spans="1:23" x14ac:dyDescent="0.25">
      <c r="A118" t="s">
        <v>841</v>
      </c>
      <c r="B118" t="s">
        <v>109</v>
      </c>
      <c r="C118">
        <v>8947.0273440000001</v>
      </c>
      <c r="D118" s="3">
        <f>Estimates_on_the_use_of_water__2020__a_3712[[#This Row],[pop_n]]*1000</f>
        <v>8947027.3440000005</v>
      </c>
      <c r="E118" s="9" t="s">
        <v>842</v>
      </c>
      <c r="F118" s="1">
        <v>0.13345000269999999</v>
      </c>
      <c r="G118" s="2">
        <v>1193980.8232137738</v>
      </c>
      <c r="H118" s="1">
        <v>1193.9808232137736</v>
      </c>
      <c r="I118" s="2">
        <v>86.65499973</v>
      </c>
      <c r="J118" t="s">
        <v>843</v>
      </c>
      <c r="K118" t="s">
        <v>844</v>
      </c>
      <c r="L118" t="s">
        <v>845</v>
      </c>
      <c r="M118" t="s">
        <v>846</v>
      </c>
      <c r="N118" t="s">
        <v>847</v>
      </c>
      <c r="O118" t="s">
        <v>848</v>
      </c>
      <c r="P118" t="s">
        <v>849</v>
      </c>
      <c r="Q118" t="s">
        <v>850</v>
      </c>
      <c r="R118" t="s">
        <v>851</v>
      </c>
      <c r="S118" t="s">
        <v>852</v>
      </c>
      <c r="T118" t="s">
        <v>853</v>
      </c>
      <c r="U118" t="s">
        <v>854</v>
      </c>
      <c r="V118">
        <f>COUNTA(Estimates_on_the_use_of_water__2020__a_3712[[#This Row],[name]:[wat_sur_u]])</f>
        <v>21</v>
      </c>
      <c r="W118">
        <f>COUNT(Estimates_on_the_use_of_water__2020__a_3712[[#This Row],[name]:[wat_sur_u]])</f>
        <v>6</v>
      </c>
    </row>
    <row r="119" spans="1:23" x14ac:dyDescent="0.25">
      <c r="A119" t="s">
        <v>855</v>
      </c>
      <c r="B119" t="s">
        <v>30</v>
      </c>
      <c r="C119">
        <v>9006.4003909999992</v>
      </c>
      <c r="D119" s="3">
        <f>Estimates_on_the_use_of_water__2020__a_3712[[#This Row],[pop_n]]*1000</f>
        <v>9006400.3909999989</v>
      </c>
      <c r="E119" s="9" t="s">
        <v>856</v>
      </c>
      <c r="F119" s="1">
        <v>0.58748001100000002</v>
      </c>
      <c r="G119" s="2">
        <v>5291080.2007750841</v>
      </c>
      <c r="H119" s="1">
        <v>5291.0802007750844</v>
      </c>
      <c r="I119" s="2">
        <v>41.251998899999997</v>
      </c>
      <c r="J119" t="s">
        <v>15</v>
      </c>
      <c r="K119" t="s">
        <v>2</v>
      </c>
      <c r="L119" t="s">
        <v>2</v>
      </c>
      <c r="M119" t="s">
        <v>2</v>
      </c>
      <c r="N119" t="s">
        <v>15</v>
      </c>
      <c r="O119" t="s">
        <v>2</v>
      </c>
      <c r="P119" t="s">
        <v>2</v>
      </c>
      <c r="Q119" t="s">
        <v>2</v>
      </c>
      <c r="R119" t="s">
        <v>15</v>
      </c>
      <c r="S119" t="s">
        <v>2</v>
      </c>
      <c r="T119" t="s">
        <v>2</v>
      </c>
      <c r="U119" t="s">
        <v>2</v>
      </c>
      <c r="V119">
        <f>COUNTA(Estimates_on_the_use_of_water__2020__a_3712[[#This Row],[name]:[wat_sur_u]])</f>
        <v>21</v>
      </c>
      <c r="W119">
        <f>COUNT(Estimates_on_the_use_of_water__2020__a_3712[[#This Row],[name]:[wat_sur_u]])</f>
        <v>6</v>
      </c>
    </row>
    <row r="120" spans="1:23" x14ac:dyDescent="0.25">
      <c r="A120" t="s">
        <v>857</v>
      </c>
      <c r="B120" t="s">
        <v>35</v>
      </c>
      <c r="C120">
        <v>9449.3212889999995</v>
      </c>
      <c r="D120" s="3">
        <f>Estimates_on_the_use_of_water__2020__a_3712[[#This Row],[pop_n]]*1000</f>
        <v>9449321.2889999989</v>
      </c>
      <c r="E120" s="9" t="s">
        <v>858</v>
      </c>
      <c r="F120" s="1">
        <v>0.79483001710000001</v>
      </c>
      <c r="G120" s="2">
        <v>7510604.2017192636</v>
      </c>
      <c r="H120" s="1">
        <v>7510.604201719264</v>
      </c>
      <c r="I120" s="2">
        <v>20.516998290000004</v>
      </c>
      <c r="J120" t="s">
        <v>859</v>
      </c>
      <c r="K120" t="s">
        <v>860</v>
      </c>
      <c r="L120" t="s">
        <v>861</v>
      </c>
      <c r="M120" t="s">
        <v>2</v>
      </c>
      <c r="N120" t="s">
        <v>862</v>
      </c>
      <c r="O120" t="s">
        <v>863</v>
      </c>
      <c r="P120" t="s">
        <v>864</v>
      </c>
      <c r="Q120" t="s">
        <v>2</v>
      </c>
      <c r="R120" t="s">
        <v>865</v>
      </c>
      <c r="S120" t="s">
        <v>866</v>
      </c>
      <c r="T120" t="s">
        <v>867</v>
      </c>
      <c r="U120" t="s">
        <v>2</v>
      </c>
      <c r="V120">
        <f>COUNTA(Estimates_on_the_use_of_water__2020__a_3712[[#This Row],[name]:[wat_sur_u]])</f>
        <v>21</v>
      </c>
      <c r="W120">
        <f>COUNT(Estimates_on_the_use_of_water__2020__a_3712[[#This Row],[name]:[wat_sur_u]])</f>
        <v>6</v>
      </c>
    </row>
    <row r="121" spans="1:23" x14ac:dyDescent="0.25">
      <c r="A121" t="s">
        <v>868</v>
      </c>
      <c r="B121" t="s">
        <v>109</v>
      </c>
      <c r="C121">
        <v>9537.6416019999997</v>
      </c>
      <c r="D121" s="3">
        <f>Estimates_on_the_use_of_water__2020__a_3712[[#This Row],[pop_n]]*1000</f>
        <v>9537641.602</v>
      </c>
      <c r="E121" s="9" t="s">
        <v>869</v>
      </c>
      <c r="F121" s="1">
        <v>0.27505998609999999</v>
      </c>
      <c r="G121" s="2">
        <v>2623423.5664729015</v>
      </c>
      <c r="H121" s="1">
        <v>2623.4235664729017</v>
      </c>
      <c r="I121" s="2">
        <v>72.494001389999994</v>
      </c>
      <c r="J121" t="s">
        <v>870</v>
      </c>
      <c r="K121" t="s">
        <v>871</v>
      </c>
      <c r="L121" t="s">
        <v>872</v>
      </c>
      <c r="M121" t="s">
        <v>873</v>
      </c>
      <c r="N121" t="s">
        <v>874</v>
      </c>
      <c r="O121" t="s">
        <v>875</v>
      </c>
      <c r="P121" t="s">
        <v>876</v>
      </c>
      <c r="Q121" t="s">
        <v>877</v>
      </c>
      <c r="R121" t="s">
        <v>878</v>
      </c>
      <c r="S121" t="s">
        <v>879</v>
      </c>
      <c r="T121" t="s">
        <v>880</v>
      </c>
      <c r="U121" t="s">
        <v>881</v>
      </c>
      <c r="V121">
        <f>COUNTA(Estimates_on_the_use_of_water__2020__a_3712[[#This Row],[name]:[wat_sur_u]])</f>
        <v>21</v>
      </c>
      <c r="W121">
        <f>COUNT(Estimates_on_the_use_of_water__2020__a_3712[[#This Row],[name]:[wat_sur_u]])</f>
        <v>6</v>
      </c>
    </row>
    <row r="122" spans="1:23" x14ac:dyDescent="0.25">
      <c r="A122" t="s">
        <v>882</v>
      </c>
      <c r="B122" t="s">
        <v>30</v>
      </c>
      <c r="C122">
        <v>9660.3496090000008</v>
      </c>
      <c r="D122" s="3">
        <f>Estimates_on_the_use_of_water__2020__a_3712[[#This Row],[pop_n]]*1000</f>
        <v>9660349.6090000011</v>
      </c>
      <c r="E122" s="9" t="s">
        <v>883</v>
      </c>
      <c r="F122" s="1">
        <v>0.71942001340000006</v>
      </c>
      <c r="G122" s="2">
        <v>6949848.8451554663</v>
      </c>
      <c r="H122" s="1">
        <v>6949.8488451554658</v>
      </c>
      <c r="I122" s="2">
        <v>28.057998659999996</v>
      </c>
      <c r="J122" t="s">
        <v>884</v>
      </c>
      <c r="K122" t="s">
        <v>2</v>
      </c>
      <c r="L122" t="s">
        <v>885</v>
      </c>
      <c r="M122" t="s">
        <v>2</v>
      </c>
      <c r="N122" t="s">
        <v>15</v>
      </c>
      <c r="O122" t="s">
        <v>2</v>
      </c>
      <c r="P122" t="s">
        <v>2</v>
      </c>
      <c r="Q122" t="s">
        <v>2</v>
      </c>
      <c r="R122" t="s">
        <v>15</v>
      </c>
      <c r="S122" t="s">
        <v>2</v>
      </c>
      <c r="T122" t="s">
        <v>2</v>
      </c>
      <c r="U122" t="s">
        <v>2</v>
      </c>
      <c r="V122">
        <f>COUNTA(Estimates_on_the_use_of_water__2020__a_3712[[#This Row],[name]:[wat_sur_u]])</f>
        <v>21</v>
      </c>
      <c r="W122">
        <f>COUNT(Estimates_on_the_use_of_water__2020__a_3712[[#This Row],[name]:[wat_sur_u]])</f>
        <v>6</v>
      </c>
    </row>
    <row r="123" spans="1:23" x14ac:dyDescent="0.25">
      <c r="A123" t="s">
        <v>886</v>
      </c>
      <c r="B123" t="s">
        <v>30</v>
      </c>
      <c r="C123">
        <v>9890.4003909999992</v>
      </c>
      <c r="D123" s="3">
        <f>Estimates_on_the_use_of_water__2020__a_3712[[#This Row],[pop_n]]*1000</f>
        <v>9890400.3909999989</v>
      </c>
      <c r="E123" s="9" t="s">
        <v>887</v>
      </c>
      <c r="F123" s="1">
        <v>0.87047996519999993</v>
      </c>
      <c r="G123" s="2">
        <v>8609395.3881717455</v>
      </c>
      <c r="H123" s="1">
        <v>8609.3953881717443</v>
      </c>
      <c r="I123" s="2">
        <v>12.952003480000002</v>
      </c>
      <c r="J123" t="s">
        <v>888</v>
      </c>
      <c r="K123" t="s">
        <v>2</v>
      </c>
      <c r="L123" t="s">
        <v>889</v>
      </c>
      <c r="M123" t="s">
        <v>2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>
        <f>COUNTA(Estimates_on_the_use_of_water__2020__a_3712[[#This Row],[name]:[wat_sur_u]])</f>
        <v>21</v>
      </c>
      <c r="W123">
        <f>COUNT(Estimates_on_the_use_of_water__2020__a_3712[[#This Row],[name]:[wat_sur_u]])</f>
        <v>6</v>
      </c>
    </row>
    <row r="124" spans="1:23" x14ac:dyDescent="0.25">
      <c r="A124" t="s">
        <v>890</v>
      </c>
      <c r="B124" t="s">
        <v>109</v>
      </c>
      <c r="C124">
        <v>9904.6083980000003</v>
      </c>
      <c r="D124" s="3">
        <f>Estimates_on_the_use_of_water__2020__a_3712[[#This Row],[pop_n]]*1000</f>
        <v>9904608.398</v>
      </c>
      <c r="E124" s="9" t="s">
        <v>891</v>
      </c>
      <c r="F124" s="1">
        <v>0.58358997340000007</v>
      </c>
      <c r="G124" s="2">
        <v>5780230.1515262369</v>
      </c>
      <c r="H124" s="1">
        <v>5780.2301515262379</v>
      </c>
      <c r="I124" s="2">
        <v>41.641002659999998</v>
      </c>
      <c r="J124" t="s">
        <v>892</v>
      </c>
      <c r="K124" t="s">
        <v>893</v>
      </c>
      <c r="L124" t="s">
        <v>894</v>
      </c>
      <c r="M124" t="s">
        <v>2</v>
      </c>
      <c r="N124" t="s">
        <v>895</v>
      </c>
      <c r="O124" t="s">
        <v>896</v>
      </c>
      <c r="P124" t="s">
        <v>897</v>
      </c>
      <c r="Q124" t="s">
        <v>2</v>
      </c>
      <c r="R124" t="s">
        <v>898</v>
      </c>
      <c r="S124" t="s">
        <v>899</v>
      </c>
      <c r="T124" t="s">
        <v>900</v>
      </c>
      <c r="U124" t="s">
        <v>2</v>
      </c>
      <c r="V124">
        <f>COUNTA(Estimates_on_the_use_of_water__2020__a_3712[[#This Row],[name]:[wat_sur_u]])</f>
        <v>21</v>
      </c>
      <c r="W124">
        <f>COUNT(Estimates_on_the_use_of_water__2020__a_3712[[#This Row],[name]:[wat_sur_u]])</f>
        <v>6</v>
      </c>
    </row>
    <row r="125" spans="1:23" x14ac:dyDescent="0.25">
      <c r="A125" t="s">
        <v>901</v>
      </c>
      <c r="B125" t="s">
        <v>30</v>
      </c>
      <c r="C125">
        <v>10099.26953</v>
      </c>
      <c r="D125" s="3">
        <f>Estimates_on_the_use_of_water__2020__a_3712[[#This Row],[pop_n]]*1000</f>
        <v>10099269.529999999</v>
      </c>
      <c r="E125" s="9" t="s">
        <v>902</v>
      </c>
      <c r="F125" s="1">
        <v>0.87976997379999999</v>
      </c>
      <c r="G125" s="2">
        <v>8885034.0898072384</v>
      </c>
      <c r="H125" s="1">
        <v>8885.0340898072373</v>
      </c>
      <c r="I125" s="2">
        <v>12.02300262</v>
      </c>
      <c r="J125" t="s">
        <v>903</v>
      </c>
      <c r="K125" t="s">
        <v>2</v>
      </c>
      <c r="L125" t="s">
        <v>904</v>
      </c>
      <c r="M125" t="s">
        <v>2</v>
      </c>
      <c r="N125" t="s">
        <v>905</v>
      </c>
      <c r="O125" t="s">
        <v>2</v>
      </c>
      <c r="P125" t="s">
        <v>906</v>
      </c>
      <c r="Q125" t="s">
        <v>2</v>
      </c>
      <c r="R125" t="s">
        <v>907</v>
      </c>
      <c r="S125" t="s">
        <v>2</v>
      </c>
      <c r="T125" t="s">
        <v>908</v>
      </c>
      <c r="U125" t="s">
        <v>2</v>
      </c>
      <c r="V125">
        <f>COUNTA(Estimates_on_the_use_of_water__2020__a_3712[[#This Row],[name]:[wat_sur_u]])</f>
        <v>21</v>
      </c>
      <c r="W125">
        <f>COUNT(Estimates_on_the_use_of_water__2020__a_3712[[#This Row],[name]:[wat_sur_u]])</f>
        <v>6</v>
      </c>
    </row>
    <row r="126" spans="1:23" x14ac:dyDescent="0.25">
      <c r="A126" t="s">
        <v>909</v>
      </c>
      <c r="B126" t="s">
        <v>35</v>
      </c>
      <c r="C126">
        <v>10139.174800000001</v>
      </c>
      <c r="D126" s="3">
        <f>Estimates_on_the_use_of_water__2020__a_3712[[#This Row],[pop_n]]*1000</f>
        <v>10139174.800000001</v>
      </c>
      <c r="E126" s="9" t="s">
        <v>910</v>
      </c>
      <c r="F126" s="1">
        <v>0.56397003169999993</v>
      </c>
      <c r="G126" s="2">
        <v>5718190.7333678408</v>
      </c>
      <c r="H126" s="1">
        <v>5718.1907333678409</v>
      </c>
      <c r="I126" s="2">
        <v>43.602996830000002</v>
      </c>
      <c r="J126" t="s">
        <v>911</v>
      </c>
      <c r="K126" t="s">
        <v>912</v>
      </c>
      <c r="L126" t="s">
        <v>913</v>
      </c>
      <c r="M126" t="s">
        <v>2</v>
      </c>
      <c r="N126" t="s">
        <v>914</v>
      </c>
      <c r="O126" t="s">
        <v>915</v>
      </c>
      <c r="P126" t="s">
        <v>916</v>
      </c>
      <c r="Q126" t="s">
        <v>2</v>
      </c>
      <c r="R126" t="s">
        <v>15</v>
      </c>
      <c r="S126" t="s">
        <v>2</v>
      </c>
      <c r="T126" t="s">
        <v>2</v>
      </c>
      <c r="U126" t="s">
        <v>2</v>
      </c>
      <c r="V126">
        <f>COUNTA(Estimates_on_the_use_of_water__2020__a_3712[[#This Row],[name]:[wat_sur_u]])</f>
        <v>21</v>
      </c>
      <c r="W126">
        <f>COUNT(Estimates_on_the_use_of_water__2020__a_3712[[#This Row],[name]:[wat_sur_u]])</f>
        <v>6</v>
      </c>
    </row>
    <row r="127" spans="1:23" x14ac:dyDescent="0.25">
      <c r="A127" t="s">
        <v>917</v>
      </c>
      <c r="B127" t="s">
        <v>30</v>
      </c>
      <c r="C127">
        <v>10196.70703</v>
      </c>
      <c r="D127" s="3">
        <f>Estimates_on_the_use_of_water__2020__a_3712[[#This Row],[pop_n]]*1000</f>
        <v>10196707.029999999</v>
      </c>
      <c r="E127" s="9" t="s">
        <v>918</v>
      </c>
      <c r="F127" s="1">
        <v>0.6630999756</v>
      </c>
      <c r="G127" s="2">
        <v>6761436.1827933481</v>
      </c>
      <c r="H127" s="1">
        <v>6761.4361827933481</v>
      </c>
      <c r="I127" s="2">
        <v>33.690002440000001</v>
      </c>
      <c r="J127" t="s">
        <v>919</v>
      </c>
      <c r="K127" t="s">
        <v>2</v>
      </c>
      <c r="L127" t="s">
        <v>920</v>
      </c>
      <c r="M127" t="s">
        <v>2</v>
      </c>
      <c r="N127" t="s">
        <v>921</v>
      </c>
      <c r="O127" t="s">
        <v>2</v>
      </c>
      <c r="P127" t="s">
        <v>922</v>
      </c>
      <c r="Q127" t="s">
        <v>2</v>
      </c>
      <c r="R127" t="s">
        <v>15</v>
      </c>
      <c r="S127" t="s">
        <v>2</v>
      </c>
      <c r="T127" t="s">
        <v>2</v>
      </c>
      <c r="U127" t="s">
        <v>2</v>
      </c>
      <c r="V127">
        <f>COUNTA(Estimates_on_the_use_of_water__2020__a_3712[[#This Row],[name]:[wat_sur_u]])</f>
        <v>21</v>
      </c>
      <c r="W127">
        <f>COUNT(Estimates_on_the_use_of_water__2020__a_3712[[#This Row],[name]:[wat_sur_u]])</f>
        <v>6</v>
      </c>
    </row>
    <row r="128" spans="1:23" x14ac:dyDescent="0.25">
      <c r="A128" t="s">
        <v>923</v>
      </c>
      <c r="B128" t="s">
        <v>35</v>
      </c>
      <c r="C128">
        <v>10203.139649999999</v>
      </c>
      <c r="D128" s="3">
        <f>Estimates_on_the_use_of_water__2020__a_3712[[#This Row],[pop_n]]*1000</f>
        <v>10203139.649999999</v>
      </c>
      <c r="E128" s="9" t="s">
        <v>924</v>
      </c>
      <c r="F128" s="1">
        <v>0.91417999269999994</v>
      </c>
      <c r="G128" s="2">
        <v>9327506.1307540778</v>
      </c>
      <c r="H128" s="1">
        <v>9327.50613075408</v>
      </c>
      <c r="I128" s="2">
        <v>8.5820007300000043</v>
      </c>
      <c r="J128" t="s">
        <v>925</v>
      </c>
      <c r="K128" t="s">
        <v>926</v>
      </c>
      <c r="L128" t="s">
        <v>927</v>
      </c>
      <c r="M128" t="s">
        <v>928</v>
      </c>
      <c r="N128" t="s">
        <v>929</v>
      </c>
      <c r="O128" t="s">
        <v>930</v>
      </c>
      <c r="P128" t="s">
        <v>931</v>
      </c>
      <c r="Q128" t="s">
        <v>932</v>
      </c>
      <c r="R128" t="s">
        <v>933</v>
      </c>
      <c r="S128" t="s">
        <v>934</v>
      </c>
      <c r="T128" t="s">
        <v>935</v>
      </c>
      <c r="U128" t="s">
        <v>936</v>
      </c>
      <c r="V128">
        <f>COUNTA(Estimates_on_the_use_of_water__2020__a_3712[[#This Row],[name]:[wat_sur_u]])</f>
        <v>21</v>
      </c>
      <c r="W128">
        <f>COUNT(Estimates_on_the_use_of_water__2020__a_3712[[#This Row],[name]:[wat_sur_u]])</f>
        <v>6</v>
      </c>
    </row>
    <row r="129" spans="1:23" x14ac:dyDescent="0.25">
      <c r="A129" t="s">
        <v>937</v>
      </c>
      <c r="B129" t="s">
        <v>30</v>
      </c>
      <c r="C129">
        <v>10423.05566</v>
      </c>
      <c r="D129" s="3">
        <f>Estimates_on_the_use_of_water__2020__a_3712[[#This Row],[pop_n]]*1000</f>
        <v>10423055.66</v>
      </c>
      <c r="E129" s="9" t="s">
        <v>938</v>
      </c>
      <c r="F129" s="1">
        <v>0.79715003969999998</v>
      </c>
      <c r="G129" s="2">
        <v>8308739.2331643095</v>
      </c>
      <c r="H129" s="1">
        <v>8308.7392331643096</v>
      </c>
      <c r="I129" s="2">
        <v>20.284996030000002</v>
      </c>
      <c r="J129" t="s">
        <v>939</v>
      </c>
      <c r="K129" t="s">
        <v>2</v>
      </c>
      <c r="L129" t="s">
        <v>2</v>
      </c>
      <c r="M129" t="s">
        <v>2</v>
      </c>
      <c r="N129" t="s">
        <v>15</v>
      </c>
      <c r="O129" t="s">
        <v>2</v>
      </c>
      <c r="P129" t="s">
        <v>2</v>
      </c>
      <c r="Q129" t="s">
        <v>2</v>
      </c>
      <c r="R129" t="s">
        <v>15</v>
      </c>
      <c r="S129" t="s">
        <v>2</v>
      </c>
      <c r="T129" t="s">
        <v>2</v>
      </c>
      <c r="U129" t="s">
        <v>2</v>
      </c>
      <c r="V129">
        <f>COUNTA(Estimates_on_the_use_of_water__2020__a_3712[[#This Row],[name]:[wat_sur_u]])</f>
        <v>21</v>
      </c>
      <c r="W129">
        <f>COUNT(Estimates_on_the_use_of_water__2020__a_3712[[#This Row],[name]:[wat_sur_u]])</f>
        <v>6</v>
      </c>
    </row>
    <row r="130" spans="1:23" x14ac:dyDescent="0.25">
      <c r="A130" t="s">
        <v>940</v>
      </c>
      <c r="B130" t="s">
        <v>30</v>
      </c>
      <c r="C130">
        <v>10708.98242</v>
      </c>
      <c r="D130" s="3">
        <f>Estimates_on_the_use_of_water__2020__a_3712[[#This Row],[pop_n]]*1000</f>
        <v>10708982.42</v>
      </c>
      <c r="E130" s="9" t="s">
        <v>941</v>
      </c>
      <c r="F130" s="1">
        <v>0.74061004639999994</v>
      </c>
      <c r="G130" s="2">
        <v>7931179.9669729834</v>
      </c>
      <c r="H130" s="1">
        <v>7931.1799669729835</v>
      </c>
      <c r="I130" s="2">
        <v>25.938995360000007</v>
      </c>
      <c r="J130" t="s">
        <v>942</v>
      </c>
      <c r="K130" t="s">
        <v>2</v>
      </c>
      <c r="L130" t="s">
        <v>943</v>
      </c>
      <c r="M130" t="s">
        <v>2</v>
      </c>
      <c r="N130" t="s">
        <v>944</v>
      </c>
      <c r="O130" t="s">
        <v>2</v>
      </c>
      <c r="P130" t="s">
        <v>945</v>
      </c>
      <c r="Q130" t="s">
        <v>2</v>
      </c>
      <c r="R130" t="s">
        <v>946</v>
      </c>
      <c r="S130" t="s">
        <v>2</v>
      </c>
      <c r="T130" t="s">
        <v>947</v>
      </c>
      <c r="U130" t="s">
        <v>2</v>
      </c>
      <c r="V130">
        <f>COUNTA(Estimates_on_the_use_of_water__2020__a_3712[[#This Row],[name]:[wat_sur_u]])</f>
        <v>21</v>
      </c>
      <c r="W130">
        <f>COUNT(Estimates_on_the_use_of_water__2020__a_3712[[#This Row],[name]:[wat_sur_u]])</f>
        <v>6</v>
      </c>
    </row>
    <row r="131" spans="1:23" x14ac:dyDescent="0.25">
      <c r="A131" t="s">
        <v>948</v>
      </c>
      <c r="B131" t="s">
        <v>35</v>
      </c>
      <c r="C131">
        <v>10847.9043</v>
      </c>
      <c r="D131" s="3">
        <f>Estimates_on_the_use_of_water__2020__a_3712[[#This Row],[pop_n]]*1000</f>
        <v>10847904.300000001</v>
      </c>
      <c r="E131" s="9" t="s">
        <v>949</v>
      </c>
      <c r="F131" s="1">
        <v>0.82540000920000001</v>
      </c>
      <c r="G131" s="2">
        <v>8953860.3090207204</v>
      </c>
      <c r="H131" s="1">
        <v>8953.8603090207198</v>
      </c>
      <c r="I131" s="2">
        <v>17.459999080000003</v>
      </c>
      <c r="J131" t="s">
        <v>950</v>
      </c>
      <c r="K131" t="s">
        <v>951</v>
      </c>
      <c r="L131" t="s">
        <v>952</v>
      </c>
      <c r="M131" t="s">
        <v>953</v>
      </c>
      <c r="N131" t="s">
        <v>954</v>
      </c>
      <c r="O131" t="s">
        <v>955</v>
      </c>
      <c r="P131" t="s">
        <v>956</v>
      </c>
      <c r="Q131" t="s">
        <v>957</v>
      </c>
      <c r="R131" t="s">
        <v>958</v>
      </c>
      <c r="S131" t="s">
        <v>959</v>
      </c>
      <c r="T131" t="s">
        <v>960</v>
      </c>
      <c r="U131" t="s">
        <v>961</v>
      </c>
      <c r="V131">
        <f>COUNTA(Estimates_on_the_use_of_water__2020__a_3712[[#This Row],[name]:[wat_sur_u]])</f>
        <v>21</v>
      </c>
      <c r="W131">
        <f>COUNT(Estimates_on_the_use_of_water__2020__a_3712[[#This Row],[name]:[wat_sur_u]])</f>
        <v>6</v>
      </c>
    </row>
    <row r="132" spans="1:23" x14ac:dyDescent="0.25">
      <c r="A132" t="s">
        <v>962</v>
      </c>
      <c r="B132" t="s">
        <v>397</v>
      </c>
      <c r="C132">
        <v>11193.728520000001</v>
      </c>
      <c r="D132" s="3">
        <f>Estimates_on_the_use_of_water__2020__a_3712[[#This Row],[pop_n]]*1000</f>
        <v>11193728.520000001</v>
      </c>
      <c r="E132" s="9" t="s">
        <v>963</v>
      </c>
      <c r="F132" s="1">
        <v>0.20198999400000001</v>
      </c>
      <c r="G132" s="2">
        <v>2261021.1565924291</v>
      </c>
      <c r="H132" s="1">
        <v>2261.0211565924292</v>
      </c>
      <c r="I132" s="2">
        <v>79.801000599999995</v>
      </c>
      <c r="J132" t="s">
        <v>964</v>
      </c>
      <c r="K132" t="s">
        <v>965</v>
      </c>
      <c r="L132" t="s">
        <v>966</v>
      </c>
      <c r="M132" t="s">
        <v>967</v>
      </c>
      <c r="N132" t="s">
        <v>968</v>
      </c>
      <c r="O132" t="s">
        <v>969</v>
      </c>
      <c r="P132" t="s">
        <v>970</v>
      </c>
      <c r="Q132" t="s">
        <v>971</v>
      </c>
      <c r="R132" t="s">
        <v>972</v>
      </c>
      <c r="S132" t="s">
        <v>973</v>
      </c>
      <c r="T132" t="s">
        <v>974</v>
      </c>
      <c r="U132" t="s">
        <v>2</v>
      </c>
      <c r="V132">
        <f>COUNTA(Estimates_on_the_use_of_water__2020__a_3712[[#This Row],[name]:[wat_sur_u]])</f>
        <v>21</v>
      </c>
      <c r="W132">
        <f>COUNT(Estimates_on_the_use_of_water__2020__a_3712[[#This Row],[name]:[wat_sur_u]])</f>
        <v>6</v>
      </c>
    </row>
    <row r="133" spans="1:23" x14ac:dyDescent="0.25">
      <c r="A133" t="s">
        <v>975</v>
      </c>
      <c r="B133" t="s">
        <v>35</v>
      </c>
      <c r="C133">
        <v>11326.61621</v>
      </c>
      <c r="D133" s="3">
        <f>Estimates_on_the_use_of_water__2020__a_3712[[#This Row],[pop_n]]*1000</f>
        <v>11326616.210000001</v>
      </c>
      <c r="E133" s="9" t="s">
        <v>976</v>
      </c>
      <c r="F133" s="1">
        <v>0.77194000239999994</v>
      </c>
      <c r="G133" s="2">
        <v>8743468.1443312783</v>
      </c>
      <c r="H133" s="1">
        <v>8743.4681443312784</v>
      </c>
      <c r="I133" s="2">
        <v>22.805999760000006</v>
      </c>
      <c r="J133" t="s">
        <v>977</v>
      </c>
      <c r="K133" t="s">
        <v>978</v>
      </c>
      <c r="L133" t="s">
        <v>979</v>
      </c>
      <c r="M133" t="s">
        <v>980</v>
      </c>
      <c r="N133" t="s">
        <v>981</v>
      </c>
      <c r="O133" t="s">
        <v>982</v>
      </c>
      <c r="P133" t="s">
        <v>983</v>
      </c>
      <c r="Q133" t="s">
        <v>984</v>
      </c>
      <c r="R133" t="s">
        <v>985</v>
      </c>
      <c r="S133" t="s">
        <v>986</v>
      </c>
      <c r="T133" t="s">
        <v>987</v>
      </c>
      <c r="U133" t="s">
        <v>988</v>
      </c>
      <c r="V133">
        <f>COUNTA(Estimates_on_the_use_of_water__2020__a_3712[[#This Row],[name]:[wat_sur_u]])</f>
        <v>21</v>
      </c>
      <c r="W133">
        <f>COUNT(Estimates_on_the_use_of_water__2020__a_3712[[#This Row],[name]:[wat_sur_u]])</f>
        <v>6</v>
      </c>
    </row>
    <row r="134" spans="1:23" x14ac:dyDescent="0.25">
      <c r="A134" t="s">
        <v>989</v>
      </c>
      <c r="B134" t="s">
        <v>109</v>
      </c>
      <c r="C134">
        <v>11402.5332</v>
      </c>
      <c r="D134" s="3">
        <f>Estimates_on_the_use_of_water__2020__a_3712[[#This Row],[pop_n]]*1000</f>
        <v>11402533.199999999</v>
      </c>
      <c r="E134" s="9" t="s">
        <v>990</v>
      </c>
      <c r="F134" s="1">
        <v>0.57087997440000005</v>
      </c>
      <c r="G134" s="2">
        <v>6509477.8613111498</v>
      </c>
      <c r="H134" s="1">
        <v>6509.4778613111503</v>
      </c>
      <c r="I134" s="2">
        <v>42.912002559999998</v>
      </c>
      <c r="J134" t="s">
        <v>991</v>
      </c>
      <c r="K134" t="s">
        <v>992</v>
      </c>
      <c r="L134" t="s">
        <v>993</v>
      </c>
      <c r="M134" t="s">
        <v>2</v>
      </c>
      <c r="N134" t="s">
        <v>994</v>
      </c>
      <c r="O134" t="s">
        <v>995</v>
      </c>
      <c r="P134" t="s">
        <v>996</v>
      </c>
      <c r="Q134" t="s">
        <v>2</v>
      </c>
      <c r="R134" t="s">
        <v>997</v>
      </c>
      <c r="S134" t="s">
        <v>998</v>
      </c>
      <c r="T134" t="s">
        <v>999</v>
      </c>
      <c r="U134" t="s">
        <v>2</v>
      </c>
      <c r="V134">
        <f>COUNTA(Estimates_on_the_use_of_water__2020__a_3712[[#This Row],[name]:[wat_sur_u]])</f>
        <v>21</v>
      </c>
      <c r="W134">
        <f>COUNT(Estimates_on_the_use_of_water__2020__a_3712[[#This Row],[name]:[wat_sur_u]])</f>
        <v>6</v>
      </c>
    </row>
    <row r="135" spans="1:23" x14ac:dyDescent="0.25">
      <c r="A135" t="s">
        <v>1000</v>
      </c>
      <c r="B135" t="s">
        <v>30</v>
      </c>
      <c r="C135">
        <v>11589.61621</v>
      </c>
      <c r="D135" s="3">
        <f>Estimates_on_the_use_of_water__2020__a_3712[[#This Row],[pop_n]]*1000</f>
        <v>11589616.210000001</v>
      </c>
      <c r="E135" s="9" t="s">
        <v>1001</v>
      </c>
      <c r="F135" s="1">
        <v>0.98078994750000004</v>
      </c>
      <c r="G135" s="2">
        <v>11366979.07415105</v>
      </c>
      <c r="H135" s="1">
        <v>11366.97907415105</v>
      </c>
      <c r="I135" s="2">
        <v>1.9210052499999932</v>
      </c>
      <c r="J135" t="s">
        <v>1002</v>
      </c>
      <c r="K135" t="s">
        <v>2</v>
      </c>
      <c r="L135" t="s">
        <v>1003</v>
      </c>
      <c r="M135" t="s">
        <v>2</v>
      </c>
      <c r="N135" t="s">
        <v>15</v>
      </c>
      <c r="O135" t="s">
        <v>2</v>
      </c>
      <c r="P135" t="s">
        <v>2</v>
      </c>
      <c r="Q135" t="s">
        <v>2</v>
      </c>
      <c r="R135" t="s">
        <v>15</v>
      </c>
      <c r="S135" t="s">
        <v>2</v>
      </c>
      <c r="T135" t="s">
        <v>2</v>
      </c>
      <c r="U135" t="s">
        <v>2</v>
      </c>
      <c r="V135">
        <f>COUNTA(Estimates_on_the_use_of_water__2020__a_3712[[#This Row],[name]:[wat_sur_u]])</f>
        <v>21</v>
      </c>
      <c r="W135">
        <f>COUNT(Estimates_on_the_use_of_water__2020__a_3712[[#This Row],[name]:[wat_sur_u]])</f>
        <v>6</v>
      </c>
    </row>
    <row r="136" spans="1:23" x14ac:dyDescent="0.25">
      <c r="A136" t="s">
        <v>1004</v>
      </c>
      <c r="B136" t="s">
        <v>109</v>
      </c>
      <c r="C136">
        <v>11673.0293</v>
      </c>
      <c r="D136" s="3">
        <f>Estimates_on_the_use_of_water__2020__a_3712[[#This Row],[pop_n]]*1000</f>
        <v>11673029.300000001</v>
      </c>
      <c r="E136" s="9" t="s">
        <v>1005</v>
      </c>
      <c r="F136" s="1">
        <v>0.70123001099999993</v>
      </c>
      <c r="G136" s="2">
        <v>8185478.464442322</v>
      </c>
      <c r="H136" s="1">
        <v>8185.4784644423216</v>
      </c>
      <c r="I136" s="2">
        <v>29.876998900000004</v>
      </c>
      <c r="J136" t="s">
        <v>1006</v>
      </c>
      <c r="K136" t="s">
        <v>1007</v>
      </c>
      <c r="L136" t="s">
        <v>1008</v>
      </c>
      <c r="M136" t="s">
        <v>1009</v>
      </c>
      <c r="N136" t="s">
        <v>1010</v>
      </c>
      <c r="O136" t="s">
        <v>1011</v>
      </c>
      <c r="P136" t="s">
        <v>1012</v>
      </c>
      <c r="Q136" t="s">
        <v>1013</v>
      </c>
      <c r="R136" t="s">
        <v>1014</v>
      </c>
      <c r="S136" t="s">
        <v>1015</v>
      </c>
      <c r="T136" t="s">
        <v>1016</v>
      </c>
      <c r="U136" t="s">
        <v>1017</v>
      </c>
      <c r="V136">
        <f>COUNTA(Estimates_on_the_use_of_water__2020__a_3712[[#This Row],[name]:[wat_sur_u]])</f>
        <v>21</v>
      </c>
      <c r="W136">
        <f>COUNT(Estimates_on_the_use_of_water__2020__a_3712[[#This Row],[name]:[wat_sur_u]])</f>
        <v>6</v>
      </c>
    </row>
    <row r="137" spans="1:23" x14ac:dyDescent="0.25">
      <c r="A137" t="s">
        <v>1018</v>
      </c>
      <c r="B137" t="s">
        <v>109</v>
      </c>
      <c r="C137">
        <v>11818.61816</v>
      </c>
      <c r="D137" s="3">
        <f>Estimates_on_the_use_of_water__2020__a_3712[[#This Row],[pop_n]]*1000</f>
        <v>11818618.16</v>
      </c>
      <c r="E137" s="9" t="s">
        <v>1019</v>
      </c>
      <c r="F137" s="1">
        <v>0.69568000789999995</v>
      </c>
      <c r="G137" s="2">
        <v>8221976.3749158829</v>
      </c>
      <c r="H137" s="1">
        <v>8221.9763749158828</v>
      </c>
      <c r="I137" s="2">
        <v>30.431999210000001</v>
      </c>
      <c r="J137" t="s">
        <v>1020</v>
      </c>
      <c r="K137" t="s">
        <v>1021</v>
      </c>
      <c r="L137" t="s">
        <v>1022</v>
      </c>
      <c r="M137" t="s">
        <v>2</v>
      </c>
      <c r="N137" t="s">
        <v>1023</v>
      </c>
      <c r="O137" t="s">
        <v>1024</v>
      </c>
      <c r="P137" t="s">
        <v>1025</v>
      </c>
      <c r="Q137" t="s">
        <v>2</v>
      </c>
      <c r="R137" t="s">
        <v>1026</v>
      </c>
      <c r="S137" t="s">
        <v>1027</v>
      </c>
      <c r="T137" t="s">
        <v>2</v>
      </c>
      <c r="U137" t="s">
        <v>2</v>
      </c>
      <c r="V137">
        <f>COUNTA(Estimates_on_the_use_of_water__2020__a_3712[[#This Row],[name]:[wat_sur_u]])</f>
        <v>21</v>
      </c>
      <c r="W137">
        <f>COUNT(Estimates_on_the_use_of_water__2020__a_3712[[#This Row],[name]:[wat_sur_u]])</f>
        <v>6</v>
      </c>
    </row>
    <row r="138" spans="1:23" x14ac:dyDescent="0.25">
      <c r="A138" t="s">
        <v>1028</v>
      </c>
      <c r="B138" t="s">
        <v>397</v>
      </c>
      <c r="C138">
        <v>11890.78125</v>
      </c>
      <c r="D138" s="3">
        <f>Estimates_on_the_use_of_water__2020__a_3712[[#This Row],[pop_n]]*1000</f>
        <v>11890781.25</v>
      </c>
      <c r="E138" s="9" t="s">
        <v>1029</v>
      </c>
      <c r="F138" s="1">
        <v>0.13708000180000002</v>
      </c>
      <c r="G138" s="2">
        <v>1629988.3151534065</v>
      </c>
      <c r="H138" s="1">
        <v>1629.9883151534063</v>
      </c>
      <c r="I138" s="2">
        <v>86.291999820000001</v>
      </c>
      <c r="J138" t="s">
        <v>1030</v>
      </c>
      <c r="K138" t="s">
        <v>1031</v>
      </c>
      <c r="L138" t="s">
        <v>1032</v>
      </c>
      <c r="M138" t="s">
        <v>1033</v>
      </c>
      <c r="N138" t="s">
        <v>1034</v>
      </c>
      <c r="O138" t="s">
        <v>1035</v>
      </c>
      <c r="P138" t="s">
        <v>1036</v>
      </c>
      <c r="Q138" t="s">
        <v>1037</v>
      </c>
      <c r="R138" t="s">
        <v>1038</v>
      </c>
      <c r="S138" t="s">
        <v>1039</v>
      </c>
      <c r="T138" t="s">
        <v>1040</v>
      </c>
      <c r="U138" t="s">
        <v>2</v>
      </c>
      <c r="V138">
        <f>COUNTA(Estimates_on_the_use_of_water__2020__a_3712[[#This Row],[name]:[wat_sur_u]])</f>
        <v>21</v>
      </c>
      <c r="W138">
        <f>COUNT(Estimates_on_the_use_of_water__2020__a_3712[[#This Row],[name]:[wat_sur_u]])</f>
        <v>6</v>
      </c>
    </row>
    <row r="139" spans="1:23" x14ac:dyDescent="0.25">
      <c r="A139" t="s">
        <v>1041</v>
      </c>
      <c r="B139" t="s">
        <v>109</v>
      </c>
      <c r="C139">
        <v>12123.19824</v>
      </c>
      <c r="D139" s="3">
        <f>Estimates_on_the_use_of_water__2020__a_3712[[#This Row],[pop_n]]*1000</f>
        <v>12123198.24</v>
      </c>
      <c r="E139" s="9" t="s">
        <v>1042</v>
      </c>
      <c r="F139" s="1">
        <v>0.48414997100000001</v>
      </c>
      <c r="G139" s="2">
        <v>5869446.0763232512</v>
      </c>
      <c r="H139" s="1">
        <v>5869.446076323251</v>
      </c>
      <c r="I139" s="2">
        <v>51.585002899999999</v>
      </c>
      <c r="J139" t="s">
        <v>1043</v>
      </c>
      <c r="K139" t="s">
        <v>1044</v>
      </c>
      <c r="L139" t="s">
        <v>1045</v>
      </c>
      <c r="M139" t="s">
        <v>1046</v>
      </c>
      <c r="N139" t="s">
        <v>1047</v>
      </c>
      <c r="O139" t="s">
        <v>1048</v>
      </c>
      <c r="P139" t="s">
        <v>1049</v>
      </c>
      <c r="Q139" t="s">
        <v>1050</v>
      </c>
      <c r="R139" t="s">
        <v>1051</v>
      </c>
      <c r="S139" t="s">
        <v>1052</v>
      </c>
      <c r="T139" t="s">
        <v>1053</v>
      </c>
      <c r="U139" t="s">
        <v>82</v>
      </c>
      <c r="V139">
        <f>COUNTA(Estimates_on_the_use_of_water__2020__a_3712[[#This Row],[name]:[wat_sur_u]])</f>
        <v>21</v>
      </c>
      <c r="W139">
        <f>COUNT(Estimates_on_the_use_of_water__2020__a_3712[[#This Row],[name]:[wat_sur_u]])</f>
        <v>6</v>
      </c>
    </row>
    <row r="140" spans="1:23" x14ac:dyDescent="0.25">
      <c r="A140" t="s">
        <v>1054</v>
      </c>
      <c r="B140" t="s">
        <v>397</v>
      </c>
      <c r="C140">
        <v>12952.208979999999</v>
      </c>
      <c r="D140" s="3">
        <f>Estimates_on_the_use_of_water__2020__a_3712[[#This Row],[pop_n]]*1000</f>
        <v>12952208.979999999</v>
      </c>
      <c r="E140" s="9" t="s">
        <v>1055</v>
      </c>
      <c r="F140" s="1">
        <v>0.17432001110000001</v>
      </c>
      <c r="G140" s="2">
        <v>2257829.2131631193</v>
      </c>
      <c r="H140" s="1">
        <v>2257.8292131631197</v>
      </c>
      <c r="I140" s="2">
        <v>82.567998889999998</v>
      </c>
      <c r="J140" t="s">
        <v>1056</v>
      </c>
      <c r="K140" t="s">
        <v>1057</v>
      </c>
      <c r="L140" t="s">
        <v>1058</v>
      </c>
      <c r="M140" t="s">
        <v>1059</v>
      </c>
      <c r="N140" t="s">
        <v>1060</v>
      </c>
      <c r="O140" t="s">
        <v>1061</v>
      </c>
      <c r="P140" t="s">
        <v>1062</v>
      </c>
      <c r="Q140" t="s">
        <v>1063</v>
      </c>
      <c r="R140" t="s">
        <v>1064</v>
      </c>
      <c r="S140" t="s">
        <v>1065</v>
      </c>
      <c r="T140" t="s">
        <v>1066</v>
      </c>
      <c r="U140" t="s">
        <v>1067</v>
      </c>
      <c r="V140">
        <f>COUNTA(Estimates_on_the_use_of_water__2020__a_3712[[#This Row],[name]:[wat_sur_u]])</f>
        <v>21</v>
      </c>
      <c r="W140">
        <f>COUNT(Estimates_on_the_use_of_water__2020__a_3712[[#This Row],[name]:[wat_sur_u]])</f>
        <v>6</v>
      </c>
    </row>
    <row r="141" spans="1:23" x14ac:dyDescent="0.25">
      <c r="A141" t="s">
        <v>1068</v>
      </c>
      <c r="B141" t="s">
        <v>397</v>
      </c>
      <c r="C141">
        <v>13132.79199</v>
      </c>
      <c r="D141" s="3">
        <f>Estimates_on_the_use_of_water__2020__a_3712[[#This Row],[pop_n]]*1000</f>
        <v>13132791.99</v>
      </c>
      <c r="E141" s="9" t="s">
        <v>1069</v>
      </c>
      <c r="F141" s="1">
        <v>0.36875000000000002</v>
      </c>
      <c r="G141" s="2">
        <v>4842717.0463125007</v>
      </c>
      <c r="H141" s="1">
        <v>4842.7170463125003</v>
      </c>
      <c r="I141" s="2">
        <v>63.125</v>
      </c>
      <c r="J141" t="s">
        <v>1070</v>
      </c>
      <c r="K141" t="s">
        <v>1071</v>
      </c>
      <c r="L141" t="s">
        <v>1072</v>
      </c>
      <c r="M141" t="s">
        <v>1073</v>
      </c>
      <c r="N141" t="s">
        <v>1074</v>
      </c>
      <c r="O141" t="s">
        <v>1075</v>
      </c>
      <c r="P141" t="s">
        <v>1076</v>
      </c>
      <c r="Q141" t="s">
        <v>1077</v>
      </c>
      <c r="R141" t="s">
        <v>1078</v>
      </c>
      <c r="S141" t="s">
        <v>1079</v>
      </c>
      <c r="T141" t="s">
        <v>1080</v>
      </c>
      <c r="U141" t="s">
        <v>2</v>
      </c>
      <c r="V141">
        <f>COUNTA(Estimates_on_the_use_of_water__2020__a_3712[[#This Row],[name]:[wat_sur_u]])</f>
        <v>21</v>
      </c>
      <c r="W141">
        <f>COUNT(Estimates_on_the_use_of_water__2020__a_3712[[#This Row],[name]:[wat_sur_u]])</f>
        <v>6</v>
      </c>
    </row>
    <row r="142" spans="1:23" x14ac:dyDescent="0.25">
      <c r="A142" t="s">
        <v>1081</v>
      </c>
      <c r="B142" t="s">
        <v>109</v>
      </c>
      <c r="C142">
        <v>14862.92676</v>
      </c>
      <c r="D142" s="3">
        <f>Estimates_on_the_use_of_water__2020__a_3712[[#This Row],[pop_n]]*1000</f>
        <v>14862926.76</v>
      </c>
      <c r="E142" s="9" t="s">
        <v>1082</v>
      </c>
      <c r="F142" s="1">
        <v>0.32242000580000002</v>
      </c>
      <c r="G142" s="2">
        <v>4792104.9321641754</v>
      </c>
      <c r="H142" s="1">
        <v>4792.1049321641758</v>
      </c>
      <c r="I142" s="2">
        <v>67.757999420000004</v>
      </c>
      <c r="J142" t="s">
        <v>1083</v>
      </c>
      <c r="K142" t="s">
        <v>1084</v>
      </c>
      <c r="L142" t="s">
        <v>1085</v>
      </c>
      <c r="M142" t="s">
        <v>1086</v>
      </c>
      <c r="N142" t="s">
        <v>1087</v>
      </c>
      <c r="O142" t="s">
        <v>1088</v>
      </c>
      <c r="P142" t="s">
        <v>1089</v>
      </c>
      <c r="Q142" t="s">
        <v>1090</v>
      </c>
      <c r="R142" t="s">
        <v>1091</v>
      </c>
      <c r="S142" t="s">
        <v>1092</v>
      </c>
      <c r="T142" t="s">
        <v>1093</v>
      </c>
      <c r="U142" t="s">
        <v>1094</v>
      </c>
      <c r="V142">
        <f>COUNTA(Estimates_on_the_use_of_water__2020__a_3712[[#This Row],[name]:[wat_sur_u]])</f>
        <v>21</v>
      </c>
      <c r="W142">
        <f>COUNT(Estimates_on_the_use_of_water__2020__a_3712[[#This Row],[name]:[wat_sur_u]])</f>
        <v>6</v>
      </c>
    </row>
    <row r="143" spans="1:23" x14ac:dyDescent="0.25">
      <c r="A143" t="s">
        <v>1095</v>
      </c>
      <c r="B143" t="s">
        <v>397</v>
      </c>
      <c r="C143">
        <v>15893.21875</v>
      </c>
      <c r="D143" s="3">
        <f>Estimates_on_the_use_of_water__2020__a_3712[[#This Row],[pop_n]]*1000</f>
        <v>15893218.75</v>
      </c>
      <c r="E143" s="9" t="s">
        <v>1096</v>
      </c>
      <c r="F143" s="1">
        <v>0.46140998840000003</v>
      </c>
      <c r="G143" s="2">
        <v>7333289.8790761633</v>
      </c>
      <c r="H143" s="1">
        <v>7333.2898790761628</v>
      </c>
      <c r="I143" s="2">
        <v>53.859001159999998</v>
      </c>
      <c r="J143" t="s">
        <v>1097</v>
      </c>
      <c r="K143" t="s">
        <v>1098</v>
      </c>
      <c r="L143" t="s">
        <v>1099</v>
      </c>
      <c r="M143" t="s">
        <v>1100</v>
      </c>
      <c r="N143" t="s">
        <v>1101</v>
      </c>
      <c r="O143" t="s">
        <v>1102</v>
      </c>
      <c r="P143" t="s">
        <v>1103</v>
      </c>
      <c r="Q143" t="s">
        <v>1104</v>
      </c>
      <c r="R143" t="s">
        <v>1105</v>
      </c>
      <c r="S143" t="s">
        <v>1106</v>
      </c>
      <c r="T143" t="s">
        <v>1107</v>
      </c>
      <c r="U143" t="s">
        <v>2</v>
      </c>
      <c r="V143">
        <f>COUNTA(Estimates_on_the_use_of_water__2020__a_3712[[#This Row],[name]:[wat_sur_u]])</f>
        <v>21</v>
      </c>
      <c r="W143">
        <f>COUNT(Estimates_on_the_use_of_water__2020__a_3712[[#This Row],[name]:[wat_sur_u]])</f>
        <v>6</v>
      </c>
    </row>
    <row r="144" spans="1:23" x14ac:dyDescent="0.25">
      <c r="A144" t="s">
        <v>1108</v>
      </c>
      <c r="B144" t="s">
        <v>397</v>
      </c>
      <c r="C144">
        <v>16425.859380000002</v>
      </c>
      <c r="D144" s="3">
        <f>Estimates_on_the_use_of_water__2020__a_3712[[#This Row],[pop_n]]*1000</f>
        <v>16425859.380000001</v>
      </c>
      <c r="E144" s="9" t="s">
        <v>1109</v>
      </c>
      <c r="F144" s="1">
        <v>0.23520000459999998</v>
      </c>
      <c r="G144" s="2">
        <v>3863362.2017349531</v>
      </c>
      <c r="H144" s="1">
        <v>3863.3622017349535</v>
      </c>
      <c r="I144" s="2">
        <v>76.479999539999994</v>
      </c>
      <c r="J144" t="s">
        <v>1110</v>
      </c>
      <c r="K144" t="s">
        <v>1111</v>
      </c>
      <c r="L144" t="s">
        <v>1112</v>
      </c>
      <c r="M144" t="s">
        <v>1113</v>
      </c>
      <c r="N144" t="s">
        <v>1114</v>
      </c>
      <c r="O144" t="s">
        <v>1115</v>
      </c>
      <c r="P144" t="s">
        <v>1116</v>
      </c>
      <c r="Q144" t="s">
        <v>1117</v>
      </c>
      <c r="R144" t="s">
        <v>1118</v>
      </c>
      <c r="S144" t="s">
        <v>1119</v>
      </c>
      <c r="T144" t="s">
        <v>1120</v>
      </c>
      <c r="U144" t="s">
        <v>1121</v>
      </c>
      <c r="V144">
        <f>COUNTA(Estimates_on_the_use_of_water__2020__a_3712[[#This Row],[name]:[wat_sur_u]])</f>
        <v>21</v>
      </c>
      <c r="W144">
        <f>COUNT(Estimates_on_the_use_of_water__2020__a_3712[[#This Row],[name]:[wat_sur_u]])</f>
        <v>6</v>
      </c>
    </row>
    <row r="145" spans="1:23" x14ac:dyDescent="0.25">
      <c r="A145" t="s">
        <v>1122</v>
      </c>
      <c r="B145" t="s">
        <v>109</v>
      </c>
      <c r="C145">
        <v>16718.970700000002</v>
      </c>
      <c r="D145" s="3">
        <f>Estimates_on_the_use_of_water__2020__a_3712[[#This Row],[pop_n]]*1000</f>
        <v>16718970.700000001</v>
      </c>
      <c r="E145" s="9" t="s">
        <v>1123</v>
      </c>
      <c r="F145" s="1">
        <v>0.24232000349999999</v>
      </c>
      <c r="G145" s="2">
        <v>4051341.0385403978</v>
      </c>
      <c r="H145" s="1">
        <v>4051.3410385403977</v>
      </c>
      <c r="I145" s="2">
        <v>75.767999650000007</v>
      </c>
      <c r="J145" t="s">
        <v>1124</v>
      </c>
      <c r="K145" t="s">
        <v>1125</v>
      </c>
      <c r="L145" t="s">
        <v>1126</v>
      </c>
      <c r="M145" t="s">
        <v>1127</v>
      </c>
      <c r="N145" t="s">
        <v>1128</v>
      </c>
      <c r="O145" t="s">
        <v>1129</v>
      </c>
      <c r="P145" t="s">
        <v>1130</v>
      </c>
      <c r="Q145" t="s">
        <v>1131</v>
      </c>
      <c r="R145" t="s">
        <v>1132</v>
      </c>
      <c r="S145" t="s">
        <v>1133</v>
      </c>
      <c r="T145" t="s">
        <v>2</v>
      </c>
      <c r="U145" t="s">
        <v>1134</v>
      </c>
      <c r="V145">
        <f>COUNTA(Estimates_on_the_use_of_water__2020__a_3712[[#This Row],[name]:[wat_sur_u]])</f>
        <v>21</v>
      </c>
      <c r="W145">
        <f>COUNT(Estimates_on_the_use_of_water__2020__a_3712[[#This Row],[name]:[wat_sur_u]])</f>
        <v>6</v>
      </c>
    </row>
    <row r="146" spans="1:23" x14ac:dyDescent="0.25">
      <c r="A146" t="s">
        <v>1135</v>
      </c>
      <c r="B146" t="s">
        <v>109</v>
      </c>
      <c r="C146">
        <v>16743.929690000001</v>
      </c>
      <c r="D146" s="3">
        <f>Estimates_on_the_use_of_water__2020__a_3712[[#This Row],[pop_n]]*1000</f>
        <v>16743929.690000001</v>
      </c>
      <c r="E146" s="9" t="s">
        <v>1136</v>
      </c>
      <c r="F146" s="1">
        <v>0.48122001650000001</v>
      </c>
      <c r="G146" s="2">
        <v>8057514.1216966407</v>
      </c>
      <c r="H146" s="1">
        <v>8057.5141216966404</v>
      </c>
      <c r="I146" s="2">
        <v>51.877998349999999</v>
      </c>
      <c r="J146" t="s">
        <v>1137</v>
      </c>
      <c r="K146" t="s">
        <v>1138</v>
      </c>
      <c r="L146" t="s">
        <v>1139</v>
      </c>
      <c r="M146" t="s">
        <v>1140</v>
      </c>
      <c r="N146" t="s">
        <v>1141</v>
      </c>
      <c r="O146" t="s">
        <v>1142</v>
      </c>
      <c r="P146" t="s">
        <v>1143</v>
      </c>
      <c r="Q146" t="s">
        <v>1144</v>
      </c>
      <c r="R146" t="s">
        <v>1145</v>
      </c>
      <c r="S146" t="s">
        <v>1146</v>
      </c>
      <c r="T146" t="s">
        <v>1147</v>
      </c>
      <c r="U146" t="s">
        <v>2</v>
      </c>
      <c r="V146">
        <f>COUNTA(Estimates_on_the_use_of_water__2020__a_3712[[#This Row],[name]:[wat_sur_u]])</f>
        <v>21</v>
      </c>
      <c r="W146">
        <f>COUNT(Estimates_on_the_use_of_water__2020__a_3712[[#This Row],[name]:[wat_sur_u]])</f>
        <v>6</v>
      </c>
    </row>
    <row r="147" spans="1:23" x14ac:dyDescent="0.25">
      <c r="A147" t="s">
        <v>1148</v>
      </c>
      <c r="B147" t="s">
        <v>30</v>
      </c>
      <c r="C147">
        <v>17134.873049999998</v>
      </c>
      <c r="D147" s="3">
        <f>Estimates_on_the_use_of_water__2020__a_3712[[#This Row],[pop_n]]*1000</f>
        <v>17134873.049999997</v>
      </c>
      <c r="E147" s="9" t="s">
        <v>1149</v>
      </c>
      <c r="F147" s="1">
        <v>0.9223600005999999</v>
      </c>
      <c r="G147" s="2">
        <v>15804521.51667892</v>
      </c>
      <c r="H147" s="1">
        <v>15804.52151667892</v>
      </c>
      <c r="I147" s="2">
        <v>7.763999940000005</v>
      </c>
      <c r="J147" t="s">
        <v>1150</v>
      </c>
      <c r="K147" t="s">
        <v>2</v>
      </c>
      <c r="L147" t="s">
        <v>1151</v>
      </c>
      <c r="M147" t="s">
        <v>2</v>
      </c>
      <c r="N147" t="s">
        <v>15</v>
      </c>
      <c r="O147" t="s">
        <v>2</v>
      </c>
      <c r="P147" t="s">
        <v>2</v>
      </c>
      <c r="Q147" t="s">
        <v>2</v>
      </c>
      <c r="R147" t="s">
        <v>15</v>
      </c>
      <c r="S147" t="s">
        <v>2</v>
      </c>
      <c r="T147" t="s">
        <v>2</v>
      </c>
      <c r="U147" t="s">
        <v>2</v>
      </c>
      <c r="V147">
        <f>COUNTA(Estimates_on_the_use_of_water__2020__a_3712[[#This Row],[name]:[wat_sur_u]])</f>
        <v>21</v>
      </c>
      <c r="W147">
        <f>COUNT(Estimates_on_the_use_of_water__2020__a_3712[[#This Row],[name]:[wat_sur_u]])</f>
        <v>6</v>
      </c>
    </row>
    <row r="148" spans="1:23" x14ac:dyDescent="0.25">
      <c r="A148" t="s">
        <v>1152</v>
      </c>
      <c r="B148" t="s">
        <v>397</v>
      </c>
      <c r="C148">
        <v>17500.65625</v>
      </c>
      <c r="D148" s="3">
        <f>Estimates_on_the_use_of_water__2020__a_3712[[#This Row],[pop_n]]*1000</f>
        <v>17500656.25</v>
      </c>
      <c r="E148" s="9" t="s">
        <v>1153</v>
      </c>
      <c r="F148" s="1">
        <v>0.55475002289999997</v>
      </c>
      <c r="G148" s="2">
        <v>9708489.4554525279</v>
      </c>
      <c r="H148" s="1">
        <v>9708.4894554525272</v>
      </c>
      <c r="I148" s="2">
        <v>44.524997710000001</v>
      </c>
      <c r="J148" t="s">
        <v>1154</v>
      </c>
      <c r="K148" t="s">
        <v>1155</v>
      </c>
      <c r="L148" t="s">
        <v>1156</v>
      </c>
      <c r="M148" t="s">
        <v>2</v>
      </c>
      <c r="N148" t="s">
        <v>1157</v>
      </c>
      <c r="O148" t="s">
        <v>1158</v>
      </c>
      <c r="P148" t="s">
        <v>2</v>
      </c>
      <c r="Q148" t="s">
        <v>2</v>
      </c>
      <c r="R148" t="s">
        <v>1159</v>
      </c>
      <c r="S148" t="s">
        <v>1160</v>
      </c>
      <c r="T148" t="s">
        <v>1161</v>
      </c>
      <c r="U148" t="s">
        <v>2</v>
      </c>
      <c r="V148">
        <f>COUNTA(Estimates_on_the_use_of_water__2020__a_3712[[#This Row],[name]:[wat_sur_u]])</f>
        <v>21</v>
      </c>
      <c r="W148">
        <f>COUNT(Estimates_on_the_use_of_water__2020__a_3712[[#This Row],[name]:[wat_sur_u]])</f>
        <v>6</v>
      </c>
    </row>
    <row r="149" spans="1:23" x14ac:dyDescent="0.25">
      <c r="A149" t="s">
        <v>1162</v>
      </c>
      <c r="B149" t="s">
        <v>35</v>
      </c>
      <c r="C149">
        <v>17643.060549999998</v>
      </c>
      <c r="D149" s="3">
        <f>Estimates_on_the_use_of_water__2020__a_3712[[#This Row],[pop_n]]*1000</f>
        <v>17643060.549999997</v>
      </c>
      <c r="E149" s="9" t="s">
        <v>1163</v>
      </c>
      <c r="F149" s="1">
        <v>0.64166000370000009</v>
      </c>
      <c r="G149" s="2">
        <v>11320846.297792323</v>
      </c>
      <c r="H149" s="1">
        <v>11320.846297792325</v>
      </c>
      <c r="I149" s="2">
        <v>35.833999629999994</v>
      </c>
      <c r="J149" t="s">
        <v>1164</v>
      </c>
      <c r="K149" t="s">
        <v>1165</v>
      </c>
      <c r="L149" t="s">
        <v>1166</v>
      </c>
      <c r="M149" t="s">
        <v>1167</v>
      </c>
      <c r="N149" t="s">
        <v>1168</v>
      </c>
      <c r="O149" t="s">
        <v>1169</v>
      </c>
      <c r="P149" t="s">
        <v>1170</v>
      </c>
      <c r="Q149" t="s">
        <v>1171</v>
      </c>
      <c r="R149" t="s">
        <v>15</v>
      </c>
      <c r="S149" t="s">
        <v>2</v>
      </c>
      <c r="T149" t="s">
        <v>2</v>
      </c>
      <c r="U149" t="s">
        <v>2</v>
      </c>
      <c r="V149">
        <f>COUNTA(Estimates_on_the_use_of_water__2020__a_3712[[#This Row],[name]:[wat_sur_u]])</f>
        <v>21</v>
      </c>
      <c r="W149">
        <f>COUNT(Estimates_on_the_use_of_water__2020__a_3712[[#This Row],[name]:[wat_sur_u]])</f>
        <v>6</v>
      </c>
    </row>
    <row r="150" spans="1:23" x14ac:dyDescent="0.25">
      <c r="A150" t="s">
        <v>1172</v>
      </c>
      <c r="B150" t="s">
        <v>35</v>
      </c>
      <c r="C150">
        <v>17915.566409999999</v>
      </c>
      <c r="D150" s="3">
        <f>Estimates_on_the_use_of_water__2020__a_3712[[#This Row],[pop_n]]*1000</f>
        <v>17915566.41</v>
      </c>
      <c r="E150" s="9" t="s">
        <v>1173</v>
      </c>
      <c r="F150" s="1">
        <v>0.51835998539999995</v>
      </c>
      <c r="G150" s="2">
        <v>9286712.7427203301</v>
      </c>
      <c r="H150" s="1">
        <v>9286.7127427203286</v>
      </c>
      <c r="I150" s="2">
        <v>48.164001460000001</v>
      </c>
      <c r="J150" t="s">
        <v>1174</v>
      </c>
      <c r="K150" t="s">
        <v>1175</v>
      </c>
      <c r="L150" t="s">
        <v>1176</v>
      </c>
      <c r="M150" t="s">
        <v>1177</v>
      </c>
      <c r="N150" t="s">
        <v>1178</v>
      </c>
      <c r="O150" t="s">
        <v>1179</v>
      </c>
      <c r="P150" t="s">
        <v>1180</v>
      </c>
      <c r="Q150" t="s">
        <v>1181</v>
      </c>
      <c r="R150" t="s">
        <v>1182</v>
      </c>
      <c r="S150" t="s">
        <v>1183</v>
      </c>
      <c r="T150" t="s">
        <v>1184</v>
      </c>
      <c r="U150" t="s">
        <v>1185</v>
      </c>
      <c r="V150">
        <f>COUNTA(Estimates_on_the_use_of_water__2020__a_3712[[#This Row],[name]:[wat_sur_u]])</f>
        <v>21</v>
      </c>
      <c r="W150">
        <f>COUNT(Estimates_on_the_use_of_water__2020__a_3712[[#This Row],[name]:[wat_sur_u]])</f>
        <v>6</v>
      </c>
    </row>
    <row r="151" spans="1:23" x14ac:dyDescent="0.25">
      <c r="A151" t="s">
        <v>1186</v>
      </c>
      <c r="B151" t="s">
        <v>397</v>
      </c>
      <c r="C151">
        <v>18383.95508</v>
      </c>
      <c r="D151" s="3">
        <f>Estimates_on_the_use_of_water__2020__a_3712[[#This Row],[pop_n]]*1000</f>
        <v>18383955.079999998</v>
      </c>
      <c r="E151" s="9" t="s">
        <v>1187</v>
      </c>
      <c r="F151" s="1">
        <v>0.44628997800000003</v>
      </c>
      <c r="G151" s="2">
        <v>8204574.9082061881</v>
      </c>
      <c r="H151" s="1">
        <v>8204.5749082061884</v>
      </c>
      <c r="I151" s="2">
        <v>55.3710022</v>
      </c>
      <c r="J151" t="s">
        <v>1188</v>
      </c>
      <c r="K151" t="s">
        <v>1189</v>
      </c>
      <c r="L151" t="s">
        <v>1190</v>
      </c>
      <c r="M151" t="s">
        <v>1191</v>
      </c>
      <c r="N151" t="s">
        <v>1192</v>
      </c>
      <c r="O151" t="s">
        <v>1193</v>
      </c>
      <c r="P151" t="s">
        <v>1194</v>
      </c>
      <c r="Q151" t="s">
        <v>1195</v>
      </c>
      <c r="R151" t="s">
        <v>1196</v>
      </c>
      <c r="S151" t="s">
        <v>1197</v>
      </c>
      <c r="T151" t="s">
        <v>1198</v>
      </c>
      <c r="U151" t="s">
        <v>1199</v>
      </c>
      <c r="V151">
        <f>COUNTA(Estimates_on_the_use_of_water__2020__a_3712[[#This Row],[name]:[wat_sur_u]])</f>
        <v>21</v>
      </c>
      <c r="W151">
        <f>COUNT(Estimates_on_the_use_of_water__2020__a_3712[[#This Row],[name]:[wat_sur_u]])</f>
        <v>6</v>
      </c>
    </row>
    <row r="152" spans="1:23" x14ac:dyDescent="0.25">
      <c r="A152" t="s">
        <v>1200</v>
      </c>
      <c r="B152" t="s">
        <v>35</v>
      </c>
      <c r="C152">
        <v>18776.707030000001</v>
      </c>
      <c r="D152" s="3">
        <f>Estimates_on_the_use_of_water__2020__a_3712[[#This Row],[pop_n]]*1000</f>
        <v>18776707.030000001</v>
      </c>
      <c r="E152" s="9" t="s">
        <v>1201</v>
      </c>
      <c r="F152" s="1">
        <v>0.57671001430000002</v>
      </c>
      <c r="G152" s="2">
        <v>10828714.979778212</v>
      </c>
      <c r="H152" s="1">
        <v>10828.714979778211</v>
      </c>
      <c r="I152" s="2">
        <v>42.328998570000003</v>
      </c>
      <c r="J152" t="s">
        <v>1202</v>
      </c>
      <c r="K152" t="s">
        <v>1203</v>
      </c>
      <c r="L152" t="s">
        <v>1204</v>
      </c>
      <c r="M152" t="s">
        <v>1205</v>
      </c>
      <c r="N152" t="s">
        <v>1206</v>
      </c>
      <c r="O152" t="s">
        <v>1207</v>
      </c>
      <c r="P152" t="s">
        <v>1208</v>
      </c>
      <c r="Q152" t="s">
        <v>1209</v>
      </c>
      <c r="R152" t="s">
        <v>1210</v>
      </c>
      <c r="S152" t="s">
        <v>1211</v>
      </c>
      <c r="T152" t="s">
        <v>2</v>
      </c>
      <c r="U152" t="s">
        <v>2</v>
      </c>
      <c r="V152">
        <f>COUNTA(Estimates_on_the_use_of_water__2020__a_3712[[#This Row],[name]:[wat_sur_u]])</f>
        <v>21</v>
      </c>
      <c r="W152">
        <f>COUNT(Estimates_on_the_use_of_water__2020__a_3712[[#This Row],[name]:[wat_sur_u]])</f>
        <v>6</v>
      </c>
    </row>
    <row r="153" spans="1:23" x14ac:dyDescent="0.25">
      <c r="A153" t="s">
        <v>1212</v>
      </c>
      <c r="B153" t="s">
        <v>30</v>
      </c>
      <c r="C153">
        <v>19116.208979999999</v>
      </c>
      <c r="D153" s="3">
        <f>Estimates_on_the_use_of_water__2020__a_3712[[#This Row],[pop_n]]*1000</f>
        <v>19116208.98</v>
      </c>
      <c r="E153" s="9" t="s">
        <v>1213</v>
      </c>
      <c r="F153" s="1">
        <v>0.87726997380000005</v>
      </c>
      <c r="G153" s="2">
        <v>16770076.151039926</v>
      </c>
      <c r="H153" s="1">
        <v>16770.076151039924</v>
      </c>
      <c r="I153" s="2">
        <v>12.27300262</v>
      </c>
      <c r="J153" t="s">
        <v>1214</v>
      </c>
      <c r="K153" t="s">
        <v>2</v>
      </c>
      <c r="L153" t="s">
        <v>1215</v>
      </c>
      <c r="M153" t="s">
        <v>2</v>
      </c>
      <c r="N153" t="s">
        <v>15</v>
      </c>
      <c r="O153" t="s">
        <v>2</v>
      </c>
      <c r="P153" t="s">
        <v>2</v>
      </c>
      <c r="Q153" t="s">
        <v>2</v>
      </c>
      <c r="R153" t="s">
        <v>15</v>
      </c>
      <c r="S153" t="s">
        <v>2</v>
      </c>
      <c r="T153" t="s">
        <v>2</v>
      </c>
      <c r="U153" t="s">
        <v>2</v>
      </c>
      <c r="V153">
        <f>COUNTA(Estimates_on_the_use_of_water__2020__a_3712[[#This Row],[name]:[wat_sur_u]])</f>
        <v>21</v>
      </c>
      <c r="W153">
        <f>COUNT(Estimates_on_the_use_of_water__2020__a_3712[[#This Row],[name]:[wat_sur_u]])</f>
        <v>6</v>
      </c>
    </row>
    <row r="154" spans="1:23" x14ac:dyDescent="0.25">
      <c r="A154" t="s">
        <v>1216</v>
      </c>
      <c r="B154" t="s">
        <v>397</v>
      </c>
      <c r="C154">
        <v>19129.95508</v>
      </c>
      <c r="D154" s="3">
        <f>Estimates_on_the_use_of_water__2020__a_3712[[#This Row],[pop_n]]*1000</f>
        <v>19129955.079999998</v>
      </c>
      <c r="E154" s="9" t="s">
        <v>1217</v>
      </c>
      <c r="F154" s="1">
        <v>0.17427000049999999</v>
      </c>
      <c r="G154" s="2">
        <v>3333777.2813565773</v>
      </c>
      <c r="H154" s="1">
        <v>3333.7772813565775</v>
      </c>
      <c r="I154" s="2">
        <v>82.572999949999996</v>
      </c>
      <c r="J154" t="s">
        <v>1218</v>
      </c>
      <c r="K154" t="s">
        <v>1219</v>
      </c>
      <c r="L154" t="s">
        <v>1220</v>
      </c>
      <c r="M154" t="s">
        <v>1221</v>
      </c>
      <c r="N154" t="s">
        <v>1222</v>
      </c>
      <c r="O154" t="s">
        <v>1223</v>
      </c>
      <c r="P154" t="s">
        <v>1224</v>
      </c>
      <c r="Q154" t="s">
        <v>1225</v>
      </c>
      <c r="R154" t="s">
        <v>1226</v>
      </c>
      <c r="S154" t="s">
        <v>1227</v>
      </c>
      <c r="T154" t="s">
        <v>1228</v>
      </c>
      <c r="U154" t="s">
        <v>1229</v>
      </c>
      <c r="V154">
        <f>COUNTA(Estimates_on_the_use_of_water__2020__a_3712[[#This Row],[name]:[wat_sur_u]])</f>
        <v>21</v>
      </c>
      <c r="W154">
        <f>COUNT(Estimates_on_the_use_of_water__2020__a_3712[[#This Row],[name]:[wat_sur_u]])</f>
        <v>6</v>
      </c>
    </row>
    <row r="155" spans="1:23" x14ac:dyDescent="0.25">
      <c r="A155" t="s">
        <v>1230</v>
      </c>
      <c r="B155" t="s">
        <v>30</v>
      </c>
      <c r="C155">
        <v>19237.681639999999</v>
      </c>
      <c r="D155" s="3">
        <f>Estimates_on_the_use_of_water__2020__a_3712[[#This Row],[pop_n]]*1000</f>
        <v>19237681.640000001</v>
      </c>
      <c r="E155" s="9" t="s">
        <v>1231</v>
      </c>
      <c r="F155" s="1">
        <v>0.54194000240000006</v>
      </c>
      <c r="G155" s="2">
        <v>10425669.234152038</v>
      </c>
      <c r="H155" s="1">
        <v>10425.669234152037</v>
      </c>
      <c r="I155" s="2">
        <v>45.805999759999999</v>
      </c>
      <c r="J155" t="s">
        <v>15</v>
      </c>
      <c r="K155" t="s">
        <v>2</v>
      </c>
      <c r="L155" t="s">
        <v>2</v>
      </c>
      <c r="M155" t="s">
        <v>2</v>
      </c>
      <c r="N155" t="s">
        <v>15</v>
      </c>
      <c r="O155" t="s">
        <v>2</v>
      </c>
      <c r="P155" t="s">
        <v>2</v>
      </c>
      <c r="Q155" t="s">
        <v>2</v>
      </c>
      <c r="R155" t="s">
        <v>15</v>
      </c>
      <c r="S155" t="s">
        <v>2</v>
      </c>
      <c r="T155" t="s">
        <v>2</v>
      </c>
      <c r="U155" t="s">
        <v>2</v>
      </c>
      <c r="V155">
        <f>COUNTA(Estimates_on_the_use_of_water__2020__a_3712[[#This Row],[name]:[wat_sur_u]])</f>
        <v>21</v>
      </c>
      <c r="W155">
        <f>COUNT(Estimates_on_the_use_of_water__2020__a_3712[[#This Row],[name]:[wat_sur_u]])</f>
        <v>6</v>
      </c>
    </row>
    <row r="156" spans="1:23" x14ac:dyDescent="0.25">
      <c r="A156" t="s">
        <v>1232</v>
      </c>
      <c r="B156" t="s">
        <v>397</v>
      </c>
      <c r="C156">
        <v>20250.833979999999</v>
      </c>
      <c r="D156" s="3">
        <f>Estimates_on_the_use_of_water__2020__a_3712[[#This Row],[pop_n]]*1000</f>
        <v>20250833.98</v>
      </c>
      <c r="E156" s="9" t="s">
        <v>1233</v>
      </c>
      <c r="F156" s="1">
        <v>0.43909004209999997</v>
      </c>
      <c r="G156" s="2">
        <v>8891939.5448383093</v>
      </c>
      <c r="H156" s="1">
        <v>8891.9395448383093</v>
      </c>
      <c r="I156" s="2">
        <v>56.090995790000001</v>
      </c>
      <c r="J156" t="s">
        <v>1234</v>
      </c>
      <c r="K156" t="s">
        <v>1235</v>
      </c>
      <c r="L156" t="s">
        <v>1236</v>
      </c>
      <c r="M156" t="s">
        <v>1237</v>
      </c>
      <c r="N156" t="s">
        <v>1238</v>
      </c>
      <c r="O156" t="s">
        <v>1239</v>
      </c>
      <c r="P156" t="s">
        <v>1240</v>
      </c>
      <c r="Q156" t="s">
        <v>1241</v>
      </c>
      <c r="R156" t="s">
        <v>1242</v>
      </c>
      <c r="S156" t="s">
        <v>1243</v>
      </c>
      <c r="T156" t="s">
        <v>1244</v>
      </c>
      <c r="U156" t="s">
        <v>2</v>
      </c>
      <c r="V156">
        <f>COUNTA(Estimates_on_the_use_of_water__2020__a_3712[[#This Row],[name]:[wat_sur_u]])</f>
        <v>21</v>
      </c>
      <c r="W156">
        <f>COUNT(Estimates_on_the_use_of_water__2020__a_3712[[#This Row],[name]:[wat_sur_u]])</f>
        <v>6</v>
      </c>
    </row>
    <row r="157" spans="1:23" x14ac:dyDescent="0.25">
      <c r="A157" t="s">
        <v>1245</v>
      </c>
      <c r="B157" t="s">
        <v>397</v>
      </c>
      <c r="C157">
        <v>20903.277340000001</v>
      </c>
      <c r="D157" s="3">
        <f>Estimates_on_the_use_of_water__2020__a_3712[[#This Row],[pop_n]]*1000</f>
        <v>20903277.34</v>
      </c>
      <c r="E157" s="9" t="s">
        <v>1246</v>
      </c>
      <c r="F157" s="1">
        <v>0.30607000350000002</v>
      </c>
      <c r="G157" s="2">
        <v>6397866.1686152713</v>
      </c>
      <c r="H157" s="1">
        <v>6397.8661686152709</v>
      </c>
      <c r="I157" s="2">
        <v>69.392999650000007</v>
      </c>
      <c r="J157" t="s">
        <v>1247</v>
      </c>
      <c r="K157" t="s">
        <v>1248</v>
      </c>
      <c r="L157" t="s">
        <v>1249</v>
      </c>
      <c r="M157" t="s">
        <v>1250</v>
      </c>
      <c r="N157" t="s">
        <v>1251</v>
      </c>
      <c r="O157" t="s">
        <v>1252</v>
      </c>
      <c r="P157" t="s">
        <v>1253</v>
      </c>
      <c r="Q157" t="s">
        <v>1254</v>
      </c>
      <c r="R157" t="s">
        <v>1255</v>
      </c>
      <c r="S157" t="s">
        <v>1256</v>
      </c>
      <c r="T157" t="s">
        <v>1257</v>
      </c>
      <c r="U157" t="s">
        <v>1258</v>
      </c>
      <c r="V157">
        <f>COUNTA(Estimates_on_the_use_of_water__2020__a_3712[[#This Row],[name]:[wat_sur_u]])</f>
        <v>21</v>
      </c>
      <c r="W157">
        <f>COUNT(Estimates_on_the_use_of_water__2020__a_3712[[#This Row],[name]:[wat_sur_u]])</f>
        <v>6</v>
      </c>
    </row>
    <row r="158" spans="1:23" x14ac:dyDescent="0.25">
      <c r="A158" t="s">
        <v>1259</v>
      </c>
      <c r="B158" t="s">
        <v>109</v>
      </c>
      <c r="C158">
        <v>21413.25</v>
      </c>
      <c r="D158" s="3">
        <f>Estimates_on_the_use_of_water__2020__a_3712[[#This Row],[pop_n]]*1000</f>
        <v>21413250</v>
      </c>
      <c r="E158" s="9" t="s">
        <v>1260</v>
      </c>
      <c r="F158" s="1">
        <v>0.1871299934</v>
      </c>
      <c r="G158" s="2">
        <v>4007061.3311725501</v>
      </c>
      <c r="H158" s="1">
        <v>4007.0613311725501</v>
      </c>
      <c r="I158" s="2">
        <v>81.287000660000004</v>
      </c>
      <c r="J158" t="s">
        <v>1261</v>
      </c>
      <c r="K158" t="s">
        <v>1262</v>
      </c>
      <c r="L158" t="s">
        <v>1263</v>
      </c>
      <c r="M158" t="s">
        <v>1264</v>
      </c>
      <c r="N158" t="s">
        <v>1265</v>
      </c>
      <c r="O158" t="s">
        <v>1266</v>
      </c>
      <c r="P158" t="s">
        <v>1267</v>
      </c>
      <c r="Q158" t="s">
        <v>1268</v>
      </c>
      <c r="R158" t="s">
        <v>1269</v>
      </c>
      <c r="S158" t="s">
        <v>1270</v>
      </c>
      <c r="T158" t="s">
        <v>1271</v>
      </c>
      <c r="U158" t="s">
        <v>2</v>
      </c>
      <c r="V158">
        <f>COUNTA(Estimates_on_the_use_of_water__2020__a_3712[[#This Row],[name]:[wat_sur_u]])</f>
        <v>21</v>
      </c>
      <c r="W158">
        <f>COUNT(Estimates_on_the_use_of_water__2020__a_3712[[#This Row],[name]:[wat_sur_u]])</f>
        <v>6</v>
      </c>
    </row>
    <row r="159" spans="1:23" x14ac:dyDescent="0.25">
      <c r="A159" t="s">
        <v>1272</v>
      </c>
      <c r="B159" t="s">
        <v>397</v>
      </c>
      <c r="C159">
        <v>24206.636719999999</v>
      </c>
      <c r="D159" s="3">
        <f>Estimates_on_the_use_of_water__2020__a_3712[[#This Row],[pop_n]]*1000</f>
        <v>24206636.719999999</v>
      </c>
      <c r="E159" s="9" t="s">
        <v>1273</v>
      </c>
      <c r="F159" s="1">
        <v>0.16625999449999998</v>
      </c>
      <c r="G159" s="2">
        <v>4024595.2879306972</v>
      </c>
      <c r="H159" s="1">
        <v>4024.5952879306974</v>
      </c>
      <c r="I159" s="2">
        <v>83.374000550000005</v>
      </c>
      <c r="J159" t="s">
        <v>1274</v>
      </c>
      <c r="K159" t="s">
        <v>1275</v>
      </c>
      <c r="L159" t="s">
        <v>1276</v>
      </c>
      <c r="M159" t="s">
        <v>1277</v>
      </c>
      <c r="N159" t="s">
        <v>1278</v>
      </c>
      <c r="O159" t="s">
        <v>1279</v>
      </c>
      <c r="P159" t="s">
        <v>1280</v>
      </c>
      <c r="Q159" t="s">
        <v>1281</v>
      </c>
      <c r="R159" t="s">
        <v>1282</v>
      </c>
      <c r="S159" t="s">
        <v>1283</v>
      </c>
      <c r="T159" t="s">
        <v>1284</v>
      </c>
      <c r="U159" t="s">
        <v>1285</v>
      </c>
      <c r="V159">
        <f>COUNTA(Estimates_on_the_use_of_water__2020__a_3712[[#This Row],[name]:[wat_sur_u]])</f>
        <v>21</v>
      </c>
      <c r="W159">
        <f>COUNT(Estimates_on_the_use_of_water__2020__a_3712[[#This Row],[name]:[wat_sur_u]])</f>
        <v>6</v>
      </c>
    </row>
    <row r="160" spans="1:23" x14ac:dyDescent="0.25">
      <c r="A160" t="s">
        <v>1286</v>
      </c>
      <c r="B160" t="s">
        <v>30</v>
      </c>
      <c r="C160">
        <v>25499.880860000001</v>
      </c>
      <c r="D160" s="3">
        <f>Estimates_on_the_use_of_water__2020__a_3712[[#This Row],[pop_n]]*1000</f>
        <v>25499880.859999999</v>
      </c>
      <c r="E160" s="9" t="s">
        <v>1287</v>
      </c>
      <c r="F160" s="1">
        <v>0.8624099731</v>
      </c>
      <c r="G160" s="2">
        <v>21991351.566525806</v>
      </c>
      <c r="H160" s="1">
        <v>21991.351566525806</v>
      </c>
      <c r="I160" s="2">
        <v>13.759002690000003</v>
      </c>
      <c r="J160" t="s">
        <v>1288</v>
      </c>
      <c r="K160" t="s">
        <v>2</v>
      </c>
      <c r="L160" t="s">
        <v>1289</v>
      </c>
      <c r="M160" t="s">
        <v>2</v>
      </c>
      <c r="N160" t="s">
        <v>15</v>
      </c>
      <c r="O160" t="s">
        <v>2</v>
      </c>
      <c r="P160" t="s">
        <v>2</v>
      </c>
      <c r="Q160" t="s">
        <v>2</v>
      </c>
      <c r="R160" t="s">
        <v>1290</v>
      </c>
      <c r="S160" t="s">
        <v>2</v>
      </c>
      <c r="T160" t="s">
        <v>1291</v>
      </c>
      <c r="U160" t="s">
        <v>2</v>
      </c>
      <c r="V160">
        <f>COUNTA(Estimates_on_the_use_of_water__2020__a_3712[[#This Row],[name]:[wat_sur_u]])</f>
        <v>21</v>
      </c>
      <c r="W160">
        <f>COUNT(Estimates_on_the_use_of_water__2020__a_3712[[#This Row],[name]:[wat_sur_u]])</f>
        <v>6</v>
      </c>
    </row>
    <row r="161" spans="1:23" x14ac:dyDescent="0.25">
      <c r="A161" t="s">
        <v>1292</v>
      </c>
      <c r="B161" t="s">
        <v>397</v>
      </c>
      <c r="C161">
        <v>25778.814450000002</v>
      </c>
      <c r="D161" s="3">
        <f>Estimates_on_the_use_of_water__2020__a_3712[[#This Row],[pop_n]]*1000</f>
        <v>25778814.450000003</v>
      </c>
      <c r="E161" s="9" t="s">
        <v>1293</v>
      </c>
      <c r="F161" s="1">
        <v>0.62381000519999996</v>
      </c>
      <c r="G161" s="2">
        <v>16081082.376104336</v>
      </c>
      <c r="H161" s="1">
        <v>16081.082376104336</v>
      </c>
      <c r="I161" s="2">
        <v>37.618999479999999</v>
      </c>
      <c r="J161" t="s">
        <v>1294</v>
      </c>
      <c r="K161" t="s">
        <v>1295</v>
      </c>
      <c r="L161" t="s">
        <v>1296</v>
      </c>
      <c r="M161" t="s">
        <v>1297</v>
      </c>
      <c r="N161" t="s">
        <v>1298</v>
      </c>
      <c r="O161" t="s">
        <v>1299</v>
      </c>
      <c r="P161" t="s">
        <v>1300</v>
      </c>
      <c r="Q161" t="s">
        <v>1301</v>
      </c>
      <c r="R161" t="s">
        <v>1302</v>
      </c>
      <c r="S161" t="s">
        <v>1303</v>
      </c>
      <c r="T161" t="s">
        <v>1304</v>
      </c>
      <c r="U161" t="s">
        <v>2</v>
      </c>
      <c r="V161">
        <f>COUNTA(Estimates_on_the_use_of_water__2020__a_3712[[#This Row],[name]:[wat_sur_u]])</f>
        <v>21</v>
      </c>
      <c r="W161">
        <f>COUNT(Estimates_on_the_use_of_water__2020__a_3712[[#This Row],[name]:[wat_sur_u]])</f>
        <v>6</v>
      </c>
    </row>
    <row r="162" spans="1:23" x14ac:dyDescent="0.25">
      <c r="A162" t="s">
        <v>1305</v>
      </c>
      <c r="B162" t="s">
        <v>109</v>
      </c>
      <c r="C162">
        <v>26378.275389999999</v>
      </c>
      <c r="D162" s="3">
        <f>Estimates_on_the_use_of_water__2020__a_3712[[#This Row],[pop_n]]*1000</f>
        <v>26378275.390000001</v>
      </c>
      <c r="E162" s="9" t="s">
        <v>1306</v>
      </c>
      <c r="F162" s="1">
        <v>0.51705997469999998</v>
      </c>
      <c r="G162" s="2">
        <v>13639150.405783033</v>
      </c>
      <c r="H162" s="1">
        <v>13639.150405783032</v>
      </c>
      <c r="I162" s="2">
        <v>48.29400253</v>
      </c>
      <c r="J162" t="s">
        <v>1307</v>
      </c>
      <c r="K162" t="s">
        <v>1308</v>
      </c>
      <c r="L162" t="s">
        <v>1309</v>
      </c>
      <c r="M162" t="s">
        <v>1310</v>
      </c>
      <c r="N162" t="s">
        <v>1311</v>
      </c>
      <c r="O162" t="s">
        <v>1312</v>
      </c>
      <c r="P162" t="s">
        <v>1313</v>
      </c>
      <c r="Q162" t="s">
        <v>1314</v>
      </c>
      <c r="R162" t="s">
        <v>1315</v>
      </c>
      <c r="S162" t="s">
        <v>1316</v>
      </c>
      <c r="T162" t="s">
        <v>1317</v>
      </c>
      <c r="U162" t="s">
        <v>1318</v>
      </c>
      <c r="V162">
        <f>COUNTA(Estimates_on_the_use_of_water__2020__a_3712[[#This Row],[name]:[wat_sur_u]])</f>
        <v>21</v>
      </c>
      <c r="W162">
        <f>COUNT(Estimates_on_the_use_of_water__2020__a_3712[[#This Row],[name]:[wat_sur_u]])</f>
        <v>6</v>
      </c>
    </row>
    <row r="163" spans="1:23" x14ac:dyDescent="0.25">
      <c r="A163" t="s">
        <v>1319</v>
      </c>
      <c r="B163" t="s">
        <v>109</v>
      </c>
      <c r="C163">
        <v>26545.863280000001</v>
      </c>
      <c r="D163" s="3">
        <f>Estimates_on_the_use_of_water__2020__a_3712[[#This Row],[pop_n]]*1000</f>
        <v>26545863.280000001</v>
      </c>
      <c r="E163" s="9" t="s">
        <v>1320</v>
      </c>
      <c r="F163" s="1">
        <v>0.57560005189999996</v>
      </c>
      <c r="G163" s="2">
        <v>15279800.281698303</v>
      </c>
      <c r="H163" s="1">
        <v>15279.800281698304</v>
      </c>
      <c r="I163" s="2">
        <v>42.439994810000002</v>
      </c>
      <c r="J163" t="s">
        <v>1321</v>
      </c>
      <c r="K163" t="s">
        <v>1322</v>
      </c>
      <c r="L163" t="s">
        <v>1323</v>
      </c>
      <c r="M163" t="s">
        <v>1324</v>
      </c>
      <c r="N163" t="s">
        <v>1325</v>
      </c>
      <c r="O163" t="s">
        <v>1326</v>
      </c>
      <c r="P163" t="s">
        <v>1327</v>
      </c>
      <c r="Q163" t="s">
        <v>1328</v>
      </c>
      <c r="R163" t="s">
        <v>1329</v>
      </c>
      <c r="S163" t="s">
        <v>1330</v>
      </c>
      <c r="T163" t="s">
        <v>1331</v>
      </c>
      <c r="U163" t="s">
        <v>1332</v>
      </c>
      <c r="V163">
        <f>COUNTA(Estimates_on_the_use_of_water__2020__a_3712[[#This Row],[name]:[wat_sur_u]])</f>
        <v>21</v>
      </c>
      <c r="W163">
        <f>COUNT(Estimates_on_the_use_of_water__2020__a_3712[[#This Row],[name]:[wat_sur_u]])</f>
        <v>6</v>
      </c>
    </row>
    <row r="164" spans="1:23" x14ac:dyDescent="0.25">
      <c r="A164" t="s">
        <v>1333</v>
      </c>
      <c r="B164" t="s">
        <v>397</v>
      </c>
      <c r="C164">
        <v>27691.019530000001</v>
      </c>
      <c r="D164" s="3">
        <f>Estimates_on_the_use_of_water__2020__a_3712[[#This Row],[pop_n]]*1000</f>
        <v>27691019.530000001</v>
      </c>
      <c r="E164" s="9" t="s">
        <v>1334</v>
      </c>
      <c r="F164" s="1">
        <v>0.38534000399999996</v>
      </c>
      <c r="G164" s="2">
        <v>10670457.576454278</v>
      </c>
      <c r="H164" s="1">
        <v>10670.457576454277</v>
      </c>
      <c r="I164" s="2">
        <v>61.465999600000004</v>
      </c>
      <c r="J164" t="s">
        <v>1335</v>
      </c>
      <c r="K164" t="s">
        <v>1336</v>
      </c>
      <c r="L164" t="s">
        <v>1337</v>
      </c>
      <c r="M164" t="s">
        <v>1338</v>
      </c>
      <c r="N164" t="s">
        <v>1339</v>
      </c>
      <c r="O164" t="s">
        <v>1340</v>
      </c>
      <c r="P164" t="s">
        <v>1341</v>
      </c>
      <c r="Q164" t="s">
        <v>1342</v>
      </c>
      <c r="R164" t="s">
        <v>1343</v>
      </c>
      <c r="S164" t="s">
        <v>1344</v>
      </c>
      <c r="T164" t="s">
        <v>1345</v>
      </c>
      <c r="U164" t="s">
        <v>1346</v>
      </c>
      <c r="V164">
        <f>COUNTA(Estimates_on_the_use_of_water__2020__a_3712[[#This Row],[name]:[wat_sur_u]])</f>
        <v>21</v>
      </c>
      <c r="W164">
        <f>COUNT(Estimates_on_the_use_of_water__2020__a_3712[[#This Row],[name]:[wat_sur_u]])</f>
        <v>6</v>
      </c>
    </row>
    <row r="165" spans="1:23" x14ac:dyDescent="0.25">
      <c r="A165" t="s">
        <v>1347</v>
      </c>
      <c r="B165" t="s">
        <v>1</v>
      </c>
      <c r="C165">
        <v>28435.943360000001</v>
      </c>
      <c r="D165" s="3">
        <f>Estimates_on_the_use_of_water__2020__a_3712[[#This Row],[pop_n]]*1000</f>
        <v>28435943.359999999</v>
      </c>
      <c r="E165" s="9" t="s">
        <v>1348</v>
      </c>
      <c r="F165" s="1">
        <v>0.88278999330000008</v>
      </c>
      <c r="G165" s="2">
        <v>25102966.24825358</v>
      </c>
      <c r="H165" s="1">
        <v>25102.966248253582</v>
      </c>
      <c r="I165" s="2">
        <v>11.721000669999995</v>
      </c>
      <c r="J165" t="s">
        <v>1349</v>
      </c>
      <c r="K165" t="s">
        <v>1350</v>
      </c>
      <c r="L165" t="s">
        <v>1351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>
        <f>COUNTA(Estimates_on_the_use_of_water__2020__a_3712[[#This Row],[name]:[wat_sur_u]])</f>
        <v>21</v>
      </c>
      <c r="W165">
        <f>COUNT(Estimates_on_the_use_of_water__2020__a_3712[[#This Row],[name]:[wat_sur_u]])</f>
        <v>6</v>
      </c>
    </row>
    <row r="166" spans="1:23" x14ac:dyDescent="0.25">
      <c r="A166" t="s">
        <v>1352</v>
      </c>
      <c r="B166" t="s">
        <v>109</v>
      </c>
      <c r="C166">
        <v>29136.808590000001</v>
      </c>
      <c r="D166" s="3">
        <f>Estimates_on_the_use_of_water__2020__a_3712[[#This Row],[pop_n]]*1000</f>
        <v>29136808.59</v>
      </c>
      <c r="E166" s="9" t="s">
        <v>1353</v>
      </c>
      <c r="F166" s="1">
        <v>0.20576000210000001</v>
      </c>
      <c r="G166" s="2">
        <v>5995189.7966656983</v>
      </c>
      <c r="H166" s="1">
        <v>5995.1897966656979</v>
      </c>
      <c r="I166" s="2">
        <v>79.423999789999996</v>
      </c>
      <c r="J166" t="s">
        <v>1354</v>
      </c>
      <c r="K166" t="s">
        <v>1355</v>
      </c>
      <c r="L166" t="s">
        <v>1356</v>
      </c>
      <c r="M166" t="s">
        <v>1357</v>
      </c>
      <c r="N166" t="s">
        <v>1358</v>
      </c>
      <c r="O166" t="s">
        <v>1359</v>
      </c>
      <c r="P166" t="s">
        <v>1360</v>
      </c>
      <c r="Q166" t="s">
        <v>1361</v>
      </c>
      <c r="R166" t="s">
        <v>1362</v>
      </c>
      <c r="S166" t="s">
        <v>1363</v>
      </c>
      <c r="T166" t="s">
        <v>1364</v>
      </c>
      <c r="U166" t="s">
        <v>1365</v>
      </c>
      <c r="V166">
        <f>COUNTA(Estimates_on_the_use_of_water__2020__a_3712[[#This Row],[name]:[wat_sur_u]])</f>
        <v>21</v>
      </c>
      <c r="W166">
        <f>COUNT(Estimates_on_the_use_of_water__2020__a_3712[[#This Row],[name]:[wat_sur_u]])</f>
        <v>6</v>
      </c>
    </row>
    <row r="167" spans="1:23" x14ac:dyDescent="0.25">
      <c r="A167" t="s">
        <v>1366</v>
      </c>
      <c r="B167" t="s">
        <v>397</v>
      </c>
      <c r="C167">
        <v>29825.96875</v>
      </c>
      <c r="D167" s="3">
        <f>Estimates_on_the_use_of_water__2020__a_3712[[#This Row],[pop_n]]*1000</f>
        <v>29825968.75</v>
      </c>
      <c r="E167" s="9" t="s">
        <v>1367</v>
      </c>
      <c r="F167" s="1">
        <v>0.37907997129999998</v>
      </c>
      <c r="G167" s="2">
        <v>11306427.377744697</v>
      </c>
      <c r="H167" s="1">
        <v>11306.427377744696</v>
      </c>
      <c r="I167" s="2">
        <v>62.092002870000002</v>
      </c>
      <c r="J167" t="s">
        <v>1368</v>
      </c>
      <c r="K167" t="s">
        <v>1369</v>
      </c>
      <c r="L167" t="s">
        <v>1370</v>
      </c>
      <c r="M167" t="s">
        <v>1371</v>
      </c>
      <c r="N167" t="s">
        <v>1372</v>
      </c>
      <c r="O167" t="s">
        <v>1373</v>
      </c>
      <c r="P167" t="s">
        <v>1374</v>
      </c>
      <c r="Q167" t="s">
        <v>1375</v>
      </c>
      <c r="R167" t="s">
        <v>1376</v>
      </c>
      <c r="S167" t="s">
        <v>1377</v>
      </c>
      <c r="T167" t="s">
        <v>1378</v>
      </c>
      <c r="U167" t="s">
        <v>2</v>
      </c>
      <c r="V167">
        <f>COUNTA(Estimates_on_the_use_of_water__2020__a_3712[[#This Row],[name]:[wat_sur_u]])</f>
        <v>21</v>
      </c>
      <c r="W167">
        <f>COUNT(Estimates_on_the_use_of_water__2020__a_3712[[#This Row],[name]:[wat_sur_u]])</f>
        <v>6</v>
      </c>
    </row>
    <row r="168" spans="1:23" x14ac:dyDescent="0.25">
      <c r="A168" t="s">
        <v>1379</v>
      </c>
      <c r="B168" t="s">
        <v>109</v>
      </c>
      <c r="C168">
        <v>31072.945309999999</v>
      </c>
      <c r="D168" s="3">
        <f>Estimates_on_the_use_of_water__2020__a_3712[[#This Row],[pop_n]]*1000</f>
        <v>31072945.309999999</v>
      </c>
      <c r="E168" s="9" t="s">
        <v>1380</v>
      </c>
      <c r="F168" s="1">
        <v>0.57348999020000002</v>
      </c>
      <c r="G168" s="2">
        <v>17820023.101317037</v>
      </c>
      <c r="H168" s="1">
        <v>17820.023101317038</v>
      </c>
      <c r="I168" s="2">
        <v>42.651000979999999</v>
      </c>
      <c r="J168" t="s">
        <v>1381</v>
      </c>
      <c r="K168" t="s">
        <v>1382</v>
      </c>
      <c r="L168" t="s">
        <v>1383</v>
      </c>
      <c r="M168" t="s">
        <v>1384</v>
      </c>
      <c r="N168" t="s">
        <v>1385</v>
      </c>
      <c r="O168" t="s">
        <v>1386</v>
      </c>
      <c r="P168" t="s">
        <v>1387</v>
      </c>
      <c r="Q168" t="s">
        <v>1388</v>
      </c>
      <c r="R168" t="s">
        <v>1389</v>
      </c>
      <c r="S168" t="s">
        <v>1390</v>
      </c>
      <c r="T168" t="s">
        <v>1391</v>
      </c>
      <c r="U168" t="s">
        <v>1392</v>
      </c>
      <c r="V168">
        <f>COUNTA(Estimates_on_the_use_of_water__2020__a_3712[[#This Row],[name]:[wat_sur_u]])</f>
        <v>21</v>
      </c>
      <c r="W168">
        <f>COUNT(Estimates_on_the_use_of_water__2020__a_3712[[#This Row],[name]:[wat_sur_u]])</f>
        <v>6</v>
      </c>
    </row>
    <row r="169" spans="1:23" x14ac:dyDescent="0.25">
      <c r="A169" t="s">
        <v>1393</v>
      </c>
      <c r="B169" t="s">
        <v>397</v>
      </c>
      <c r="C169">
        <v>31255.435549999998</v>
      </c>
      <c r="D169" s="3">
        <f>Estimates_on_the_use_of_water__2020__a_3712[[#This Row],[pop_n]]*1000</f>
        <v>31255435.549999997</v>
      </c>
      <c r="E169" s="9" t="s">
        <v>1394</v>
      </c>
      <c r="F169" s="1">
        <v>0.370739975</v>
      </c>
      <c r="G169" s="2">
        <v>11587639.39442111</v>
      </c>
      <c r="H169" s="1">
        <v>11587.63939442111</v>
      </c>
      <c r="I169" s="2">
        <v>62.926002500000003</v>
      </c>
      <c r="J169" t="s">
        <v>1395</v>
      </c>
      <c r="K169" t="s">
        <v>1396</v>
      </c>
      <c r="L169" t="s">
        <v>1397</v>
      </c>
      <c r="M169" t="s">
        <v>1398</v>
      </c>
      <c r="N169" t="s">
        <v>1399</v>
      </c>
      <c r="O169" t="s">
        <v>1400</v>
      </c>
      <c r="P169" t="s">
        <v>1401</v>
      </c>
      <c r="Q169" t="s">
        <v>1402</v>
      </c>
      <c r="R169" t="s">
        <v>1403</v>
      </c>
      <c r="S169" t="s">
        <v>1404</v>
      </c>
      <c r="T169" t="s">
        <v>1405</v>
      </c>
      <c r="U169" t="s">
        <v>1406</v>
      </c>
      <c r="V169">
        <f>COUNTA(Estimates_on_the_use_of_water__2020__a_3712[[#This Row],[name]:[wat_sur_u]])</f>
        <v>21</v>
      </c>
      <c r="W169">
        <f>COUNT(Estimates_on_the_use_of_water__2020__a_3712[[#This Row],[name]:[wat_sur_u]])</f>
        <v>6</v>
      </c>
    </row>
    <row r="170" spans="1:23" x14ac:dyDescent="0.25">
      <c r="A170" t="s">
        <v>1407</v>
      </c>
      <c r="B170" t="s">
        <v>35</v>
      </c>
      <c r="C170">
        <v>32365.998049999998</v>
      </c>
      <c r="D170" s="3">
        <f>Estimates_on_the_use_of_water__2020__a_3712[[#This Row],[pop_n]]*1000</f>
        <v>32365998.049999997</v>
      </c>
      <c r="E170" s="9" t="s">
        <v>1408</v>
      </c>
      <c r="F170" s="1">
        <v>0.7715999603</v>
      </c>
      <c r="G170" s="2">
        <v>24973602.810449876</v>
      </c>
      <c r="H170" s="1">
        <v>24973.602810449876</v>
      </c>
      <c r="I170" s="2">
        <v>22.840003969999998</v>
      </c>
      <c r="J170" t="s">
        <v>1409</v>
      </c>
      <c r="K170" t="s">
        <v>1410</v>
      </c>
      <c r="L170" t="s">
        <v>1411</v>
      </c>
      <c r="M170" t="s">
        <v>1</v>
      </c>
      <c r="N170" t="s">
        <v>1412</v>
      </c>
      <c r="O170" t="s">
        <v>1413</v>
      </c>
      <c r="P170" t="s">
        <v>1414</v>
      </c>
      <c r="Q170" t="s">
        <v>1</v>
      </c>
      <c r="R170" t="s">
        <v>1415</v>
      </c>
      <c r="S170" t="s">
        <v>1416</v>
      </c>
      <c r="T170" t="s">
        <v>1417</v>
      </c>
      <c r="U170" t="s">
        <v>1418</v>
      </c>
      <c r="V170">
        <f>COUNTA(Estimates_on_the_use_of_water__2020__a_3712[[#This Row],[name]:[wat_sur_u]])</f>
        <v>21</v>
      </c>
      <c r="W170">
        <f>COUNT(Estimates_on_the_use_of_water__2020__a_3712[[#This Row],[name]:[wat_sur_u]])</f>
        <v>6</v>
      </c>
    </row>
    <row r="171" spans="1:23" x14ac:dyDescent="0.25">
      <c r="A171" t="s">
        <v>1419</v>
      </c>
      <c r="B171" t="s">
        <v>109</v>
      </c>
      <c r="C171">
        <v>32866.269529999998</v>
      </c>
      <c r="D171" s="3">
        <f>Estimates_on_the_use_of_water__2020__a_3712[[#This Row],[pop_n]]*1000</f>
        <v>32866269.529999997</v>
      </c>
      <c r="E171" s="9" t="s">
        <v>1420</v>
      </c>
      <c r="F171" s="1">
        <v>0.66824996950000004</v>
      </c>
      <c r="G171" s="2">
        <v>21962883.611001279</v>
      </c>
      <c r="H171" s="1">
        <v>21962.883611001278</v>
      </c>
      <c r="I171" s="2">
        <v>33.175003050000001</v>
      </c>
      <c r="J171" t="s">
        <v>1421</v>
      </c>
      <c r="K171" t="s">
        <v>1422</v>
      </c>
      <c r="L171" t="s">
        <v>1423</v>
      </c>
      <c r="M171" t="s">
        <v>1424</v>
      </c>
      <c r="N171" t="s">
        <v>1425</v>
      </c>
      <c r="O171" t="s">
        <v>1426</v>
      </c>
      <c r="P171" t="s">
        <v>1427</v>
      </c>
      <c r="Q171" t="s">
        <v>1428</v>
      </c>
      <c r="R171" t="s">
        <v>1429</v>
      </c>
      <c r="S171" t="s">
        <v>1430</v>
      </c>
      <c r="T171" t="s">
        <v>1431</v>
      </c>
      <c r="U171" t="s">
        <v>1432</v>
      </c>
      <c r="V171">
        <f>COUNTA(Estimates_on_the_use_of_water__2020__a_3712[[#This Row],[name]:[wat_sur_u]])</f>
        <v>21</v>
      </c>
      <c r="W171">
        <f>COUNT(Estimates_on_the_use_of_water__2020__a_3712[[#This Row],[name]:[wat_sur_u]])</f>
        <v>6</v>
      </c>
    </row>
    <row r="172" spans="1:23" x14ac:dyDescent="0.25">
      <c r="A172" t="s">
        <v>1433</v>
      </c>
      <c r="B172" t="s">
        <v>35</v>
      </c>
      <c r="C172">
        <v>32971.847659999999</v>
      </c>
      <c r="D172" s="3">
        <f>Estimates_on_the_use_of_water__2020__a_3712[[#This Row],[pop_n]]*1000</f>
        <v>32971847.66</v>
      </c>
      <c r="E172" s="9" t="s">
        <v>1434</v>
      </c>
      <c r="F172" s="1">
        <v>0.78297004700000006</v>
      </c>
      <c r="G172" s="2">
        <v>25815969.112027042</v>
      </c>
      <c r="H172" s="1">
        <v>25815.96911202704</v>
      </c>
      <c r="I172" s="2">
        <v>21.702995299999998</v>
      </c>
      <c r="J172" t="s">
        <v>1435</v>
      </c>
      <c r="K172" t="s">
        <v>1436</v>
      </c>
      <c r="L172" t="s">
        <v>1437</v>
      </c>
      <c r="M172" t="s">
        <v>1438</v>
      </c>
      <c r="N172" t="s">
        <v>1439</v>
      </c>
      <c r="O172" t="s">
        <v>1440</v>
      </c>
      <c r="P172" t="s">
        <v>1441</v>
      </c>
      <c r="Q172" t="s">
        <v>1442</v>
      </c>
      <c r="R172" t="s">
        <v>1443</v>
      </c>
      <c r="S172" t="s">
        <v>1444</v>
      </c>
      <c r="T172" t="s">
        <v>1445</v>
      </c>
      <c r="U172" t="s">
        <v>1446</v>
      </c>
      <c r="V172">
        <f>COUNTA(Estimates_on_the_use_of_water__2020__a_3712[[#This Row],[name]:[wat_sur_u]])</f>
        <v>21</v>
      </c>
      <c r="W172">
        <f>COUNT(Estimates_on_the_use_of_water__2020__a_3712[[#This Row],[name]:[wat_sur_u]])</f>
        <v>6</v>
      </c>
    </row>
    <row r="173" spans="1:23" x14ac:dyDescent="0.25">
      <c r="A173" t="s">
        <v>1447</v>
      </c>
      <c r="B173" t="s">
        <v>109</v>
      </c>
      <c r="C173">
        <v>33469.199220000002</v>
      </c>
      <c r="D173" s="3">
        <f>Estimates_on_the_use_of_water__2020__a_3712[[#This Row],[pop_n]]*1000</f>
        <v>33469199.220000003</v>
      </c>
      <c r="E173" s="9" t="s">
        <v>1448</v>
      </c>
      <c r="F173" s="1">
        <v>0.50415996549999997</v>
      </c>
      <c r="G173" s="2">
        <v>16873830.324067827</v>
      </c>
      <c r="H173" s="1">
        <v>16873.830324067829</v>
      </c>
      <c r="I173" s="2">
        <v>49.584003449999997</v>
      </c>
      <c r="J173" t="s">
        <v>1449</v>
      </c>
      <c r="K173" t="s">
        <v>2</v>
      </c>
      <c r="L173" t="s">
        <v>1450</v>
      </c>
      <c r="M173" t="s">
        <v>1451</v>
      </c>
      <c r="N173" t="s">
        <v>1452</v>
      </c>
      <c r="O173" t="s">
        <v>2</v>
      </c>
      <c r="P173" t="s">
        <v>2</v>
      </c>
      <c r="Q173" t="s">
        <v>1453</v>
      </c>
      <c r="R173" t="s">
        <v>1454</v>
      </c>
      <c r="S173" t="s">
        <v>2</v>
      </c>
      <c r="T173" t="s">
        <v>1455</v>
      </c>
      <c r="U173" t="s">
        <v>2</v>
      </c>
      <c r="V173">
        <f>COUNTA(Estimates_on_the_use_of_water__2020__a_3712[[#This Row],[name]:[wat_sur_u]])</f>
        <v>21</v>
      </c>
      <c r="W173">
        <f>COUNT(Estimates_on_the_use_of_water__2020__a_3712[[#This Row],[name]:[wat_sur_u]])</f>
        <v>6</v>
      </c>
    </row>
    <row r="174" spans="1:23" x14ac:dyDescent="0.25">
      <c r="A174" t="s">
        <v>1456</v>
      </c>
      <c r="B174" t="s">
        <v>30</v>
      </c>
      <c r="C174">
        <v>34813.867189999997</v>
      </c>
      <c r="D174" s="3">
        <f>Estimates_on_the_use_of_water__2020__a_3712[[#This Row],[pop_n]]*1000</f>
        <v>34813867.189999998</v>
      </c>
      <c r="E174" s="9" t="s">
        <v>1457</v>
      </c>
      <c r="F174" s="1">
        <v>0.84287002560000002</v>
      </c>
      <c r="G174" s="2">
        <v>29343565.1296703</v>
      </c>
      <c r="H174" s="1">
        <v>29343.5651296703</v>
      </c>
      <c r="I174" s="2">
        <v>15.712997439999995</v>
      </c>
      <c r="J174" t="s">
        <v>15</v>
      </c>
      <c r="K174" t="s">
        <v>2</v>
      </c>
      <c r="L174" t="s">
        <v>2</v>
      </c>
      <c r="M174" t="s">
        <v>2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>
        <f>COUNTA(Estimates_on_the_use_of_water__2020__a_3712[[#This Row],[name]:[wat_sur_u]])</f>
        <v>21</v>
      </c>
      <c r="W174">
        <f>COUNT(Estimates_on_the_use_of_water__2020__a_3712[[#This Row],[name]:[wat_sur_u]])</f>
        <v>6</v>
      </c>
    </row>
    <row r="175" spans="1:23" x14ac:dyDescent="0.25">
      <c r="A175" t="s">
        <v>1458</v>
      </c>
      <c r="B175" t="s">
        <v>109</v>
      </c>
      <c r="C175">
        <v>36910.558590000001</v>
      </c>
      <c r="D175" s="3">
        <f>Estimates_on_the_use_of_water__2020__a_3712[[#This Row],[pop_n]]*1000</f>
        <v>36910558.590000004</v>
      </c>
      <c r="E175" s="9" t="s">
        <v>1459</v>
      </c>
      <c r="F175" s="1">
        <v>0.63531997680000007</v>
      </c>
      <c r="G175" s="2">
        <v>23450015.227073845</v>
      </c>
      <c r="H175" s="1">
        <v>23450.015227073844</v>
      </c>
      <c r="I175" s="2">
        <v>36.468002319999997</v>
      </c>
      <c r="J175" t="s">
        <v>1460</v>
      </c>
      <c r="K175" t="s">
        <v>1461</v>
      </c>
      <c r="L175" t="s">
        <v>1462</v>
      </c>
      <c r="M175" t="s">
        <v>1463</v>
      </c>
      <c r="N175" t="s">
        <v>1464</v>
      </c>
      <c r="O175" t="s">
        <v>1465</v>
      </c>
      <c r="P175" t="s">
        <v>1466</v>
      </c>
      <c r="Q175" t="s">
        <v>1467</v>
      </c>
      <c r="R175" t="s">
        <v>1468</v>
      </c>
      <c r="S175" t="s">
        <v>1469</v>
      </c>
      <c r="T175" t="s">
        <v>1470</v>
      </c>
      <c r="U175" t="s">
        <v>2</v>
      </c>
      <c r="V175">
        <f>COUNTA(Estimates_on_the_use_of_water__2020__a_3712[[#This Row],[name]:[wat_sur_u]])</f>
        <v>21</v>
      </c>
      <c r="W175">
        <f>COUNT(Estimates_on_the_use_of_water__2020__a_3712[[#This Row],[name]:[wat_sur_u]])</f>
        <v>6</v>
      </c>
    </row>
    <row r="176" spans="1:23" x14ac:dyDescent="0.25">
      <c r="A176" t="s">
        <v>1471</v>
      </c>
      <c r="B176" t="s">
        <v>30</v>
      </c>
      <c r="C176">
        <v>37742.15625</v>
      </c>
      <c r="D176" s="3">
        <f>Estimates_on_the_use_of_water__2020__a_3712[[#This Row],[pop_n]]*1000</f>
        <v>37742156.25</v>
      </c>
      <c r="E176" s="9" t="s">
        <v>1472</v>
      </c>
      <c r="F176" s="1">
        <v>0.81562004090000007</v>
      </c>
      <c r="G176" s="2">
        <v>30783259.024279192</v>
      </c>
      <c r="H176" s="1">
        <v>30783.259024279192</v>
      </c>
      <c r="I176" s="2">
        <v>18.437995909999998</v>
      </c>
      <c r="J176" t="s">
        <v>1473</v>
      </c>
      <c r="K176" t="s">
        <v>2</v>
      </c>
      <c r="L176" t="s">
        <v>1474</v>
      </c>
      <c r="M176" t="s">
        <v>2</v>
      </c>
      <c r="N176" t="s">
        <v>1475</v>
      </c>
      <c r="O176" t="s">
        <v>2</v>
      </c>
      <c r="P176" t="s">
        <v>1476</v>
      </c>
      <c r="Q176" t="s">
        <v>2</v>
      </c>
      <c r="R176" t="s">
        <v>1477</v>
      </c>
      <c r="S176" t="s">
        <v>2</v>
      </c>
      <c r="T176" t="s">
        <v>1478</v>
      </c>
      <c r="U176" t="s">
        <v>2</v>
      </c>
      <c r="V176">
        <f>COUNTA(Estimates_on_the_use_of_water__2020__a_3712[[#This Row],[name]:[wat_sur_u]])</f>
        <v>21</v>
      </c>
      <c r="W176">
        <f>COUNT(Estimates_on_the_use_of_water__2020__a_3712[[#This Row],[name]:[wat_sur_u]])</f>
        <v>6</v>
      </c>
    </row>
    <row r="177" spans="1:23" x14ac:dyDescent="0.25">
      <c r="A177" t="s">
        <v>1479</v>
      </c>
      <c r="B177" t="s">
        <v>30</v>
      </c>
      <c r="C177">
        <v>37846.605470000002</v>
      </c>
      <c r="D177" s="3">
        <f>Estimates_on_the_use_of_water__2020__a_3712[[#This Row],[pop_n]]*1000</f>
        <v>37846605.469999999</v>
      </c>
      <c r="E177" s="9" t="s">
        <v>1480</v>
      </c>
      <c r="F177" s="1">
        <v>0.60043003080000001</v>
      </c>
      <c r="G177" s="2">
        <v>22724238.488027547</v>
      </c>
      <c r="H177" s="1">
        <v>22724.238488027549</v>
      </c>
      <c r="I177" s="2">
        <v>39.956996920000002</v>
      </c>
      <c r="J177" t="s">
        <v>1481</v>
      </c>
      <c r="K177" t="s">
        <v>2</v>
      </c>
      <c r="L177" t="s">
        <v>1482</v>
      </c>
      <c r="M177" t="s">
        <v>2</v>
      </c>
      <c r="N177" t="s">
        <v>15</v>
      </c>
      <c r="O177" t="s">
        <v>2</v>
      </c>
      <c r="P177" t="s">
        <v>2</v>
      </c>
      <c r="Q177" t="s">
        <v>2</v>
      </c>
      <c r="R177" t="s">
        <v>1483</v>
      </c>
      <c r="S177" t="s">
        <v>2</v>
      </c>
      <c r="T177" t="s">
        <v>1484</v>
      </c>
      <c r="U177" t="s">
        <v>2</v>
      </c>
      <c r="V177">
        <f>COUNTA(Estimates_on_the_use_of_water__2020__a_3712[[#This Row],[name]:[wat_sur_u]])</f>
        <v>21</v>
      </c>
      <c r="W177">
        <f>COUNT(Estimates_on_the_use_of_water__2020__a_3712[[#This Row],[name]:[wat_sur_u]])</f>
        <v>6</v>
      </c>
    </row>
    <row r="178" spans="1:23" x14ac:dyDescent="0.25">
      <c r="A178" t="s">
        <v>1485</v>
      </c>
      <c r="B178" t="s">
        <v>397</v>
      </c>
      <c r="C178">
        <v>38928.339840000001</v>
      </c>
      <c r="D178" s="3">
        <f>Estimates_on_the_use_of_water__2020__a_3712[[#This Row],[pop_n]]*1000</f>
        <v>38928339.840000004</v>
      </c>
      <c r="E178" s="9" t="s">
        <v>1486</v>
      </c>
      <c r="F178" s="1">
        <v>0.2602599907</v>
      </c>
      <c r="G178" s="2">
        <v>10131489.364724841</v>
      </c>
      <c r="H178" s="1">
        <v>10131.489364724839</v>
      </c>
      <c r="I178" s="2">
        <v>73.974000930000003</v>
      </c>
      <c r="J178" t="s">
        <v>1487</v>
      </c>
      <c r="K178" t="s">
        <v>1488</v>
      </c>
      <c r="L178" t="s">
        <v>1489</v>
      </c>
      <c r="M178" t="s">
        <v>1490</v>
      </c>
      <c r="N178" t="s">
        <v>1491</v>
      </c>
      <c r="O178" t="s">
        <v>1492</v>
      </c>
      <c r="P178" t="s">
        <v>1493</v>
      </c>
      <c r="Q178" t="s">
        <v>1494</v>
      </c>
      <c r="R178" t="s">
        <v>15</v>
      </c>
      <c r="S178" t="s">
        <v>2</v>
      </c>
      <c r="T178" t="s">
        <v>2</v>
      </c>
      <c r="U178" t="s">
        <v>2</v>
      </c>
      <c r="V178">
        <f>COUNTA(Estimates_on_the_use_of_water__2020__a_3712[[#This Row],[name]:[wat_sur_u]])</f>
        <v>21</v>
      </c>
      <c r="W178">
        <f>COUNT(Estimates_on_the_use_of_water__2020__a_3712[[#This Row],[name]:[wat_sur_u]])</f>
        <v>6</v>
      </c>
    </row>
    <row r="179" spans="1:23" x14ac:dyDescent="0.25">
      <c r="A179" t="s">
        <v>1495</v>
      </c>
      <c r="B179" t="s">
        <v>35</v>
      </c>
      <c r="C179">
        <v>40222.503909999999</v>
      </c>
      <c r="D179" s="3">
        <f>Estimates_on_the_use_of_water__2020__a_3712[[#This Row],[pop_n]]*1000</f>
        <v>40222503.909999996</v>
      </c>
      <c r="E179" s="9" t="s">
        <v>1496</v>
      </c>
      <c r="F179" s="1">
        <v>0.70892997739999997</v>
      </c>
      <c r="G179" s="2">
        <v>28514938.787887707</v>
      </c>
      <c r="H179" s="1">
        <v>28514.93878788771</v>
      </c>
      <c r="I179" s="2">
        <v>29.107002260000002</v>
      </c>
      <c r="J179" t="s">
        <v>1497</v>
      </c>
      <c r="K179" t="s">
        <v>1498</v>
      </c>
      <c r="L179" t="s">
        <v>1499</v>
      </c>
      <c r="M179" t="s">
        <v>1500</v>
      </c>
      <c r="N179" t="s">
        <v>1501</v>
      </c>
      <c r="O179" t="s">
        <v>1502</v>
      </c>
      <c r="P179" t="s">
        <v>2</v>
      </c>
      <c r="Q179" t="s">
        <v>1503</v>
      </c>
      <c r="R179" t="s">
        <v>1504</v>
      </c>
      <c r="S179" t="s">
        <v>1505</v>
      </c>
      <c r="T179" t="s">
        <v>2</v>
      </c>
      <c r="U179" t="s">
        <v>2</v>
      </c>
      <c r="V179">
        <f>COUNTA(Estimates_on_the_use_of_water__2020__a_3712[[#This Row],[name]:[wat_sur_u]])</f>
        <v>21</v>
      </c>
      <c r="W179">
        <f>COUNT(Estimates_on_the_use_of_water__2020__a_3712[[#This Row],[name]:[wat_sur_u]])</f>
        <v>6</v>
      </c>
    </row>
    <row r="180" spans="1:23" x14ac:dyDescent="0.25">
      <c r="A180" t="s">
        <v>1506</v>
      </c>
      <c r="B180" t="s">
        <v>109</v>
      </c>
      <c r="C180">
        <v>43733.757810000003</v>
      </c>
      <c r="D180" s="3">
        <f>Estimates_on_the_use_of_water__2020__a_3712[[#This Row],[pop_n]]*1000</f>
        <v>43733757.810000002</v>
      </c>
      <c r="E180" s="9" t="s">
        <v>1507</v>
      </c>
      <c r="F180" s="1">
        <v>0.6960800171</v>
      </c>
      <c r="G180" s="2">
        <v>30442194.884232059</v>
      </c>
      <c r="H180" s="1">
        <v>30442.19488423206</v>
      </c>
      <c r="I180" s="2">
        <v>30.391998290000004</v>
      </c>
      <c r="J180" t="s">
        <v>1508</v>
      </c>
      <c r="K180" t="s">
        <v>1509</v>
      </c>
      <c r="L180" t="s">
        <v>1510</v>
      </c>
      <c r="M180" t="s">
        <v>1511</v>
      </c>
      <c r="N180" t="s">
        <v>15</v>
      </c>
      <c r="O180" t="s">
        <v>2</v>
      </c>
      <c r="P180" t="s">
        <v>2</v>
      </c>
      <c r="Q180" t="s">
        <v>2</v>
      </c>
      <c r="R180" t="s">
        <v>1512</v>
      </c>
      <c r="S180" t="s">
        <v>1513</v>
      </c>
      <c r="T180" t="s">
        <v>1514</v>
      </c>
      <c r="U180" t="s">
        <v>1515</v>
      </c>
      <c r="V180">
        <f>COUNTA(Estimates_on_the_use_of_water__2020__a_3712[[#This Row],[name]:[wat_sur_u]])</f>
        <v>21</v>
      </c>
      <c r="W180">
        <f>COUNT(Estimates_on_the_use_of_water__2020__a_3712[[#This Row],[name]:[wat_sur_u]])</f>
        <v>6</v>
      </c>
    </row>
    <row r="181" spans="1:23" x14ac:dyDescent="0.25">
      <c r="A181" t="s">
        <v>1516</v>
      </c>
      <c r="B181" t="s">
        <v>397</v>
      </c>
      <c r="C181">
        <v>43849.269529999998</v>
      </c>
      <c r="D181" s="3">
        <f>Estimates_on_the_use_of_water__2020__a_3712[[#This Row],[pop_n]]*1000</f>
        <v>43849269.530000001</v>
      </c>
      <c r="E181" s="9" t="s">
        <v>1517</v>
      </c>
      <c r="F181" s="1">
        <v>0.35252998349999998</v>
      </c>
      <c r="G181" s="2">
        <v>15458182.263897952</v>
      </c>
      <c r="H181" s="1">
        <v>15458.18226389795</v>
      </c>
      <c r="I181" s="2">
        <v>64.747001650000001</v>
      </c>
      <c r="J181" t="s">
        <v>1518</v>
      </c>
      <c r="K181" t="s">
        <v>1519</v>
      </c>
      <c r="L181" t="s">
        <v>1520</v>
      </c>
      <c r="M181" t="s">
        <v>1521</v>
      </c>
      <c r="N181" t="s">
        <v>1522</v>
      </c>
      <c r="O181" t="s">
        <v>1523</v>
      </c>
      <c r="P181" t="s">
        <v>1524</v>
      </c>
      <c r="Q181" t="s">
        <v>1525</v>
      </c>
      <c r="R181" t="s">
        <v>1526</v>
      </c>
      <c r="S181" t="s">
        <v>1527</v>
      </c>
      <c r="T181" t="s">
        <v>2</v>
      </c>
      <c r="U181" t="s">
        <v>1528</v>
      </c>
      <c r="V181">
        <f>COUNTA(Estimates_on_the_use_of_water__2020__a_3712[[#This Row],[name]:[wat_sur_u]])</f>
        <v>21</v>
      </c>
      <c r="W181">
        <f>COUNT(Estimates_on_the_use_of_water__2020__a_3712[[#This Row],[name]:[wat_sur_u]])</f>
        <v>6</v>
      </c>
    </row>
    <row r="182" spans="1:23" x14ac:dyDescent="0.25">
      <c r="A182" t="s">
        <v>1529</v>
      </c>
      <c r="B182" t="s">
        <v>109</v>
      </c>
      <c r="C182">
        <v>43851.042970000002</v>
      </c>
      <c r="D182" s="3">
        <f>Estimates_on_the_use_of_water__2020__a_3712[[#This Row],[pop_n]]*1000</f>
        <v>43851042.969999999</v>
      </c>
      <c r="E182" s="9" t="s">
        <v>1530</v>
      </c>
      <c r="F182" s="1">
        <v>0.73733001710000001</v>
      </c>
      <c r="G182" s="2">
        <v>32332690.262922935</v>
      </c>
      <c r="H182" s="1">
        <v>32332.690262922937</v>
      </c>
      <c r="I182" s="2">
        <v>26.266998290000004</v>
      </c>
      <c r="J182" t="s">
        <v>1531</v>
      </c>
      <c r="K182" t="s">
        <v>1532</v>
      </c>
      <c r="L182" t="s">
        <v>1533</v>
      </c>
      <c r="M182" t="s">
        <v>1534</v>
      </c>
      <c r="N182" t="s">
        <v>1535</v>
      </c>
      <c r="O182" t="s">
        <v>1536</v>
      </c>
      <c r="P182" t="s">
        <v>1537</v>
      </c>
      <c r="Q182" t="s">
        <v>1538</v>
      </c>
      <c r="R182" t="s">
        <v>1539</v>
      </c>
      <c r="S182" t="s">
        <v>1540</v>
      </c>
      <c r="T182" t="s">
        <v>1541</v>
      </c>
      <c r="U182" t="s">
        <v>2</v>
      </c>
      <c r="V182">
        <f>COUNTA(Estimates_on_the_use_of_water__2020__a_3712[[#This Row],[name]:[wat_sur_u]])</f>
        <v>21</v>
      </c>
      <c r="W182">
        <f>COUNT(Estimates_on_the_use_of_water__2020__a_3712[[#This Row],[name]:[wat_sur_u]])</f>
        <v>6</v>
      </c>
    </row>
    <row r="183" spans="1:23" x14ac:dyDescent="0.25">
      <c r="A183" t="s">
        <v>1542</v>
      </c>
      <c r="B183" t="s">
        <v>35</v>
      </c>
      <c r="C183">
        <v>45195.777340000001</v>
      </c>
      <c r="D183" s="3">
        <f>Estimates_on_the_use_of_water__2020__a_3712[[#This Row],[pop_n]]*1000</f>
        <v>45195777.340000004</v>
      </c>
      <c r="E183" s="9" t="s">
        <v>1543</v>
      </c>
      <c r="F183" s="1">
        <v>0.92111000059999992</v>
      </c>
      <c r="G183" s="2">
        <v>41630282.492764868</v>
      </c>
      <c r="H183" s="1">
        <v>41630.282492764862</v>
      </c>
      <c r="I183" s="2">
        <v>7.888999940000005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1544</v>
      </c>
      <c r="S183" t="s">
        <v>2</v>
      </c>
      <c r="T183" t="s">
        <v>1545</v>
      </c>
      <c r="U183" t="s">
        <v>2</v>
      </c>
      <c r="V183">
        <f>COUNTA(Estimates_on_the_use_of_water__2020__a_3712[[#This Row],[name]:[wat_sur_u]])</f>
        <v>21</v>
      </c>
      <c r="W183">
        <f>COUNT(Estimates_on_the_use_of_water__2020__a_3712[[#This Row],[name]:[wat_sur_u]])</f>
        <v>6</v>
      </c>
    </row>
    <row r="184" spans="1:23" x14ac:dyDescent="0.25">
      <c r="A184" t="s">
        <v>1546</v>
      </c>
      <c r="B184" t="s">
        <v>397</v>
      </c>
      <c r="C184">
        <v>45741</v>
      </c>
      <c r="D184" s="3">
        <f>Estimates_on_the_use_of_water__2020__a_3712[[#This Row],[pop_n]]*1000</f>
        <v>45741000</v>
      </c>
      <c r="E184" s="9" t="s">
        <v>1547</v>
      </c>
      <c r="F184" s="1">
        <v>0.24954000470000001</v>
      </c>
      <c r="G184" s="2">
        <v>11414209.3549827</v>
      </c>
      <c r="H184" s="1">
        <v>11414.2093549827</v>
      </c>
      <c r="I184" s="2">
        <v>75.045999530000003</v>
      </c>
      <c r="J184" t="s">
        <v>1548</v>
      </c>
      <c r="K184" t="s">
        <v>1549</v>
      </c>
      <c r="L184" t="s">
        <v>1550</v>
      </c>
      <c r="M184" t="s">
        <v>1551</v>
      </c>
      <c r="N184" t="s">
        <v>1552</v>
      </c>
      <c r="O184" t="s">
        <v>1553</v>
      </c>
      <c r="P184" t="s">
        <v>1554</v>
      </c>
      <c r="Q184" t="s">
        <v>1555</v>
      </c>
      <c r="R184" t="s">
        <v>1556</v>
      </c>
      <c r="S184" t="s">
        <v>1557</v>
      </c>
      <c r="T184" t="s">
        <v>1558</v>
      </c>
      <c r="U184" t="s">
        <v>1559</v>
      </c>
      <c r="V184">
        <f>COUNTA(Estimates_on_the_use_of_water__2020__a_3712[[#This Row],[name]:[wat_sur_u]])</f>
        <v>21</v>
      </c>
      <c r="W184">
        <f>COUNT(Estimates_on_the_use_of_water__2020__a_3712[[#This Row],[name]:[wat_sur_u]])</f>
        <v>6</v>
      </c>
    </row>
    <row r="185" spans="1:23" x14ac:dyDescent="0.25">
      <c r="A185" t="s">
        <v>1560</v>
      </c>
      <c r="B185" t="s">
        <v>30</v>
      </c>
      <c r="C185">
        <v>46754.78125</v>
      </c>
      <c r="D185" s="3">
        <f>Estimates_on_the_use_of_water__2020__a_3712[[#This Row],[pop_n]]*1000</f>
        <v>46754781.25</v>
      </c>
      <c r="E185" s="9" t="s">
        <v>1561</v>
      </c>
      <c r="F185" s="1">
        <v>0.80809997560000002</v>
      </c>
      <c r="G185" s="2">
        <v>37782537.58730834</v>
      </c>
      <c r="H185" s="1">
        <v>37782.537587308339</v>
      </c>
      <c r="I185" s="2">
        <v>19.190002440000001</v>
      </c>
      <c r="J185" t="s">
        <v>1562</v>
      </c>
      <c r="K185" t="s">
        <v>2</v>
      </c>
      <c r="L185" t="s">
        <v>1563</v>
      </c>
      <c r="M185" t="s">
        <v>2</v>
      </c>
      <c r="N185" t="s">
        <v>15</v>
      </c>
      <c r="O185" t="s">
        <v>2</v>
      </c>
      <c r="P185" t="s">
        <v>2</v>
      </c>
      <c r="Q185" t="s">
        <v>2</v>
      </c>
      <c r="R185" t="s">
        <v>1564</v>
      </c>
      <c r="S185" t="s">
        <v>2</v>
      </c>
      <c r="T185" t="s">
        <v>1565</v>
      </c>
      <c r="U185" t="s">
        <v>2</v>
      </c>
      <c r="V185">
        <f>COUNTA(Estimates_on_the_use_of_water__2020__a_3712[[#This Row],[name]:[wat_sur_u]])</f>
        <v>21</v>
      </c>
      <c r="W185">
        <f>COUNT(Estimates_on_the_use_of_water__2020__a_3712[[#This Row],[name]:[wat_sur_u]])</f>
        <v>6</v>
      </c>
    </row>
    <row r="186" spans="1:23" x14ac:dyDescent="0.25">
      <c r="A186" t="s">
        <v>1566</v>
      </c>
      <c r="B186" t="s">
        <v>35</v>
      </c>
      <c r="C186">
        <v>50882.882810000003</v>
      </c>
      <c r="D186" s="3">
        <f>Estimates_on_the_use_of_water__2020__a_3712[[#This Row],[pop_n]]*1000</f>
        <v>50882882.810000002</v>
      </c>
      <c r="E186" s="9" t="s">
        <v>1567</v>
      </c>
      <c r="F186" s="1">
        <v>0.81424995420000001</v>
      </c>
      <c r="G186" s="2">
        <v>41431384.997606471</v>
      </c>
      <c r="H186" s="1">
        <v>41431.384997606474</v>
      </c>
      <c r="I186" s="2">
        <v>18.575004579999998</v>
      </c>
      <c r="J186" t="s">
        <v>1568</v>
      </c>
      <c r="K186" t="s">
        <v>1569</v>
      </c>
      <c r="L186" t="s">
        <v>1570</v>
      </c>
      <c r="M186" t="s">
        <v>1571</v>
      </c>
      <c r="N186" t="s">
        <v>1572</v>
      </c>
      <c r="O186" t="s">
        <v>1573</v>
      </c>
      <c r="P186" t="s">
        <v>1574</v>
      </c>
      <c r="Q186" t="s">
        <v>1575</v>
      </c>
      <c r="R186" t="s">
        <v>1576</v>
      </c>
      <c r="S186" t="s">
        <v>1577</v>
      </c>
      <c r="T186" t="s">
        <v>2</v>
      </c>
      <c r="U186" t="s">
        <v>2</v>
      </c>
      <c r="V186">
        <f>COUNTA(Estimates_on_the_use_of_water__2020__a_3712[[#This Row],[name]:[wat_sur_u]])</f>
        <v>21</v>
      </c>
      <c r="W186">
        <f>COUNT(Estimates_on_the_use_of_water__2020__a_3712[[#This Row],[name]:[wat_sur_u]])</f>
        <v>6</v>
      </c>
    </row>
    <row r="187" spans="1:23" x14ac:dyDescent="0.25">
      <c r="A187" t="s">
        <v>1578</v>
      </c>
      <c r="B187" t="s">
        <v>30</v>
      </c>
      <c r="C187">
        <v>51269.183590000001</v>
      </c>
      <c r="D187" s="3">
        <f>Estimates_on_the_use_of_water__2020__a_3712[[#This Row],[pop_n]]*1000</f>
        <v>51269183.590000004</v>
      </c>
      <c r="E187" s="9" t="s">
        <v>1579</v>
      </c>
      <c r="F187" s="1">
        <v>0.81414001459999996</v>
      </c>
      <c r="G187" s="2">
        <v>41740293.876492679</v>
      </c>
      <c r="H187" s="1">
        <v>41740.29387649268</v>
      </c>
      <c r="I187" s="2">
        <v>18.585998540000006</v>
      </c>
      <c r="J187" t="s">
        <v>1580</v>
      </c>
      <c r="K187" t="s">
        <v>2</v>
      </c>
      <c r="L187" t="s">
        <v>1581</v>
      </c>
      <c r="M187" t="s">
        <v>2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>
        <f>COUNTA(Estimates_on_the_use_of_water__2020__a_3712[[#This Row],[name]:[wat_sur_u]])</f>
        <v>21</v>
      </c>
      <c r="W187">
        <f>COUNT(Estimates_on_the_use_of_water__2020__a_3712[[#This Row],[name]:[wat_sur_u]])</f>
        <v>6</v>
      </c>
    </row>
    <row r="188" spans="1:23" x14ac:dyDescent="0.25">
      <c r="A188" t="s">
        <v>1582</v>
      </c>
      <c r="B188" t="s">
        <v>109</v>
      </c>
      <c r="C188">
        <v>53771.300779999998</v>
      </c>
      <c r="D188" s="3">
        <f>Estimates_on_the_use_of_water__2020__a_3712[[#This Row],[pop_n]]*1000</f>
        <v>53771300.780000001</v>
      </c>
      <c r="E188" s="9" t="s">
        <v>1583</v>
      </c>
      <c r="F188" s="1">
        <v>0.27994998930000004</v>
      </c>
      <c r="G188" s="2">
        <v>15053275.078008084</v>
      </c>
      <c r="H188" s="1">
        <v>15053.275078008082</v>
      </c>
      <c r="I188" s="2">
        <v>72.005001069999992</v>
      </c>
      <c r="J188" t="s">
        <v>1584</v>
      </c>
      <c r="K188" t="s">
        <v>1585</v>
      </c>
      <c r="L188" t="s">
        <v>1586</v>
      </c>
      <c r="M188" t="s">
        <v>1587</v>
      </c>
      <c r="N188" t="s">
        <v>1588</v>
      </c>
      <c r="O188" t="s">
        <v>1589</v>
      </c>
      <c r="P188" t="s">
        <v>1590</v>
      </c>
      <c r="Q188" t="s">
        <v>1591</v>
      </c>
      <c r="R188" t="s">
        <v>1592</v>
      </c>
      <c r="S188" t="s">
        <v>1593</v>
      </c>
      <c r="T188" t="s">
        <v>1594</v>
      </c>
      <c r="U188" t="s">
        <v>1595</v>
      </c>
      <c r="V188">
        <f>COUNTA(Estimates_on_the_use_of_water__2020__a_3712[[#This Row],[name]:[wat_sur_u]])</f>
        <v>21</v>
      </c>
      <c r="W188">
        <f>COUNT(Estimates_on_the_use_of_water__2020__a_3712[[#This Row],[name]:[wat_sur_u]])</f>
        <v>6</v>
      </c>
    </row>
    <row r="189" spans="1:23" x14ac:dyDescent="0.25">
      <c r="A189" t="s">
        <v>1596</v>
      </c>
      <c r="B189" t="s">
        <v>109</v>
      </c>
      <c r="C189">
        <v>54409.792970000002</v>
      </c>
      <c r="D189" s="3">
        <f>Estimates_on_the_use_of_water__2020__a_3712[[#This Row],[pop_n]]*1000</f>
        <v>54409792.969999999</v>
      </c>
      <c r="E189" s="9" t="s">
        <v>1597</v>
      </c>
      <c r="F189" s="1">
        <v>0.31141000749999997</v>
      </c>
      <c r="G189" s="2">
        <v>16943754.036861144</v>
      </c>
      <c r="H189" s="1">
        <v>16943.754036861148</v>
      </c>
      <c r="I189" s="2">
        <v>68.858999249999997</v>
      </c>
      <c r="J189" t="s">
        <v>1598</v>
      </c>
      <c r="K189" t="s">
        <v>1599</v>
      </c>
      <c r="L189" t="s">
        <v>1600</v>
      </c>
      <c r="M189" t="s">
        <v>1601</v>
      </c>
      <c r="N189" t="s">
        <v>1602</v>
      </c>
      <c r="O189" t="s">
        <v>1603</v>
      </c>
      <c r="P189" t="s">
        <v>1604</v>
      </c>
      <c r="Q189" t="s">
        <v>1605</v>
      </c>
      <c r="R189" t="s">
        <v>1606</v>
      </c>
      <c r="S189" t="s">
        <v>2</v>
      </c>
      <c r="T189" t="s">
        <v>1607</v>
      </c>
      <c r="U189" t="s">
        <v>1608</v>
      </c>
      <c r="V189">
        <f>COUNTA(Estimates_on_the_use_of_water__2020__a_3712[[#This Row],[name]:[wat_sur_u]])</f>
        <v>21</v>
      </c>
      <c r="W189">
        <f>COUNT(Estimates_on_the_use_of_water__2020__a_3712[[#This Row],[name]:[wat_sur_u]])</f>
        <v>6</v>
      </c>
    </row>
    <row r="190" spans="1:23" x14ac:dyDescent="0.25">
      <c r="A190" t="s">
        <v>1609</v>
      </c>
      <c r="B190" t="s">
        <v>35</v>
      </c>
      <c r="C190">
        <v>59308.691409999999</v>
      </c>
      <c r="D190" s="3">
        <f>Estimates_on_the_use_of_water__2020__a_3712[[#This Row],[pop_n]]*1000</f>
        <v>59308691.409999996</v>
      </c>
      <c r="E190" s="9" t="s">
        <v>1610</v>
      </c>
      <c r="F190" s="1">
        <v>0.67354003910000004</v>
      </c>
      <c r="G190" s="2">
        <v>39946778.331261232</v>
      </c>
      <c r="H190" s="1">
        <v>39946.778331261237</v>
      </c>
      <c r="I190" s="2">
        <v>32.645996089999997</v>
      </c>
      <c r="J190" t="s">
        <v>1611</v>
      </c>
      <c r="K190" t="s">
        <v>1612</v>
      </c>
      <c r="L190" t="s">
        <v>1613</v>
      </c>
      <c r="M190" t="s">
        <v>1614</v>
      </c>
      <c r="N190" t="s">
        <v>1615</v>
      </c>
      <c r="O190" t="s">
        <v>1616</v>
      </c>
      <c r="P190" t="s">
        <v>1617</v>
      </c>
      <c r="Q190" t="s">
        <v>1618</v>
      </c>
      <c r="R190" t="s">
        <v>1619</v>
      </c>
      <c r="S190" t="s">
        <v>1620</v>
      </c>
      <c r="T190" t="s">
        <v>1621</v>
      </c>
      <c r="U190" t="s">
        <v>2</v>
      </c>
      <c r="V190">
        <f>COUNTA(Estimates_on_the_use_of_water__2020__a_3712[[#This Row],[name]:[wat_sur_u]])</f>
        <v>21</v>
      </c>
      <c r="W190">
        <f>COUNT(Estimates_on_the_use_of_water__2020__a_3712[[#This Row],[name]:[wat_sur_u]])</f>
        <v>6</v>
      </c>
    </row>
    <row r="191" spans="1:23" x14ac:dyDescent="0.25">
      <c r="A191" t="s">
        <v>1622</v>
      </c>
      <c r="B191" t="s">
        <v>109</v>
      </c>
      <c r="C191">
        <v>59734.214840000001</v>
      </c>
      <c r="D191" s="3">
        <f>Estimates_on_the_use_of_water__2020__a_3712[[#This Row],[pop_n]]*1000</f>
        <v>59734214.840000004</v>
      </c>
      <c r="E191" s="9" t="s">
        <v>1623</v>
      </c>
      <c r="F191" s="1">
        <v>0.35227001190000001</v>
      </c>
      <c r="G191" s="2">
        <v>21042572.572523959</v>
      </c>
      <c r="H191" s="1">
        <v>21042.572572523957</v>
      </c>
      <c r="I191" s="2">
        <v>64.77299880999999</v>
      </c>
      <c r="J191" t="s">
        <v>1624</v>
      </c>
      <c r="K191" t="s">
        <v>1625</v>
      </c>
      <c r="L191" t="s">
        <v>1626</v>
      </c>
      <c r="M191" t="s">
        <v>1627</v>
      </c>
      <c r="N191" t="s">
        <v>1628</v>
      </c>
      <c r="O191" t="s">
        <v>1629</v>
      </c>
      <c r="P191" t="s">
        <v>1630</v>
      </c>
      <c r="Q191" t="s">
        <v>1631</v>
      </c>
      <c r="R191" t="s">
        <v>1632</v>
      </c>
      <c r="S191" t="s">
        <v>1633</v>
      </c>
      <c r="T191" t="s">
        <v>1634</v>
      </c>
      <c r="U191" t="s">
        <v>1635</v>
      </c>
      <c r="V191">
        <f>COUNTA(Estimates_on_the_use_of_water__2020__a_3712[[#This Row],[name]:[wat_sur_u]])</f>
        <v>21</v>
      </c>
      <c r="W191">
        <f>COUNT(Estimates_on_the_use_of_water__2020__a_3712[[#This Row],[name]:[wat_sur_u]])</f>
        <v>6</v>
      </c>
    </row>
    <row r="192" spans="1:23" x14ac:dyDescent="0.25">
      <c r="A192" t="s">
        <v>1636</v>
      </c>
      <c r="B192" t="s">
        <v>30</v>
      </c>
      <c r="C192">
        <v>60461.828130000002</v>
      </c>
      <c r="D192" s="3">
        <f>Estimates_on_the_use_of_water__2020__a_3712[[#This Row],[pop_n]]*1000</f>
        <v>60461828.130000003</v>
      </c>
      <c r="E192" s="9" t="s">
        <v>1637</v>
      </c>
      <c r="F192" s="1">
        <v>0.71038993840000009</v>
      </c>
      <c r="G192" s="2">
        <v>42951474.360822096</v>
      </c>
      <c r="H192" s="1">
        <v>42951.474360822096</v>
      </c>
      <c r="I192" s="2">
        <v>28.961006159999997</v>
      </c>
      <c r="J192" t="s">
        <v>1638</v>
      </c>
      <c r="K192" t="s">
        <v>2</v>
      </c>
      <c r="L192" t="s">
        <v>1639</v>
      </c>
      <c r="M192" t="s">
        <v>2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>
        <f>COUNTA(Estimates_on_the_use_of_water__2020__a_3712[[#This Row],[name]:[wat_sur_u]])</f>
        <v>21</v>
      </c>
      <c r="W192">
        <f>COUNT(Estimates_on_the_use_of_water__2020__a_3712[[#This Row],[name]:[wat_sur_u]])</f>
        <v>6</v>
      </c>
    </row>
    <row r="193" spans="1:23" x14ac:dyDescent="0.25">
      <c r="A193" t="s">
        <v>1640</v>
      </c>
      <c r="B193" t="s">
        <v>30</v>
      </c>
      <c r="C193">
        <v>65273.511720000002</v>
      </c>
      <c r="D193" s="3">
        <f>Estimates_on_the_use_of_water__2020__a_3712[[#This Row],[pop_n]]*1000</f>
        <v>65273511.719999999</v>
      </c>
      <c r="E193" s="9" t="s">
        <v>1641</v>
      </c>
      <c r="F193" s="1">
        <v>0.80974998470000004</v>
      </c>
      <c r="G193" s="2">
        <v>52855225.11658527</v>
      </c>
      <c r="H193" s="1">
        <v>52855.225116585272</v>
      </c>
      <c r="I193" s="2">
        <v>19.025001529999997</v>
      </c>
      <c r="J193" t="s">
        <v>1642</v>
      </c>
      <c r="K193" t="s">
        <v>2</v>
      </c>
      <c r="L193" t="s">
        <v>1643</v>
      </c>
      <c r="M193" t="s">
        <v>2</v>
      </c>
      <c r="N193" t="s">
        <v>15</v>
      </c>
      <c r="O193" t="s">
        <v>2</v>
      </c>
      <c r="P193" t="s">
        <v>2</v>
      </c>
      <c r="Q193" t="s">
        <v>2</v>
      </c>
      <c r="R193" t="s">
        <v>15</v>
      </c>
      <c r="S193" t="s">
        <v>2</v>
      </c>
      <c r="T193" t="s">
        <v>2</v>
      </c>
      <c r="U193" t="s">
        <v>2</v>
      </c>
      <c r="V193">
        <f>COUNTA(Estimates_on_the_use_of_water__2020__a_3712[[#This Row],[name]:[wat_sur_u]])</f>
        <v>21</v>
      </c>
      <c r="W193">
        <f>COUNT(Estimates_on_the_use_of_water__2020__a_3712[[#This Row],[name]:[wat_sur_u]])</f>
        <v>6</v>
      </c>
    </row>
    <row r="194" spans="1:23" x14ac:dyDescent="0.25">
      <c r="A194" t="s">
        <v>1644</v>
      </c>
      <c r="B194" t="s">
        <v>30</v>
      </c>
      <c r="C194">
        <v>67886.007809999996</v>
      </c>
      <c r="D194" s="3">
        <f>Estimates_on_the_use_of_water__2020__a_3712[[#This Row],[pop_n]]*1000</f>
        <v>67886007.810000002</v>
      </c>
      <c r="E194" s="9" t="s">
        <v>1645</v>
      </c>
      <c r="F194" s="1">
        <v>0.83902999879999995</v>
      </c>
      <c r="G194" s="2">
        <v>56958397.051361091</v>
      </c>
      <c r="H194" s="1">
        <v>56958.397051361084</v>
      </c>
      <c r="I194" s="2">
        <v>16.097000120000004</v>
      </c>
      <c r="J194" t="s">
        <v>1646</v>
      </c>
      <c r="K194" t="s">
        <v>2</v>
      </c>
      <c r="L194" t="s">
        <v>1647</v>
      </c>
      <c r="M194" t="s">
        <v>2</v>
      </c>
      <c r="N194" t="s">
        <v>15</v>
      </c>
      <c r="O194" t="s">
        <v>2</v>
      </c>
      <c r="P194" t="s">
        <v>2</v>
      </c>
      <c r="Q194" t="s">
        <v>2</v>
      </c>
      <c r="R194" t="s">
        <v>15</v>
      </c>
      <c r="S194" t="s">
        <v>2</v>
      </c>
      <c r="T194" t="s">
        <v>2</v>
      </c>
      <c r="U194" t="s">
        <v>2</v>
      </c>
      <c r="V194">
        <f>COUNTA(Estimates_on_the_use_of_water__2020__a_3712[[#This Row],[name]:[wat_sur_u]])</f>
        <v>21</v>
      </c>
      <c r="W194">
        <f>COUNT(Estimates_on_the_use_of_water__2020__a_3712[[#This Row],[name]:[wat_sur_u]])</f>
        <v>6</v>
      </c>
    </row>
    <row r="195" spans="1:23" x14ac:dyDescent="0.25">
      <c r="A195" t="s">
        <v>1648</v>
      </c>
      <c r="B195" t="s">
        <v>35</v>
      </c>
      <c r="C195">
        <v>69799.976559999996</v>
      </c>
      <c r="D195" s="3">
        <f>Estimates_on_the_use_of_water__2020__a_3712[[#This Row],[pop_n]]*1000</f>
        <v>69799976.560000002</v>
      </c>
      <c r="E195" s="9" t="s">
        <v>1649</v>
      </c>
      <c r="F195" s="1">
        <v>0.51430000310000001</v>
      </c>
      <c r="G195" s="2">
        <v>35898128.161187932</v>
      </c>
      <c r="H195" s="1">
        <v>35898.128161187924</v>
      </c>
      <c r="I195" s="2">
        <v>48.569999690000003</v>
      </c>
      <c r="J195" t="s">
        <v>15</v>
      </c>
      <c r="K195" t="s">
        <v>2</v>
      </c>
      <c r="L195" t="s">
        <v>2</v>
      </c>
      <c r="M195" t="s">
        <v>2</v>
      </c>
      <c r="N195" t="s">
        <v>15</v>
      </c>
      <c r="O195" t="s">
        <v>2</v>
      </c>
      <c r="P195" t="s">
        <v>2</v>
      </c>
      <c r="Q195" t="s">
        <v>2</v>
      </c>
      <c r="R195" t="s">
        <v>15</v>
      </c>
      <c r="S195" t="s">
        <v>2</v>
      </c>
      <c r="T195" t="s">
        <v>2</v>
      </c>
      <c r="U195" t="s">
        <v>2</v>
      </c>
      <c r="V195">
        <f>COUNTA(Estimates_on_the_use_of_water__2020__a_3712[[#This Row],[name]:[wat_sur_u]])</f>
        <v>21</v>
      </c>
      <c r="W195">
        <f>COUNT(Estimates_on_the_use_of_water__2020__a_3712[[#This Row],[name]:[wat_sur_u]])</f>
        <v>6</v>
      </c>
    </row>
    <row r="196" spans="1:23" x14ac:dyDescent="0.25">
      <c r="A196" t="s">
        <v>1650</v>
      </c>
      <c r="B196" t="s">
        <v>30</v>
      </c>
      <c r="C196">
        <v>83783.945309999996</v>
      </c>
      <c r="D196" s="3">
        <f>Estimates_on_the_use_of_water__2020__a_3712[[#This Row],[pop_n]]*1000</f>
        <v>83783945.310000002</v>
      </c>
      <c r="E196" s="9" t="s">
        <v>1651</v>
      </c>
      <c r="F196" s="1">
        <v>0.77453002929999992</v>
      </c>
      <c r="G196" s="2">
        <v>64893181.615823895</v>
      </c>
      <c r="H196" s="1">
        <v>64893.181615823887</v>
      </c>
      <c r="I196" s="2">
        <v>22.546997070000003</v>
      </c>
      <c r="J196" t="s">
        <v>939</v>
      </c>
      <c r="K196" t="s">
        <v>2</v>
      </c>
      <c r="L196" t="s">
        <v>2</v>
      </c>
      <c r="M196" t="s">
        <v>2</v>
      </c>
      <c r="N196" t="s">
        <v>15</v>
      </c>
      <c r="O196" t="s">
        <v>2</v>
      </c>
      <c r="P196" t="s">
        <v>2</v>
      </c>
      <c r="Q196" t="s">
        <v>2</v>
      </c>
      <c r="R196" t="s">
        <v>15</v>
      </c>
      <c r="S196" t="s">
        <v>2</v>
      </c>
      <c r="T196" t="s">
        <v>2</v>
      </c>
      <c r="U196" t="s">
        <v>2</v>
      </c>
      <c r="V196">
        <f>COUNTA(Estimates_on_the_use_of_water__2020__a_3712[[#This Row],[name]:[wat_sur_u]])</f>
        <v>21</v>
      </c>
      <c r="W196">
        <f>COUNT(Estimates_on_the_use_of_water__2020__a_3712[[#This Row],[name]:[wat_sur_u]])</f>
        <v>6</v>
      </c>
    </row>
    <row r="197" spans="1:23" x14ac:dyDescent="0.25">
      <c r="A197" t="s">
        <v>1652</v>
      </c>
      <c r="B197" t="s">
        <v>109</v>
      </c>
      <c r="C197">
        <v>83992.953129999994</v>
      </c>
      <c r="D197" s="3">
        <f>Estimates_on_the_use_of_water__2020__a_3712[[#This Row],[pop_n]]*1000</f>
        <v>83992953.129999995</v>
      </c>
      <c r="E197" s="9" t="s">
        <v>1653</v>
      </c>
      <c r="F197" s="1">
        <v>0.75874000550000009</v>
      </c>
      <c r="G197" s="2">
        <v>63728813.719817445</v>
      </c>
      <c r="H197" s="1">
        <v>63728.813719817445</v>
      </c>
      <c r="I197" s="2">
        <v>24.125999449999995</v>
      </c>
      <c r="J197" t="s">
        <v>1654</v>
      </c>
      <c r="K197" t="s">
        <v>1655</v>
      </c>
      <c r="L197" t="s">
        <v>1656</v>
      </c>
      <c r="M197" t="s">
        <v>1657</v>
      </c>
      <c r="N197" t="s">
        <v>1658</v>
      </c>
      <c r="O197" t="s">
        <v>1659</v>
      </c>
      <c r="P197" t="s">
        <v>1660</v>
      </c>
      <c r="Q197" t="s">
        <v>1661</v>
      </c>
      <c r="R197" t="s">
        <v>1662</v>
      </c>
      <c r="S197" t="s">
        <v>1663</v>
      </c>
      <c r="T197" t="s">
        <v>1664</v>
      </c>
      <c r="U197" t="s">
        <v>2</v>
      </c>
      <c r="V197">
        <f>COUNTA(Estimates_on_the_use_of_water__2020__a_3712[[#This Row],[name]:[wat_sur_u]])</f>
        <v>21</v>
      </c>
      <c r="W197">
        <f>COUNT(Estimates_on_the_use_of_water__2020__a_3712[[#This Row],[name]:[wat_sur_u]])</f>
        <v>6</v>
      </c>
    </row>
    <row r="198" spans="1:23" x14ac:dyDescent="0.25">
      <c r="A198" t="s">
        <v>1665</v>
      </c>
      <c r="B198" t="s">
        <v>35</v>
      </c>
      <c r="C198">
        <v>84339.070309999996</v>
      </c>
      <c r="D198" s="3">
        <f>Estimates_on_the_use_of_water__2020__a_3712[[#This Row],[pop_n]]*1000</f>
        <v>84339070.310000002</v>
      </c>
      <c r="E198" s="9" t="s">
        <v>1666</v>
      </c>
      <c r="F198" s="1">
        <v>0.76105003360000001</v>
      </c>
      <c r="G198" s="2">
        <v>64186252.293218262</v>
      </c>
      <c r="H198" s="1">
        <v>64186.252293218262</v>
      </c>
      <c r="I198" s="2">
        <v>23.894996640000002</v>
      </c>
      <c r="J198" t="s">
        <v>1667</v>
      </c>
      <c r="K198" t="s">
        <v>1668</v>
      </c>
      <c r="L198" t="s">
        <v>1669</v>
      </c>
      <c r="M198" t="s">
        <v>1670</v>
      </c>
      <c r="N198" t="s">
        <v>1671</v>
      </c>
      <c r="O198" t="s">
        <v>1672</v>
      </c>
      <c r="P198" t="s">
        <v>1673</v>
      </c>
      <c r="Q198" t="s">
        <v>1674</v>
      </c>
      <c r="R198" t="s">
        <v>1675</v>
      </c>
      <c r="S198" t="s">
        <v>1676</v>
      </c>
      <c r="T198" t="s">
        <v>1677</v>
      </c>
      <c r="U198" t="s">
        <v>1678</v>
      </c>
      <c r="V198">
        <f>COUNTA(Estimates_on_the_use_of_water__2020__a_3712[[#This Row],[name]:[wat_sur_u]])</f>
        <v>21</v>
      </c>
      <c r="W198">
        <f>COUNT(Estimates_on_the_use_of_water__2020__a_3712[[#This Row],[name]:[wat_sur_u]])</f>
        <v>6</v>
      </c>
    </row>
    <row r="199" spans="1:23" x14ac:dyDescent="0.25">
      <c r="A199" t="s">
        <v>1679</v>
      </c>
      <c r="B199" t="s">
        <v>109</v>
      </c>
      <c r="C199">
        <v>89561.40625</v>
      </c>
      <c r="D199" s="3">
        <f>Estimates_on_the_use_of_water__2020__a_3712[[#This Row],[pop_n]]*1000</f>
        <v>89561406.25</v>
      </c>
      <c r="E199" s="9" t="s">
        <v>1680</v>
      </c>
      <c r="F199" s="1">
        <v>0.45638000490000002</v>
      </c>
      <c r="G199" s="2">
        <v>40874035.023225896</v>
      </c>
      <c r="H199" s="1">
        <v>40874.035023225893</v>
      </c>
      <c r="I199" s="2">
        <v>54.361999509999997</v>
      </c>
      <c r="J199" t="s">
        <v>1681</v>
      </c>
      <c r="K199" t="s">
        <v>1682</v>
      </c>
      <c r="L199" t="s">
        <v>1683</v>
      </c>
      <c r="M199" t="s">
        <v>1684</v>
      </c>
      <c r="N199" t="s">
        <v>1685</v>
      </c>
      <c r="O199" t="s">
        <v>1686</v>
      </c>
      <c r="P199" t="s">
        <v>1687</v>
      </c>
      <c r="Q199" t="s">
        <v>1688</v>
      </c>
      <c r="R199" t="s">
        <v>1689</v>
      </c>
      <c r="S199" t="s">
        <v>1690</v>
      </c>
      <c r="T199" t="s">
        <v>1691</v>
      </c>
      <c r="U199" t="s">
        <v>1692</v>
      </c>
      <c r="V199">
        <f>COUNTA(Estimates_on_the_use_of_water__2020__a_3712[[#This Row],[name]:[wat_sur_u]])</f>
        <v>21</v>
      </c>
      <c r="W199">
        <f>COUNT(Estimates_on_the_use_of_water__2020__a_3712[[#This Row],[name]:[wat_sur_u]])</f>
        <v>6</v>
      </c>
    </row>
    <row r="200" spans="1:23" x14ac:dyDescent="0.25">
      <c r="A200" t="s">
        <v>1693</v>
      </c>
      <c r="B200" t="s">
        <v>109</v>
      </c>
      <c r="C200">
        <v>97338.585940000004</v>
      </c>
      <c r="D200" s="3">
        <f>Estimates_on_the_use_of_water__2020__a_3712[[#This Row],[pop_n]]*1000</f>
        <v>97338585.939999998</v>
      </c>
      <c r="E200" s="9" t="s">
        <v>1694</v>
      </c>
      <c r="F200" s="1">
        <v>0.37340000150000002</v>
      </c>
      <c r="G200" s="2">
        <v>36346228.136003882</v>
      </c>
      <c r="H200" s="1">
        <v>36346.228136003883</v>
      </c>
      <c r="I200" s="2">
        <v>62.659999849999998</v>
      </c>
      <c r="J200" t="s">
        <v>1695</v>
      </c>
      <c r="K200" t="s">
        <v>2</v>
      </c>
      <c r="L200" t="s">
        <v>1696</v>
      </c>
      <c r="M200" t="s">
        <v>2</v>
      </c>
      <c r="N200" t="s">
        <v>1697</v>
      </c>
      <c r="O200" t="s">
        <v>2</v>
      </c>
      <c r="P200" t="s">
        <v>1698</v>
      </c>
      <c r="Q200" t="s">
        <v>2</v>
      </c>
      <c r="R200" t="s">
        <v>1699</v>
      </c>
      <c r="S200" t="s">
        <v>2</v>
      </c>
      <c r="T200" t="s">
        <v>1700</v>
      </c>
      <c r="U200" t="s">
        <v>2</v>
      </c>
      <c r="V200">
        <f>COUNTA(Estimates_on_the_use_of_water__2020__a_3712[[#This Row],[name]:[wat_sur_u]])</f>
        <v>21</v>
      </c>
      <c r="W200">
        <f>COUNT(Estimates_on_the_use_of_water__2020__a_3712[[#This Row],[name]:[wat_sur_u]])</f>
        <v>6</v>
      </c>
    </row>
    <row r="201" spans="1:23" x14ac:dyDescent="0.25">
      <c r="A201" t="s">
        <v>1701</v>
      </c>
      <c r="B201" t="s">
        <v>109</v>
      </c>
      <c r="C201">
        <v>102334.4063</v>
      </c>
      <c r="D201" s="3">
        <f>Estimates_on_the_use_of_water__2020__a_3712[[#This Row],[pop_n]]*1000</f>
        <v>102334406.3</v>
      </c>
      <c r="E201" s="9" t="s">
        <v>1702</v>
      </c>
      <c r="F201" s="1">
        <v>0.4278300095</v>
      </c>
      <c r="G201" s="2">
        <v>43781730.019505858</v>
      </c>
      <c r="H201" s="1">
        <v>43781.730019505863</v>
      </c>
      <c r="I201" s="2">
        <v>57.216999049999998</v>
      </c>
      <c r="J201" t="s">
        <v>1703</v>
      </c>
      <c r="K201" t="s">
        <v>1704</v>
      </c>
      <c r="L201" t="s">
        <v>1705</v>
      </c>
      <c r="M201" t="s">
        <v>2</v>
      </c>
      <c r="N201" t="s">
        <v>1706</v>
      </c>
      <c r="O201" t="s">
        <v>1707</v>
      </c>
      <c r="P201" t="s">
        <v>1708</v>
      </c>
      <c r="Q201" t="s">
        <v>2</v>
      </c>
      <c r="R201" t="s">
        <v>1709</v>
      </c>
      <c r="S201" t="s">
        <v>1710</v>
      </c>
      <c r="T201" t="s">
        <v>1711</v>
      </c>
      <c r="U201" t="s">
        <v>2</v>
      </c>
      <c r="V201">
        <f>COUNTA(Estimates_on_the_use_of_water__2020__a_3712[[#This Row],[name]:[wat_sur_u]])</f>
        <v>21</v>
      </c>
      <c r="W201">
        <f>COUNT(Estimates_on_the_use_of_water__2020__a_3712[[#This Row],[name]:[wat_sur_u]])</f>
        <v>6</v>
      </c>
    </row>
    <row r="202" spans="1:23" x14ac:dyDescent="0.25">
      <c r="A202" t="s">
        <v>1712</v>
      </c>
      <c r="B202" t="s">
        <v>109</v>
      </c>
      <c r="C202">
        <v>109581.08590000001</v>
      </c>
      <c r="D202" s="3">
        <f>Estimates_on_the_use_of_water__2020__a_3712[[#This Row],[pop_n]]*1000</f>
        <v>109581085.90000001</v>
      </c>
      <c r="E202" s="9" t="s">
        <v>1713</v>
      </c>
      <c r="F202" s="1">
        <v>0.47407997129999996</v>
      </c>
      <c r="G202" s="2">
        <v>51950198.058494836</v>
      </c>
      <c r="H202" s="1">
        <v>51950.198058494832</v>
      </c>
      <c r="I202" s="2">
        <v>52.592002870000002</v>
      </c>
      <c r="J202" t="s">
        <v>1714</v>
      </c>
      <c r="K202" t="s">
        <v>1715</v>
      </c>
      <c r="L202" t="s">
        <v>1716</v>
      </c>
      <c r="M202" t="s">
        <v>2</v>
      </c>
      <c r="N202" t="s">
        <v>1717</v>
      </c>
      <c r="O202" t="s">
        <v>1718</v>
      </c>
      <c r="P202" t="s">
        <v>1719</v>
      </c>
      <c r="Q202" t="s">
        <v>2</v>
      </c>
      <c r="R202" t="s">
        <v>1720</v>
      </c>
      <c r="S202" t="s">
        <v>1721</v>
      </c>
      <c r="T202" t="s">
        <v>1722</v>
      </c>
      <c r="U202" t="s">
        <v>2</v>
      </c>
      <c r="V202">
        <f>COUNTA(Estimates_on_the_use_of_water__2020__a_3712[[#This Row],[name]:[wat_sur_u]])</f>
        <v>21</v>
      </c>
      <c r="W202">
        <f>COUNT(Estimates_on_the_use_of_water__2020__a_3712[[#This Row],[name]:[wat_sur_u]])</f>
        <v>6</v>
      </c>
    </row>
    <row r="203" spans="1:23" x14ac:dyDescent="0.25">
      <c r="A203" t="s">
        <v>1723</v>
      </c>
      <c r="B203" t="s">
        <v>397</v>
      </c>
      <c r="C203">
        <v>114963.58590000001</v>
      </c>
      <c r="D203" s="3">
        <f>Estimates_on_the_use_of_water__2020__a_3712[[#This Row],[pop_n]]*1000</f>
        <v>114963585.90000001</v>
      </c>
      <c r="E203" s="9" t="s">
        <v>1724</v>
      </c>
      <c r="F203" s="1">
        <v>0.2169499969</v>
      </c>
      <c r="G203" s="2">
        <v>24941349.604617886</v>
      </c>
      <c r="H203" s="1">
        <v>24941.349604617884</v>
      </c>
      <c r="I203" s="2">
        <v>78.305000309999997</v>
      </c>
      <c r="J203" t="s">
        <v>1725</v>
      </c>
      <c r="K203" t="s">
        <v>1726</v>
      </c>
      <c r="L203" t="s">
        <v>1727</v>
      </c>
      <c r="M203" t="s">
        <v>1728</v>
      </c>
      <c r="N203" t="s">
        <v>1729</v>
      </c>
      <c r="O203" t="s">
        <v>1730</v>
      </c>
      <c r="P203" t="s">
        <v>1731</v>
      </c>
      <c r="Q203" t="s">
        <v>1732</v>
      </c>
      <c r="R203" t="s">
        <v>1733</v>
      </c>
      <c r="S203" t="s">
        <v>1734</v>
      </c>
      <c r="T203" t="s">
        <v>1735</v>
      </c>
      <c r="U203" t="s">
        <v>1736</v>
      </c>
      <c r="V203">
        <f>COUNTA(Estimates_on_the_use_of_water__2020__a_3712[[#This Row],[name]:[wat_sur_u]])</f>
        <v>21</v>
      </c>
      <c r="W203">
        <f>COUNT(Estimates_on_the_use_of_water__2020__a_3712[[#This Row],[name]:[wat_sur_u]])</f>
        <v>6</v>
      </c>
    </row>
    <row r="204" spans="1:23" x14ac:dyDescent="0.25">
      <c r="A204" t="s">
        <v>1737</v>
      </c>
      <c r="B204" t="s">
        <v>30</v>
      </c>
      <c r="C204">
        <v>126476.46090000001</v>
      </c>
      <c r="D204" s="3">
        <f>Estimates_on_the_use_of_water__2020__a_3712[[#This Row],[pop_n]]*1000</f>
        <v>126476460.90000001</v>
      </c>
      <c r="E204" s="9" t="s">
        <v>1738</v>
      </c>
      <c r="F204" s="1">
        <v>0.91781997680000005</v>
      </c>
      <c r="G204" s="2">
        <v>116082622.40898412</v>
      </c>
      <c r="H204" s="1">
        <v>116082.62240898411</v>
      </c>
      <c r="I204" s="2">
        <v>8.2180023199999965</v>
      </c>
      <c r="J204" t="s">
        <v>1739</v>
      </c>
      <c r="K204" t="s">
        <v>2</v>
      </c>
      <c r="L204" t="s">
        <v>1740</v>
      </c>
      <c r="M204" t="s">
        <v>2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>
        <f>COUNTA(Estimates_on_the_use_of_water__2020__a_3712[[#This Row],[name]:[wat_sur_u]])</f>
        <v>21</v>
      </c>
      <c r="W204">
        <f>COUNT(Estimates_on_the_use_of_water__2020__a_3712[[#This Row],[name]:[wat_sur_u]])</f>
        <v>6</v>
      </c>
    </row>
    <row r="205" spans="1:23" x14ac:dyDescent="0.25">
      <c r="A205" t="s">
        <v>1741</v>
      </c>
      <c r="B205" t="s">
        <v>35</v>
      </c>
      <c r="C205">
        <v>128932.75</v>
      </c>
      <c r="D205" s="3">
        <f>Estimates_on_the_use_of_water__2020__a_3712[[#This Row],[pop_n]]*1000</f>
        <v>128932750</v>
      </c>
      <c r="E205" s="9" t="s">
        <v>1742</v>
      </c>
      <c r="F205" s="1">
        <v>0.80730995179999998</v>
      </c>
      <c r="G205" s="2">
        <v>104088692.18794145</v>
      </c>
      <c r="H205" s="1">
        <v>104088.69218794144</v>
      </c>
      <c r="I205" s="2">
        <v>19.269004820000006</v>
      </c>
      <c r="J205" t="s">
        <v>1743</v>
      </c>
      <c r="K205" t="s">
        <v>2</v>
      </c>
      <c r="L205" t="s">
        <v>1744</v>
      </c>
      <c r="M205" t="s">
        <v>2</v>
      </c>
      <c r="N205" t="s">
        <v>1745</v>
      </c>
      <c r="O205" t="s">
        <v>2</v>
      </c>
      <c r="P205" t="s">
        <v>1746</v>
      </c>
      <c r="Q205" t="s">
        <v>2</v>
      </c>
      <c r="R205" t="s">
        <v>15</v>
      </c>
      <c r="S205" t="s">
        <v>2</v>
      </c>
      <c r="T205" t="s">
        <v>2</v>
      </c>
      <c r="U205" t="s">
        <v>2</v>
      </c>
      <c r="V205">
        <f>COUNTA(Estimates_on_the_use_of_water__2020__a_3712[[#This Row],[name]:[wat_sur_u]])</f>
        <v>21</v>
      </c>
      <c r="W205">
        <f>COUNT(Estimates_on_the_use_of_water__2020__a_3712[[#This Row],[name]:[wat_sur_u]])</f>
        <v>6</v>
      </c>
    </row>
    <row r="206" spans="1:23" x14ac:dyDescent="0.25">
      <c r="A206" t="s">
        <v>1747</v>
      </c>
      <c r="B206" t="s">
        <v>35</v>
      </c>
      <c r="C206">
        <v>145934.45310000001</v>
      </c>
      <c r="D206" s="3">
        <f>Estimates_on_the_use_of_water__2020__a_3712[[#This Row],[pop_n]]*1000</f>
        <v>145934453.10000002</v>
      </c>
      <c r="E206" s="9" t="s">
        <v>1748</v>
      </c>
      <c r="F206" s="1">
        <v>0.74754005430000003</v>
      </c>
      <c r="G206" s="2">
        <v>109091848.99461482</v>
      </c>
      <c r="H206" s="1">
        <v>109091.84899461482</v>
      </c>
      <c r="I206" s="2">
        <v>25.245994569999993</v>
      </c>
      <c r="J206" t="s">
        <v>1749</v>
      </c>
      <c r="K206" t="s">
        <v>1750</v>
      </c>
      <c r="L206" t="s">
        <v>1751</v>
      </c>
      <c r="M206" t="s">
        <v>1</v>
      </c>
      <c r="N206" t="s">
        <v>1752</v>
      </c>
      <c r="O206" t="s">
        <v>1753</v>
      </c>
      <c r="P206" t="s">
        <v>1754</v>
      </c>
      <c r="Q206" t="s">
        <v>1</v>
      </c>
      <c r="R206" t="s">
        <v>1755</v>
      </c>
      <c r="S206" t="s">
        <v>1756</v>
      </c>
      <c r="T206" t="s">
        <v>1757</v>
      </c>
      <c r="U206" t="s">
        <v>1758</v>
      </c>
      <c r="V206">
        <f>COUNTA(Estimates_on_the_use_of_water__2020__a_3712[[#This Row],[name]:[wat_sur_u]])</f>
        <v>21</v>
      </c>
      <c r="W206">
        <f>COUNT(Estimates_on_the_use_of_water__2020__a_3712[[#This Row],[name]:[wat_sur_u]])</f>
        <v>6</v>
      </c>
    </row>
    <row r="207" spans="1:23" x14ac:dyDescent="0.25">
      <c r="A207" t="s">
        <v>1759</v>
      </c>
      <c r="B207" t="s">
        <v>109</v>
      </c>
      <c r="C207">
        <v>164689.39060000001</v>
      </c>
      <c r="D207" s="3">
        <f>Estimates_on_the_use_of_water__2020__a_3712[[#This Row],[pop_n]]*1000</f>
        <v>164689390.60000002</v>
      </c>
      <c r="E207" s="9" t="s">
        <v>1760</v>
      </c>
      <c r="F207" s="1">
        <v>0.3817700195</v>
      </c>
      <c r="G207" s="2">
        <v>62873471.860805124</v>
      </c>
      <c r="H207" s="1">
        <v>62873.471860805119</v>
      </c>
      <c r="I207" s="2">
        <v>61.822998050000002</v>
      </c>
      <c r="J207" t="s">
        <v>1761</v>
      </c>
      <c r="K207" t="s">
        <v>1762</v>
      </c>
      <c r="L207" t="s">
        <v>1763</v>
      </c>
      <c r="M207" t="s">
        <v>1764</v>
      </c>
      <c r="N207" t="s">
        <v>1765</v>
      </c>
      <c r="O207" t="s">
        <v>1766</v>
      </c>
      <c r="P207" t="s">
        <v>1767</v>
      </c>
      <c r="Q207" t="s">
        <v>1768</v>
      </c>
      <c r="R207" t="s">
        <v>1769</v>
      </c>
      <c r="S207" t="s">
        <v>1770</v>
      </c>
      <c r="T207" t="s">
        <v>1771</v>
      </c>
      <c r="U207" t="s">
        <v>1772</v>
      </c>
      <c r="V207">
        <f>COUNTA(Estimates_on_the_use_of_water__2020__a_3712[[#This Row],[name]:[wat_sur_u]])</f>
        <v>21</v>
      </c>
      <c r="W207">
        <f>COUNT(Estimates_on_the_use_of_water__2020__a_3712[[#This Row],[name]:[wat_sur_u]])</f>
        <v>6</v>
      </c>
    </row>
    <row r="208" spans="1:23" x14ac:dyDescent="0.25">
      <c r="A208" t="s">
        <v>1773</v>
      </c>
      <c r="B208" t="s">
        <v>109</v>
      </c>
      <c r="C208">
        <v>206139.5938</v>
      </c>
      <c r="D208" s="3">
        <f>Estimates_on_the_use_of_water__2020__a_3712[[#This Row],[pop_n]]*1000</f>
        <v>206139593.80000001</v>
      </c>
      <c r="E208" s="9" t="s">
        <v>1774</v>
      </c>
      <c r="F208" s="1">
        <v>0.51958000179999997</v>
      </c>
      <c r="G208" s="2">
        <v>107106010.51765527</v>
      </c>
      <c r="H208" s="1">
        <v>107106.01051765526</v>
      </c>
      <c r="I208" s="2">
        <v>48.041999820000001</v>
      </c>
      <c r="J208" t="s">
        <v>1775</v>
      </c>
      <c r="K208" t="s">
        <v>1776</v>
      </c>
      <c r="L208" t="s">
        <v>1777</v>
      </c>
      <c r="M208" t="s">
        <v>1778</v>
      </c>
      <c r="N208" t="s">
        <v>1779</v>
      </c>
      <c r="O208" t="s">
        <v>1780</v>
      </c>
      <c r="P208" t="s">
        <v>1781</v>
      </c>
      <c r="Q208" t="s">
        <v>1782</v>
      </c>
      <c r="R208" t="s">
        <v>1783</v>
      </c>
      <c r="S208" t="s">
        <v>1784</v>
      </c>
      <c r="T208" t="s">
        <v>1785</v>
      </c>
      <c r="U208" t="s">
        <v>1786</v>
      </c>
      <c r="V208">
        <f>COUNTA(Estimates_on_the_use_of_water__2020__a_3712[[#This Row],[name]:[wat_sur_u]])</f>
        <v>21</v>
      </c>
      <c r="W208">
        <f>COUNT(Estimates_on_the_use_of_water__2020__a_3712[[#This Row],[name]:[wat_sur_u]])</f>
        <v>6</v>
      </c>
    </row>
    <row r="209" spans="1:23" x14ac:dyDescent="0.25">
      <c r="A209" t="s">
        <v>1787</v>
      </c>
      <c r="B209" t="s">
        <v>35</v>
      </c>
      <c r="C209">
        <v>212559.4063</v>
      </c>
      <c r="D209" s="3">
        <f>Estimates_on_the_use_of_water__2020__a_3712[[#This Row],[pop_n]]*1000</f>
        <v>212559406.30000001</v>
      </c>
      <c r="E209" s="9" t="s">
        <v>1788</v>
      </c>
      <c r="F209" s="1">
        <v>0.87072998049999994</v>
      </c>
      <c r="G209" s="2">
        <v>185081847.70269057</v>
      </c>
      <c r="H209" s="1">
        <v>185081.84770269057</v>
      </c>
      <c r="I209" s="2">
        <v>12.927001950000005</v>
      </c>
      <c r="J209" t="s">
        <v>1789</v>
      </c>
      <c r="K209" t="s">
        <v>1790</v>
      </c>
      <c r="L209" t="s">
        <v>1791</v>
      </c>
      <c r="M209" t="s">
        <v>1</v>
      </c>
      <c r="N209" t="s">
        <v>1792</v>
      </c>
      <c r="O209" t="s">
        <v>1793</v>
      </c>
      <c r="P209" t="s">
        <v>1794</v>
      </c>
      <c r="Q209" t="s">
        <v>1</v>
      </c>
      <c r="R209" t="s">
        <v>1795</v>
      </c>
      <c r="S209" t="s">
        <v>2</v>
      </c>
      <c r="T209" t="s">
        <v>1796</v>
      </c>
      <c r="U209" t="s">
        <v>2</v>
      </c>
      <c r="V209">
        <f>COUNTA(Estimates_on_the_use_of_water__2020__a_3712[[#This Row],[name]:[wat_sur_u]])</f>
        <v>21</v>
      </c>
      <c r="W209">
        <f>COUNT(Estimates_on_the_use_of_water__2020__a_3712[[#This Row],[name]:[wat_sur_u]])</f>
        <v>6</v>
      </c>
    </row>
    <row r="210" spans="1:23" x14ac:dyDescent="0.25">
      <c r="A210" t="s">
        <v>1797</v>
      </c>
      <c r="B210" t="s">
        <v>109</v>
      </c>
      <c r="C210">
        <v>220892.32810000001</v>
      </c>
      <c r="D210" s="3">
        <f>Estimates_on_the_use_of_water__2020__a_3712[[#This Row],[pop_n]]*1000</f>
        <v>220892328.10000002</v>
      </c>
      <c r="E210" s="9" t="s">
        <v>1798</v>
      </c>
      <c r="F210" s="1">
        <v>0.37165000919999996</v>
      </c>
      <c r="G210" s="2">
        <v>82094635.770574421</v>
      </c>
      <c r="H210" s="1">
        <v>82094.635770574416</v>
      </c>
      <c r="I210" s="2">
        <v>62.834999080000003</v>
      </c>
      <c r="J210" t="s">
        <v>1799</v>
      </c>
      <c r="K210" t="s">
        <v>1800</v>
      </c>
      <c r="L210" t="s">
        <v>1801</v>
      </c>
      <c r="M210" t="s">
        <v>1802</v>
      </c>
      <c r="N210" t="s">
        <v>1803</v>
      </c>
      <c r="O210" t="s">
        <v>1804</v>
      </c>
      <c r="P210" t="s">
        <v>1805</v>
      </c>
      <c r="Q210" t="s">
        <v>1806</v>
      </c>
      <c r="R210" t="s">
        <v>1807</v>
      </c>
      <c r="S210" t="s">
        <v>1808</v>
      </c>
      <c r="T210" t="s">
        <v>1809</v>
      </c>
      <c r="U210" t="s">
        <v>1810</v>
      </c>
      <c r="V210">
        <f>COUNTA(Estimates_on_the_use_of_water__2020__a_3712[[#This Row],[name]:[wat_sur_u]])</f>
        <v>21</v>
      </c>
      <c r="W210">
        <f>COUNT(Estimates_on_the_use_of_water__2020__a_3712[[#This Row],[name]:[wat_sur_u]])</f>
        <v>6</v>
      </c>
    </row>
    <row r="211" spans="1:23" x14ac:dyDescent="0.25">
      <c r="A211" t="s">
        <v>1811</v>
      </c>
      <c r="B211" t="s">
        <v>109</v>
      </c>
      <c r="C211">
        <v>273523.625</v>
      </c>
      <c r="D211" s="3">
        <f>Estimates_on_the_use_of_water__2020__a_3712[[#This Row],[pop_n]]*1000</f>
        <v>273523625</v>
      </c>
      <c r="E211" s="9" t="s">
        <v>1812</v>
      </c>
      <c r="F211" s="1">
        <v>0.56640998840000001</v>
      </c>
      <c r="G211" s="2">
        <v>154926513.26337594</v>
      </c>
      <c r="H211" s="1">
        <v>154926.51326337596</v>
      </c>
      <c r="I211" s="2">
        <v>43.359001159999998</v>
      </c>
      <c r="J211" t="s">
        <v>1813</v>
      </c>
      <c r="K211" t="s">
        <v>1814</v>
      </c>
      <c r="L211" t="s">
        <v>1815</v>
      </c>
      <c r="M211" t="s">
        <v>1816</v>
      </c>
      <c r="N211" t="s">
        <v>1817</v>
      </c>
      <c r="O211" t="s">
        <v>1818</v>
      </c>
      <c r="P211" t="s">
        <v>1819</v>
      </c>
      <c r="Q211" t="s">
        <v>1820</v>
      </c>
      <c r="R211" t="s">
        <v>1821</v>
      </c>
      <c r="S211" t="s">
        <v>1822</v>
      </c>
      <c r="T211" t="s">
        <v>1823</v>
      </c>
      <c r="U211" t="s">
        <v>1824</v>
      </c>
      <c r="V211">
        <f>COUNTA(Estimates_on_the_use_of_water__2020__a_3712[[#This Row],[name]:[wat_sur_u]])</f>
        <v>21</v>
      </c>
      <c r="W211">
        <f>COUNT(Estimates_on_the_use_of_water__2020__a_3712[[#This Row],[name]:[wat_sur_u]])</f>
        <v>6</v>
      </c>
    </row>
    <row r="212" spans="1:23" x14ac:dyDescent="0.25">
      <c r="A212" t="s">
        <v>1825</v>
      </c>
      <c r="B212" t="s">
        <v>30</v>
      </c>
      <c r="C212">
        <v>331002.65629999997</v>
      </c>
      <c r="D212" s="3">
        <f>Estimates_on_the_use_of_water__2020__a_3712[[#This Row],[pop_n]]*1000</f>
        <v>331002656.29999995</v>
      </c>
      <c r="E212" s="9" t="s">
        <v>1826</v>
      </c>
      <c r="F212" s="1">
        <v>0.82664001459999992</v>
      </c>
      <c r="G212" s="2">
        <v>273620040.63647074</v>
      </c>
      <c r="H212" s="1">
        <v>273620.04063647072</v>
      </c>
      <c r="I212" s="2">
        <v>17.335998540000006</v>
      </c>
      <c r="J212" t="s">
        <v>1827</v>
      </c>
      <c r="K212" t="s">
        <v>2</v>
      </c>
      <c r="L212" t="s">
        <v>1828</v>
      </c>
      <c r="M212" t="s">
        <v>2</v>
      </c>
      <c r="N212" t="s">
        <v>1829</v>
      </c>
      <c r="O212" t="s">
        <v>2</v>
      </c>
      <c r="P212" t="s">
        <v>1830</v>
      </c>
      <c r="Q212" t="s">
        <v>2</v>
      </c>
      <c r="R212" t="s">
        <v>1831</v>
      </c>
      <c r="S212" t="s">
        <v>2</v>
      </c>
      <c r="T212" t="s">
        <v>1832</v>
      </c>
      <c r="U212" t="s">
        <v>2</v>
      </c>
      <c r="V212">
        <f>COUNTA(Estimates_on_the_use_of_water__2020__a_3712[[#This Row],[name]:[wat_sur_u]])</f>
        <v>21</v>
      </c>
      <c r="W212">
        <f>COUNT(Estimates_on_the_use_of_water__2020__a_3712[[#This Row],[name]:[wat_sur_u]])</f>
        <v>6</v>
      </c>
    </row>
    <row r="213" spans="1:23" x14ac:dyDescent="0.25">
      <c r="A213" t="s">
        <v>1833</v>
      </c>
      <c r="B213" t="s">
        <v>109</v>
      </c>
      <c r="C213">
        <v>1380004.375</v>
      </c>
      <c r="D213" s="3">
        <f>Estimates_on_the_use_of_water__2020__a_3712[[#This Row],[pop_n]]*1000</f>
        <v>1380004375</v>
      </c>
      <c r="E213" s="9" t="s">
        <v>1834</v>
      </c>
      <c r="F213" s="1">
        <v>0.34926002500000003</v>
      </c>
      <c r="G213" s="2">
        <v>481980362.51260942</v>
      </c>
      <c r="H213" s="1">
        <v>481980.3625126094</v>
      </c>
      <c r="I213" s="2">
        <v>65.07399749999999</v>
      </c>
      <c r="J213" t="s">
        <v>1835</v>
      </c>
      <c r="K213" t="s">
        <v>1836</v>
      </c>
      <c r="L213" t="s">
        <v>1837</v>
      </c>
      <c r="M213" t="s">
        <v>1838</v>
      </c>
      <c r="N213" t="s">
        <v>1839</v>
      </c>
      <c r="O213" t="s">
        <v>1840</v>
      </c>
      <c r="P213" t="s">
        <v>1841</v>
      </c>
      <c r="Q213" t="s">
        <v>1842</v>
      </c>
      <c r="R213" t="s">
        <v>1843</v>
      </c>
      <c r="S213" t="s">
        <v>1844</v>
      </c>
      <c r="T213" t="s">
        <v>1845</v>
      </c>
      <c r="U213" t="s">
        <v>1846</v>
      </c>
      <c r="V213">
        <f>COUNTA(Estimates_on_the_use_of_water__2020__a_3712[[#This Row],[name]:[wat_sur_u]])</f>
        <v>21</v>
      </c>
      <c r="W213">
        <f>COUNT(Estimates_on_the_use_of_water__2020__a_3712[[#This Row],[name]:[wat_sur_u]])</f>
        <v>6</v>
      </c>
    </row>
    <row r="214" spans="1:23" x14ac:dyDescent="0.25">
      <c r="A214" t="s">
        <v>1847</v>
      </c>
      <c r="B214" t="s">
        <v>35</v>
      </c>
      <c r="C214">
        <v>1463140.5</v>
      </c>
      <c r="D214" s="3">
        <f>Estimates_on_the_use_of_water__2020__a_3712[[#This Row],[pop_n]]*1000</f>
        <v>1463140500</v>
      </c>
      <c r="E214" s="9" t="s">
        <v>1848</v>
      </c>
      <c r="F214" s="1">
        <v>0.61713088989999998</v>
      </c>
      <c r="G214" s="2">
        <v>902949198.81373096</v>
      </c>
      <c r="H214" s="1">
        <v>902949.19881373097</v>
      </c>
      <c r="I214" s="2">
        <v>38.286911009999997</v>
      </c>
      <c r="J214" t="s">
        <v>1849</v>
      </c>
      <c r="K214" t="s">
        <v>1850</v>
      </c>
      <c r="L214" t="s">
        <v>1851</v>
      </c>
      <c r="M214" t="s">
        <v>1852</v>
      </c>
      <c r="N214" t="s">
        <v>1853</v>
      </c>
      <c r="O214" t="s">
        <v>1854</v>
      </c>
      <c r="P214" t="s">
        <v>1855</v>
      </c>
      <c r="Q214" t="s">
        <v>2</v>
      </c>
      <c r="R214" t="s">
        <v>1856</v>
      </c>
      <c r="S214" t="s">
        <v>1857</v>
      </c>
      <c r="T214" t="s">
        <v>1858</v>
      </c>
      <c r="U214" t="s">
        <v>1859</v>
      </c>
      <c r="V214">
        <f>COUNTA(Estimates_on_the_use_of_water__2020__a_3712[[#This Row],[name]:[wat_sur_u]])</f>
        <v>21</v>
      </c>
      <c r="W214">
        <f>COUNT(Estimates_on_the_use_of_water__2020__a_3712[[#This Row],[name]:[wat_sur_u]])</f>
        <v>6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8D98-8D3D-4707-A363-12C23FD0AC6D}">
  <dimension ref="A1:O20"/>
  <sheetViews>
    <sheetView workbookViewId="0">
      <selection activeCell="I2" sqref="I2"/>
    </sheetView>
  </sheetViews>
  <sheetFormatPr defaultRowHeight="15" x14ac:dyDescent="0.25"/>
  <cols>
    <col min="4" max="4" width="13.28515625" customWidth="1"/>
    <col min="5" max="5" width="15.42578125" bestFit="1" customWidth="1"/>
    <col min="6" max="6" width="17.7109375" customWidth="1"/>
    <col min="7" max="7" width="15.42578125" bestFit="1" customWidth="1"/>
    <col min="8" max="9" width="15.28515625" customWidth="1"/>
    <col min="10" max="10" width="16.85546875" bestFit="1" customWidth="1"/>
    <col min="11" max="11" width="16.85546875" customWidth="1"/>
    <col min="12" max="12" width="20" customWidth="1"/>
    <col min="13" max="13" width="19.5703125" customWidth="1"/>
  </cols>
  <sheetData>
    <row r="1" spans="1:15" s="5" customFormat="1" x14ac:dyDescent="0.25">
      <c r="A1" s="10" t="s">
        <v>1878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s="5" customForma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B3" s="11" t="s">
        <v>1879</v>
      </c>
      <c r="C3" s="11"/>
      <c r="D3" s="11"/>
      <c r="E3" s="3">
        <f>SUM(Estimates_on_the_use_of_water__2020__a_3712[pop_n_k])</f>
        <v>7786713707.7420826</v>
      </c>
      <c r="G3" s="6">
        <v>7786713707.7420797</v>
      </c>
    </row>
    <row r="4" spans="1:15" x14ac:dyDescent="0.25">
      <c r="E4">
        <f>SUM(Estimates_on_the_use_of_water__2020__a_3712[pop_n])</f>
        <v>7786713.7077420801</v>
      </c>
    </row>
    <row r="6" spans="1:15" x14ac:dyDescent="0.25">
      <c r="A6" s="10" t="s">
        <v>1884</v>
      </c>
      <c r="B6" s="10"/>
      <c r="C6" s="10"/>
      <c r="D6" s="10"/>
      <c r="E6" s="10"/>
      <c r="F6" s="10"/>
      <c r="G6" s="10"/>
      <c r="H6" s="10"/>
      <c r="I6" s="10"/>
    </row>
    <row r="7" spans="1:15" x14ac:dyDescent="0.25">
      <c r="B7" s="11" t="s">
        <v>1885</v>
      </c>
      <c r="C7" s="11"/>
      <c r="D7" s="2">
        <f>SUM(Estimates_on_the_use_of_water__2020__a_3712[pop_u_val])</f>
        <v>4375331316.904953</v>
      </c>
      <c r="F7" s="7">
        <f>SUM(Estimates_on_the_use_of_water__2020__a_3712[pop_u_val])</f>
        <v>4375331316.904953</v>
      </c>
    </row>
    <row r="9" spans="1:15" s="5" customFormat="1" x14ac:dyDescent="0.25">
      <c r="A9" s="5" t="s">
        <v>1886</v>
      </c>
    </row>
    <row r="11" spans="1:15" x14ac:dyDescent="0.25">
      <c r="B11" s="5" t="s">
        <v>1887</v>
      </c>
      <c r="C11" s="1">
        <f>F7/G3</f>
        <v>0.56189703142093195</v>
      </c>
    </row>
    <row r="13" spans="1:15" s="5" customFormat="1" x14ac:dyDescent="0.25">
      <c r="A13" s="5" t="s">
        <v>1888</v>
      </c>
      <c r="G13" s="8"/>
      <c r="H13" s="8"/>
    </row>
    <row r="14" spans="1:15" x14ac:dyDescent="0.25">
      <c r="B14" s="5" t="s">
        <v>1889</v>
      </c>
      <c r="C14" s="5"/>
      <c r="D14" s="5"/>
      <c r="E14" s="7">
        <v>4375331316.904953</v>
      </c>
    </row>
    <row r="15" spans="1:15" x14ac:dyDescent="0.25">
      <c r="B15" s="5" t="s">
        <v>1890</v>
      </c>
      <c r="C15" s="5"/>
      <c r="D15" s="5"/>
      <c r="E15" s="7">
        <v>7786713707.7420797</v>
      </c>
    </row>
    <row r="16" spans="1:15" x14ac:dyDescent="0.25">
      <c r="B16" s="5" t="s">
        <v>1891</v>
      </c>
      <c r="C16" s="5"/>
      <c r="D16" s="5"/>
      <c r="E16" s="7">
        <f>E15-E14</f>
        <v>3411382390.8371267</v>
      </c>
    </row>
    <row r="17" spans="2:13" x14ac:dyDescent="0.25">
      <c r="B17" s="5" t="s">
        <v>1892</v>
      </c>
      <c r="E17">
        <f>(ABS(E15-E14)/((E15+E14)/2))*100</f>
        <v>56.098828509905665</v>
      </c>
    </row>
    <row r="18" spans="2:13" x14ac:dyDescent="0.25">
      <c r="B18" s="5"/>
    </row>
    <row r="19" spans="2:13" x14ac:dyDescent="0.25">
      <c r="G19" s="5" t="s">
        <v>1893</v>
      </c>
      <c r="H19" s="5" t="s">
        <v>1894</v>
      </c>
      <c r="I19" s="5" t="s">
        <v>1895</v>
      </c>
      <c r="J19" s="5" t="s">
        <v>1897</v>
      </c>
      <c r="K19" s="5" t="s">
        <v>1898</v>
      </c>
      <c r="L19" s="5" t="s">
        <v>1899</v>
      </c>
      <c r="M19" s="5" t="s">
        <v>1896</v>
      </c>
    </row>
    <row r="20" spans="2:13" x14ac:dyDescent="0.25">
      <c r="G20" s="6">
        <v>7786713707.7420797</v>
      </c>
      <c r="H20" s="7">
        <f>SUM(Estimates_on_the_use_of_water__2020__a_3712[pop_u_val])</f>
        <v>4375331316.904953</v>
      </c>
      <c r="I20" s="7">
        <v>3411382390.8371267</v>
      </c>
      <c r="J20">
        <v>0.56189703142093195</v>
      </c>
      <c r="K20">
        <f>E16/G3</f>
        <v>0.43810296857906805</v>
      </c>
      <c r="L20" s="7">
        <v>3411382390.8371267</v>
      </c>
      <c r="M20">
        <v>56.098828509905665</v>
      </c>
    </row>
  </sheetData>
  <mergeCells count="4">
    <mergeCell ref="A1:O1"/>
    <mergeCell ref="B3:D3"/>
    <mergeCell ref="A6:I6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FD78-C2A2-4B5B-A849-2864B36A7596}">
  <dimension ref="A3:G4"/>
  <sheetViews>
    <sheetView workbookViewId="0">
      <selection activeCell="G13" sqref="G13"/>
    </sheetView>
  </sheetViews>
  <sheetFormatPr defaultRowHeight="15" x14ac:dyDescent="0.25"/>
  <cols>
    <col min="1" max="1" width="22.42578125" bestFit="1" customWidth="1"/>
    <col min="2" max="2" width="22.28515625" bestFit="1" customWidth="1"/>
    <col min="3" max="3" width="22.42578125" bestFit="1" customWidth="1"/>
    <col min="4" max="4" width="23.85546875" bestFit="1" customWidth="1"/>
    <col min="5" max="5" width="22.85546875" bestFit="1" customWidth="1"/>
    <col min="6" max="6" width="23" bestFit="1" customWidth="1"/>
    <col min="7" max="7" width="28.28515625" bestFit="1" customWidth="1"/>
  </cols>
  <sheetData>
    <row r="3" spans="1:7" x14ac:dyDescent="0.25">
      <c r="A3" t="s">
        <v>1900</v>
      </c>
      <c r="B3" t="s">
        <v>1901</v>
      </c>
      <c r="C3" t="s">
        <v>1902</v>
      </c>
      <c r="D3" t="s">
        <v>1903</v>
      </c>
      <c r="E3" t="s">
        <v>1904</v>
      </c>
      <c r="F3" t="s">
        <v>1905</v>
      </c>
      <c r="G3" t="s">
        <v>1906</v>
      </c>
    </row>
    <row r="4" spans="1:7" x14ac:dyDescent="0.25">
      <c r="A4" s="6">
        <v>7786713707.7420797</v>
      </c>
      <c r="B4" s="7">
        <v>4375331316.904953</v>
      </c>
      <c r="C4" s="7">
        <v>3411382390.8371267</v>
      </c>
      <c r="D4">
        <v>0.56189703142093195</v>
      </c>
      <c r="E4">
        <v>0.43810296857906805</v>
      </c>
      <c r="F4" s="7">
        <v>3411382390.8371267</v>
      </c>
      <c r="G4">
        <v>56.098828509905665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9E97-8548-48C7-B252-4B1450F1D379}">
  <dimension ref="A1:H11"/>
  <sheetViews>
    <sheetView tabSelected="1" workbookViewId="0">
      <selection activeCell="F5" sqref="F5"/>
    </sheetView>
  </sheetViews>
  <sheetFormatPr defaultRowHeight="15" x14ac:dyDescent="0.25"/>
  <cols>
    <col min="1" max="1" width="12.5703125" bestFit="1" customWidth="1"/>
    <col min="2" max="2" width="12" style="2" bestFit="1" customWidth="1"/>
    <col min="3" max="3" width="9.140625" style="13"/>
    <col min="4" max="4" width="9.140625" style="12"/>
    <col min="6" max="6" width="35.42578125" customWidth="1"/>
    <col min="7" max="7" width="15.7109375" bestFit="1" customWidth="1"/>
  </cols>
  <sheetData>
    <row r="1" spans="1:8" x14ac:dyDescent="0.25">
      <c r="A1" s="5" t="s">
        <v>1908</v>
      </c>
      <c r="B1" s="14" t="s">
        <v>1912</v>
      </c>
      <c r="C1" s="13" t="s">
        <v>1910</v>
      </c>
      <c r="D1" s="12" t="s">
        <v>1911</v>
      </c>
      <c r="F1" t="s">
        <v>1924</v>
      </c>
      <c r="G1" s="5" t="s">
        <v>1923</v>
      </c>
      <c r="H1" t="s">
        <v>1925</v>
      </c>
    </row>
    <row r="2" spans="1:8" x14ac:dyDescent="0.25">
      <c r="A2" t="s">
        <v>1909</v>
      </c>
      <c r="B2" s="15">
        <v>100</v>
      </c>
      <c r="C2" s="13">
        <f ca="1">RAND()*(100-30)+30</f>
        <v>78.881542696960196</v>
      </c>
      <c r="D2" s="12">
        <f ca="1">RANDBETWEEN(30,100)</f>
        <v>50</v>
      </c>
      <c r="F2" t="str">
        <f>LEFT(G2,LEN(G2)-LEN(H2))</f>
        <v xml:space="preserve">Addis Ababa </v>
      </c>
      <c r="G2" t="s">
        <v>1913</v>
      </c>
      <c r="H2" t="str">
        <f>TRIM(RIGHT(G2,4))</f>
        <v>123</v>
      </c>
    </row>
    <row r="3" spans="1:8" x14ac:dyDescent="0.25">
      <c r="A3" t="s">
        <v>1909</v>
      </c>
      <c r="B3" s="2">
        <v>100</v>
      </c>
      <c r="C3" s="13">
        <f t="shared" ref="C3:C11" ca="1" si="0">RAND()*(100-30)+30</f>
        <v>55.725838883116666</v>
      </c>
      <c r="D3" s="12">
        <f t="shared" ref="D3:D11" ca="1" si="1">RANDBETWEEN(30,100)</f>
        <v>95</v>
      </c>
      <c r="F3" t="str">
        <f t="shared" ref="F3:F11" si="2">LEFT(G3,LEN(G3)-LEN(H3))</f>
        <v>Nairob</v>
      </c>
      <c r="G3" t="s">
        <v>1914</v>
      </c>
      <c r="H3" t="str">
        <f t="shared" ref="H3:H11" si="3">TRIM(RIGHT(G3,4))</f>
        <v>i 23</v>
      </c>
    </row>
    <row r="4" spans="1:8" x14ac:dyDescent="0.25">
      <c r="A4" t="s">
        <v>1909</v>
      </c>
      <c r="B4" s="2">
        <v>100</v>
      </c>
      <c r="C4" s="13">
        <f t="shared" ca="1" si="0"/>
        <v>76.98190963462811</v>
      </c>
      <c r="D4" s="12">
        <f t="shared" ca="1" si="1"/>
        <v>30</v>
      </c>
      <c r="F4" t="str">
        <f t="shared" si="2"/>
        <v xml:space="preserve">Thika </v>
      </c>
      <c r="G4" t="s">
        <v>1915</v>
      </c>
      <c r="H4" t="str">
        <f t="shared" si="3"/>
        <v>345</v>
      </c>
    </row>
    <row r="5" spans="1:8" x14ac:dyDescent="0.25">
      <c r="A5" t="s">
        <v>1909</v>
      </c>
      <c r="B5" s="2">
        <v>100</v>
      </c>
      <c r="C5" s="13">
        <f t="shared" ca="1" si="0"/>
        <v>79.198027591499084</v>
      </c>
      <c r="D5" s="12">
        <f t="shared" ca="1" si="1"/>
        <v>95</v>
      </c>
      <c r="F5" t="str">
        <f t="shared" si="2"/>
        <v>Kigal</v>
      </c>
      <c r="G5" t="s">
        <v>1916</v>
      </c>
      <c r="H5" t="str">
        <f t="shared" si="3"/>
        <v>i 09</v>
      </c>
    </row>
    <row r="6" spans="1:8" x14ac:dyDescent="0.25">
      <c r="A6" t="s">
        <v>1909</v>
      </c>
      <c r="B6" s="2">
        <v>100</v>
      </c>
      <c r="C6" s="13">
        <f t="shared" ca="1" si="0"/>
        <v>47.368844536654073</v>
      </c>
      <c r="D6" s="12">
        <f t="shared" ca="1" si="1"/>
        <v>89</v>
      </c>
      <c r="F6" t="str">
        <f t="shared" si="2"/>
        <v xml:space="preserve">Kiambu </v>
      </c>
      <c r="G6" t="s">
        <v>1917</v>
      </c>
      <c r="H6" t="str">
        <f t="shared" si="3"/>
        <v>678</v>
      </c>
    </row>
    <row r="7" spans="1:8" x14ac:dyDescent="0.25">
      <c r="A7" t="s">
        <v>1909</v>
      </c>
      <c r="B7" s="2">
        <v>100</v>
      </c>
      <c r="C7" s="13">
        <f t="shared" ca="1" si="0"/>
        <v>62.734558868975775</v>
      </c>
      <c r="D7" s="12">
        <f t="shared" ca="1" si="1"/>
        <v>68</v>
      </c>
      <c r="F7" t="str">
        <f t="shared" si="2"/>
        <v xml:space="preserve">Kakamega </v>
      </c>
      <c r="G7" t="s">
        <v>1918</v>
      </c>
      <c r="H7" t="str">
        <f t="shared" si="3"/>
        <v>4567</v>
      </c>
    </row>
    <row r="8" spans="1:8" x14ac:dyDescent="0.25">
      <c r="A8" t="s">
        <v>1909</v>
      </c>
      <c r="B8" s="2">
        <v>100</v>
      </c>
      <c r="C8" s="13">
        <f t="shared" ca="1" si="0"/>
        <v>64.202965252040215</v>
      </c>
      <c r="D8" s="12">
        <f t="shared" ca="1" si="1"/>
        <v>49</v>
      </c>
      <c r="F8" t="str">
        <f t="shared" si="2"/>
        <v xml:space="preserve">Migori </v>
      </c>
      <c r="G8" t="s">
        <v>1919</v>
      </c>
      <c r="H8" t="str">
        <f t="shared" si="3"/>
        <v>367</v>
      </c>
    </row>
    <row r="9" spans="1:8" x14ac:dyDescent="0.25">
      <c r="A9" t="s">
        <v>1909</v>
      </c>
      <c r="B9" s="2">
        <v>100</v>
      </c>
      <c r="C9" s="13">
        <f t="shared" ca="1" si="0"/>
        <v>72.980354429844695</v>
      </c>
      <c r="D9" s="12">
        <f t="shared" ca="1" si="1"/>
        <v>88</v>
      </c>
      <c r="F9" t="str">
        <f t="shared" si="2"/>
        <v xml:space="preserve">Kisumu </v>
      </c>
      <c r="G9" t="s">
        <v>1920</v>
      </c>
      <c r="H9" t="str">
        <f t="shared" si="3"/>
        <v>690</v>
      </c>
    </row>
    <row r="10" spans="1:8" x14ac:dyDescent="0.25">
      <c r="A10" t="s">
        <v>1909</v>
      </c>
      <c r="B10" s="2">
        <v>100</v>
      </c>
      <c r="C10" s="13">
        <f t="shared" ca="1" si="0"/>
        <v>88.9386106813796</v>
      </c>
      <c r="D10" s="12">
        <f t="shared" ca="1" si="1"/>
        <v>67</v>
      </c>
      <c r="F10" t="str">
        <f t="shared" si="2"/>
        <v xml:space="preserve">Mary Land </v>
      </c>
      <c r="G10" t="s">
        <v>1921</v>
      </c>
      <c r="H10" t="str">
        <f t="shared" si="3"/>
        <v>087</v>
      </c>
    </row>
    <row r="11" spans="1:8" x14ac:dyDescent="0.25">
      <c r="A11" t="s">
        <v>1909</v>
      </c>
      <c r="B11" s="2">
        <v>100</v>
      </c>
      <c r="C11" s="13">
        <f t="shared" ca="1" si="0"/>
        <v>99.464765972895549</v>
      </c>
      <c r="D11" s="12">
        <f t="shared" ca="1" si="1"/>
        <v>41</v>
      </c>
      <c r="F11" t="str">
        <f t="shared" si="2"/>
        <v xml:space="preserve">Ethiopia </v>
      </c>
      <c r="G11" t="s">
        <v>1922</v>
      </c>
      <c r="H11" t="str">
        <f t="shared" si="3"/>
        <v>190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718DC6-19D6-4B90-9C3B-6A94D8ED9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Estimates-on-the-use-of-water-(</vt:lpstr>
      <vt:lpstr>Global 2020 Report</vt:lpstr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Ndegwa</dc:creator>
  <cp:lastModifiedBy>Anthony</cp:lastModifiedBy>
  <dcterms:created xsi:type="dcterms:W3CDTF">2026-02-01T18:33:24Z</dcterms:created>
  <dcterms:modified xsi:type="dcterms:W3CDTF">2026-02-04T14:00:57Z</dcterms:modified>
</cp:coreProperties>
</file>