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"/>
    </mc:Choice>
  </mc:AlternateContent>
  <xr:revisionPtr revIDLastSave="0" documentId="13_ncr:1_{F7DA6EB0-B64B-4D5A-84A9-BD31EB73D0A6}" xr6:coauthVersionLast="47" xr6:coauthVersionMax="47" xr10:uidLastSave="{00000000-0000-0000-0000-000000000000}"/>
  <bookViews>
    <workbookView xWindow="-120" yWindow="-120" windowWidth="20730" windowHeight="11040" activeTab="3" xr2:uid="{4FD9C933-0A67-40A1-B92C-B06A3F5FE013}"/>
  </bookViews>
  <sheets>
    <sheet name="January" sheetId="1" r:id="rId1"/>
    <sheet name="February" sheetId="2" r:id="rId2"/>
    <sheet name="March" sheetId="3" r:id="rId3"/>
    <sheet name="Crates" sheetId="5" r:id="rId4"/>
  </sheets>
  <definedNames>
    <definedName name="_xlnm._FilterDatabase" localSheetId="0" hidden="1">January!$A$1:$AB$19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<sst xmlns="http://schemas.openxmlformats.org/spreadsheetml/2006/main" count="291" uniqueCount="63">
  <si>
    <t>DIST</t>
  </si>
  <si>
    <t>STEPHEN MACHARIA HITI (2274) - KABIRWA DEPOT</t>
  </si>
  <si>
    <t>MURANGA SALES</t>
  </si>
  <si>
    <t>SABA SABA 2</t>
  </si>
  <si>
    <t>KAMAMA  DEPOT -MURANGA (1778)</t>
  </si>
  <si>
    <t>MUMBI DEPOT (1693)</t>
  </si>
  <si>
    <t>MAKUYU NEW</t>
  </si>
  <si>
    <t xml:space="preserve">MURANGA </t>
  </si>
  <si>
    <t>MUKUYU SALES</t>
  </si>
  <si>
    <t>LUKA MUNYAO (6364)-KAYOLE  MACHIBINI - MUKUYU SALES</t>
  </si>
  <si>
    <t>MUKURWENI ROUTE</t>
  </si>
  <si>
    <t>KIRIANI 2</t>
  </si>
  <si>
    <t>KIRIANI 1</t>
  </si>
  <si>
    <t>MARAGWA ROUTE</t>
  </si>
  <si>
    <t>KANGEMA 2 DEPOT (2071)</t>
  </si>
  <si>
    <t>KANYANYA-INI DEPOT (1594)</t>
  </si>
  <si>
    <t xml:space="preserve">MARAGWA </t>
  </si>
  <si>
    <t>KABHATI 2</t>
  </si>
  <si>
    <t>KIRERE SALES</t>
  </si>
  <si>
    <t>KAMAHUHA  DEPOT (1837)</t>
  </si>
  <si>
    <t>KANGEMA SALES</t>
  </si>
  <si>
    <t>KAHUTI DEPOT</t>
  </si>
  <si>
    <t>KABATI KENOL</t>
  </si>
  <si>
    <t>ENDARASHA ROUTE</t>
  </si>
  <si>
    <t xml:space="preserve">SAGANA </t>
  </si>
  <si>
    <t>ROUTE</t>
  </si>
  <si>
    <t>CATEGORY</t>
  </si>
  <si>
    <t>CUSTOMER</t>
  </si>
  <si>
    <t>A/C</t>
  </si>
  <si>
    <t>JANUARY</t>
  </si>
  <si>
    <t>FEBRUARY</t>
  </si>
  <si>
    <t>MARCH</t>
  </si>
  <si>
    <t>CODE</t>
  </si>
  <si>
    <t xml:space="preserve"> NAME</t>
  </si>
  <si>
    <t>APRIL</t>
  </si>
  <si>
    <t>MAY</t>
  </si>
  <si>
    <t>FINAL AV.</t>
  </si>
  <si>
    <t>KABATI 2</t>
  </si>
  <si>
    <t>Block_Total</t>
  </si>
  <si>
    <t>Block_Avg</t>
  </si>
  <si>
    <t>Sliced_Total</t>
  </si>
  <si>
    <t>Sliced_Avg</t>
  </si>
  <si>
    <t>Brown_Total</t>
  </si>
  <si>
    <t>Brown_Avg</t>
  </si>
  <si>
    <t>OP_Total</t>
  </si>
  <si>
    <t>OP_Avg</t>
  </si>
  <si>
    <t>Fifty50Sliced_Total</t>
  </si>
  <si>
    <t>Fifty50Sliced_Avg</t>
  </si>
  <si>
    <t>FourSquare_Total</t>
  </si>
  <si>
    <t>FourSquare_Avg</t>
  </si>
  <si>
    <t>200G_Total</t>
  </si>
  <si>
    <t>200G_Avg</t>
  </si>
  <si>
    <t>600G_Total</t>
  </si>
  <si>
    <t>600G_Avg</t>
  </si>
  <si>
    <t>800G_Total</t>
  </si>
  <si>
    <t>800G_Avg</t>
  </si>
  <si>
    <t>Mando_Total</t>
  </si>
  <si>
    <t>Mando_Avg</t>
  </si>
  <si>
    <t>Maicho_Total</t>
  </si>
  <si>
    <t>Maicho_Avg</t>
  </si>
  <si>
    <t>FamilyP_Total</t>
  </si>
  <si>
    <t>FamilyP_Avg</t>
  </si>
  <si>
    <t>MARTIN MUTEMBEI KINYUA - (2273)- REVELATION DEPOT, NAKURU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</si>
</sst>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7B53-E73D-43CA-8C68-86022A49244D}">
  <dimension ref="A1:AB19"/>
  <sheetViews>
    <sheetView zoomScale="80" zoomScaleNormal="80" workbookViewId="0">
      <selection activeCell="D20" sqref="D20"/>
    </sheetView>
  </sheetViews>
  <sheetFormatPr defaultRowHeight="15" x14ac:dyDescent="0.25"/>
  <cols>
    <col min="1" max="1" width="9.42578125" customWidth="1"/>
    <col min="2" max="2" width="49.85546875" customWidth="1"/>
    <col min="3" max="4" width="9.42578125" customWidth="1"/>
    <col min="5" max="5" width="12.28515625" bestFit="1" customWidth="1"/>
    <col min="6" max="6" width="11" bestFit="1" customWidth="1"/>
    <col min="7" max="7" width="12.7109375" bestFit="1" customWidth="1"/>
    <col min="8" max="8" width="11.42578125" bestFit="1" customWidth="1"/>
    <col min="9" max="9" width="13" bestFit="1" customWidth="1"/>
    <col min="10" max="10" width="11.7109375" customWidth="1"/>
    <col min="11" max="11" width="10" bestFit="1" customWidth="1"/>
    <col min="12" max="12" width="9.42578125" customWidth="1"/>
    <col min="13" max="13" width="19.42578125" bestFit="1" customWidth="1"/>
    <col min="14" max="15" width="18" bestFit="1" customWidth="1"/>
    <col min="16" max="16" width="16.7109375" bestFit="1" customWidth="1"/>
    <col min="17" max="17" width="11.7109375" bestFit="1" customWidth="1"/>
    <col min="18" max="18" width="10.5703125" bestFit="1" customWidth="1"/>
    <col min="19" max="19" width="11.7109375" bestFit="1" customWidth="1"/>
    <col min="20" max="20" width="10.5703125" bestFit="1" customWidth="1"/>
    <col min="21" max="21" width="11.7109375" bestFit="1" customWidth="1"/>
    <col min="22" max="22" width="10.5703125" bestFit="1" customWidth="1"/>
    <col min="23" max="23" width="13.140625" bestFit="1" customWidth="1"/>
    <col min="24" max="24" width="12.140625" customWidth="1"/>
    <col min="25" max="25" width="14.28515625" customWidth="1"/>
    <col min="26" max="26" width="12.42578125" customWidth="1"/>
    <col min="27" max="27" width="14.85546875" bestFit="1" customWidth="1"/>
    <col min="28" max="28" width="13.42578125" bestFit="1" customWidth="1"/>
  </cols>
  <sheetData>
    <row r="1" spans="1:28" s="2" customFormat="1" ht="12.75" x14ac:dyDescent="0.2">
      <c r="A1" s="2" t="s">
        <v>28</v>
      </c>
      <c r="B1" s="2" t="s">
        <v>27</v>
      </c>
      <c r="C1" s="2" t="s">
        <v>26</v>
      </c>
      <c r="D1" s="2" t="s">
        <v>25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</row>
    <row r="2" spans="1:28" x14ac:dyDescent="0.25">
      <c r="A2">
        <v>120</v>
      </c>
      <c r="B2" t="s">
        <v>7</v>
      </c>
      <c r="C2" t="s">
        <v>0</v>
      </c>
      <c r="D2" t="s">
        <v>2</v>
      </c>
      <c r="E2">
        <f>F2*31</f>
        <v>0</v>
      </c>
      <c r="F2" s="1">
        <v>0</v>
      </c>
      <c r="G2" s="1">
        <f>H2*31</f>
        <v>6510</v>
      </c>
      <c r="H2" s="1">
        <v>210</v>
      </c>
      <c r="I2" s="1">
        <f>J2*31</f>
        <v>3300</v>
      </c>
      <c r="J2" s="1">
        <v>106.45161290322581</v>
      </c>
      <c r="K2" s="1">
        <f>L2*31</f>
        <v>435</v>
      </c>
      <c r="L2" s="1">
        <v>14.03225806451613</v>
      </c>
      <c r="M2" s="1">
        <f>N2*31</f>
        <v>0</v>
      </c>
      <c r="N2" s="1">
        <v>0</v>
      </c>
      <c r="O2" s="1">
        <f>P2*31</f>
        <v>405</v>
      </c>
      <c r="P2" s="1">
        <v>13.064516129032258</v>
      </c>
      <c r="Q2" s="1">
        <f>R2*31</f>
        <v>6024</v>
      </c>
      <c r="R2" s="1">
        <v>194.32258064516128</v>
      </c>
      <c r="S2" s="1">
        <f>T2*31</f>
        <v>791</v>
      </c>
      <c r="T2" s="1">
        <v>25.516129032258064</v>
      </c>
      <c r="U2" s="1">
        <f>V2*31</f>
        <v>168</v>
      </c>
      <c r="V2" s="1">
        <v>5.419354838709677</v>
      </c>
      <c r="W2" s="1">
        <f>X2*31</f>
        <v>20</v>
      </c>
      <c r="X2" s="1">
        <v>0.64516129032258063</v>
      </c>
      <c r="Y2" s="1">
        <f>Z2*31</f>
        <v>0</v>
      </c>
      <c r="Z2" s="1">
        <v>0</v>
      </c>
      <c r="AA2" s="1">
        <f>AB2*31</f>
        <v>0</v>
      </c>
      <c r="AB2" s="1">
        <v>0</v>
      </c>
    </row>
    <row r="3" spans="1:28" x14ac:dyDescent="0.25">
      <c r="A3">
        <v>241</v>
      </c>
      <c r="B3" t="s">
        <v>12</v>
      </c>
      <c r="C3" t="s">
        <v>0</v>
      </c>
      <c r="D3" t="s">
        <v>10</v>
      </c>
      <c r="E3">
        <f t="shared" ref="E3:E19" si="0">F3*31</f>
        <v>0</v>
      </c>
      <c r="F3" s="1">
        <v>0</v>
      </c>
      <c r="G3" s="1">
        <f t="shared" ref="G3:G19" si="1">H3*31</f>
        <v>3885</v>
      </c>
      <c r="H3" s="1">
        <v>125.3225806451613</v>
      </c>
      <c r="I3" s="1">
        <f t="shared" ref="I3:I19" si="2">J3*31</f>
        <v>1590</v>
      </c>
      <c r="J3" s="1">
        <v>51.29032258064516</v>
      </c>
      <c r="K3" s="1">
        <f t="shared" ref="K3:K19" si="3">L3*31</f>
        <v>825</v>
      </c>
      <c r="L3" s="1">
        <v>26.612903225806452</v>
      </c>
      <c r="M3" s="1">
        <f t="shared" ref="M3:M19" si="4">N3*31</f>
        <v>0</v>
      </c>
      <c r="N3" s="1">
        <v>0</v>
      </c>
      <c r="O3" s="1">
        <f t="shared" ref="O3:O19" si="5">P3*31</f>
        <v>465</v>
      </c>
      <c r="P3" s="1">
        <v>15</v>
      </c>
      <c r="Q3" s="1">
        <f t="shared" ref="Q3:Q19" si="6">R3*31</f>
        <v>2232</v>
      </c>
      <c r="R3" s="1">
        <v>72</v>
      </c>
      <c r="S3" s="1">
        <f t="shared" ref="S3:S19" si="7">T3*31</f>
        <v>21</v>
      </c>
      <c r="T3" s="1">
        <v>0.67741935483870963</v>
      </c>
      <c r="U3" s="1">
        <f t="shared" ref="U3:U19" si="8">V3*31</f>
        <v>72</v>
      </c>
      <c r="V3" s="1">
        <v>2.3225806451612905</v>
      </c>
      <c r="W3" s="1">
        <f t="shared" ref="W3:W19" si="9">X3*31</f>
        <v>0</v>
      </c>
      <c r="X3" s="1">
        <v>0</v>
      </c>
      <c r="Y3" s="1">
        <f t="shared" ref="Y3:Y19" si="10">Z3*31</f>
        <v>0</v>
      </c>
      <c r="Z3" s="1">
        <v>0</v>
      </c>
      <c r="AA3" s="1">
        <f t="shared" ref="AA3:AA19" si="11">AB3*31</f>
        <v>0</v>
      </c>
      <c r="AB3" s="1">
        <v>0</v>
      </c>
    </row>
    <row r="4" spans="1:28" x14ac:dyDescent="0.25">
      <c r="A4">
        <v>299</v>
      </c>
      <c r="B4" t="s">
        <v>17</v>
      </c>
      <c r="C4" t="s">
        <v>0</v>
      </c>
      <c r="D4" t="s">
        <v>13</v>
      </c>
      <c r="E4">
        <f t="shared" si="0"/>
        <v>0</v>
      </c>
      <c r="F4" s="1">
        <v>0</v>
      </c>
      <c r="G4" s="1">
        <f t="shared" si="1"/>
        <v>3630</v>
      </c>
      <c r="H4" s="1">
        <v>117.09677419354838</v>
      </c>
      <c r="I4" s="1">
        <f t="shared" si="2"/>
        <v>1365</v>
      </c>
      <c r="J4" s="1">
        <v>44.032258064516128</v>
      </c>
      <c r="K4" s="1">
        <f t="shared" si="3"/>
        <v>720</v>
      </c>
      <c r="L4" s="1">
        <v>23.225806451612904</v>
      </c>
      <c r="M4" s="1">
        <f t="shared" si="4"/>
        <v>0</v>
      </c>
      <c r="N4" s="1">
        <v>0</v>
      </c>
      <c r="O4" s="1">
        <f t="shared" si="5"/>
        <v>1320</v>
      </c>
      <c r="P4" s="1">
        <v>42.58064516129032</v>
      </c>
      <c r="Q4" s="1">
        <f t="shared" si="6"/>
        <v>5448</v>
      </c>
      <c r="R4" s="1">
        <v>175.74193548387098</v>
      </c>
      <c r="S4" s="1">
        <f t="shared" si="7"/>
        <v>296</v>
      </c>
      <c r="T4" s="1">
        <v>9.5483870967741939</v>
      </c>
      <c r="U4" s="1">
        <f t="shared" si="8"/>
        <v>180</v>
      </c>
      <c r="V4" s="1">
        <v>5.806451612903226</v>
      </c>
      <c r="W4" s="1">
        <f t="shared" si="9"/>
        <v>0</v>
      </c>
      <c r="X4" s="1">
        <v>0</v>
      </c>
      <c r="Y4" s="1">
        <f t="shared" si="10"/>
        <v>0</v>
      </c>
      <c r="Z4" s="1">
        <v>0</v>
      </c>
      <c r="AA4" s="1">
        <f t="shared" si="11"/>
        <v>0</v>
      </c>
      <c r="AB4" s="1">
        <v>0</v>
      </c>
    </row>
    <row r="5" spans="1:28" x14ac:dyDescent="0.25">
      <c r="A5">
        <v>479</v>
      </c>
      <c r="B5" t="s">
        <v>16</v>
      </c>
      <c r="C5" t="s">
        <v>0</v>
      </c>
      <c r="D5" t="s">
        <v>13</v>
      </c>
      <c r="E5">
        <f t="shared" si="0"/>
        <v>450</v>
      </c>
      <c r="F5" s="1">
        <v>14.516129032258064</v>
      </c>
      <c r="G5" s="1">
        <f t="shared" si="1"/>
        <v>3195</v>
      </c>
      <c r="H5" s="1">
        <v>103.06451612903226</v>
      </c>
      <c r="I5" s="1">
        <f t="shared" si="2"/>
        <v>1260</v>
      </c>
      <c r="J5" s="1">
        <v>40.645161290322584</v>
      </c>
      <c r="K5" s="1">
        <f t="shared" si="3"/>
        <v>0</v>
      </c>
      <c r="L5" s="1">
        <v>0</v>
      </c>
      <c r="M5" s="1">
        <f t="shared" si="4"/>
        <v>0</v>
      </c>
      <c r="N5" s="1">
        <v>0</v>
      </c>
      <c r="O5" s="1">
        <f t="shared" si="5"/>
        <v>345</v>
      </c>
      <c r="P5" s="1">
        <v>11.129032258064516</v>
      </c>
      <c r="Q5" s="1">
        <f t="shared" si="6"/>
        <v>3504</v>
      </c>
      <c r="R5" s="1">
        <v>113.03225806451613</v>
      </c>
      <c r="S5" s="1">
        <f t="shared" si="7"/>
        <v>525</v>
      </c>
      <c r="T5" s="1">
        <v>16.93548387096774</v>
      </c>
      <c r="U5" s="1">
        <f t="shared" si="8"/>
        <v>96</v>
      </c>
      <c r="V5" s="1">
        <v>3.096774193548387</v>
      </c>
      <c r="W5" s="1">
        <f t="shared" si="9"/>
        <v>0</v>
      </c>
      <c r="X5" s="1">
        <v>0</v>
      </c>
      <c r="Y5" s="1">
        <f t="shared" si="10"/>
        <v>0</v>
      </c>
      <c r="Z5" s="1">
        <v>0</v>
      </c>
      <c r="AA5" s="1">
        <f t="shared" si="11"/>
        <v>0</v>
      </c>
      <c r="AB5" s="1">
        <v>0</v>
      </c>
    </row>
    <row r="6" spans="1:28" x14ac:dyDescent="0.25">
      <c r="A6">
        <v>680</v>
      </c>
      <c r="B6" t="s">
        <v>6</v>
      </c>
      <c r="C6" t="s">
        <v>0</v>
      </c>
      <c r="D6" t="s">
        <v>2</v>
      </c>
      <c r="E6">
        <f t="shared" si="0"/>
        <v>345</v>
      </c>
      <c r="F6" s="1">
        <v>11.129032258064516</v>
      </c>
      <c r="G6" s="1">
        <f t="shared" si="1"/>
        <v>8460</v>
      </c>
      <c r="H6" s="1">
        <v>272.90322580645159</v>
      </c>
      <c r="I6" s="1">
        <f t="shared" si="2"/>
        <v>3510</v>
      </c>
      <c r="J6" s="1">
        <v>113.2258064516129</v>
      </c>
      <c r="K6" s="1">
        <f t="shared" si="3"/>
        <v>255.00000000000003</v>
      </c>
      <c r="L6" s="1">
        <v>8.2258064516129039</v>
      </c>
      <c r="M6" s="1">
        <f t="shared" si="4"/>
        <v>0</v>
      </c>
      <c r="N6" s="1">
        <v>0</v>
      </c>
      <c r="O6" s="1">
        <f t="shared" si="5"/>
        <v>0</v>
      </c>
      <c r="P6" s="1">
        <v>0</v>
      </c>
      <c r="Q6" s="1">
        <f t="shared" si="6"/>
        <v>10056</v>
      </c>
      <c r="R6" s="1">
        <v>324.38709677419354</v>
      </c>
      <c r="S6" s="1">
        <f t="shared" si="7"/>
        <v>357</v>
      </c>
      <c r="T6" s="1">
        <v>11.516129032258064</v>
      </c>
      <c r="U6" s="1">
        <f t="shared" si="8"/>
        <v>360</v>
      </c>
      <c r="V6" s="1">
        <v>11.612903225806452</v>
      </c>
      <c r="W6" s="1">
        <f t="shared" si="9"/>
        <v>0</v>
      </c>
      <c r="X6" s="1">
        <v>0</v>
      </c>
      <c r="Y6" s="1">
        <f t="shared" si="10"/>
        <v>0</v>
      </c>
      <c r="Z6" s="1">
        <v>0</v>
      </c>
      <c r="AA6" s="1">
        <f t="shared" si="11"/>
        <v>0</v>
      </c>
      <c r="AB6" s="1">
        <v>0</v>
      </c>
    </row>
    <row r="7" spans="1:28" x14ac:dyDescent="0.25">
      <c r="A7">
        <v>682</v>
      </c>
      <c r="B7" t="s">
        <v>11</v>
      </c>
      <c r="C7" t="s">
        <v>0</v>
      </c>
      <c r="D7" t="s">
        <v>10</v>
      </c>
      <c r="E7">
        <f t="shared" si="0"/>
        <v>0</v>
      </c>
      <c r="F7" s="1">
        <v>0</v>
      </c>
      <c r="G7" s="1">
        <f t="shared" si="1"/>
        <v>3510</v>
      </c>
      <c r="H7" s="1">
        <v>113.2258064516129</v>
      </c>
      <c r="I7" s="1">
        <f t="shared" si="2"/>
        <v>1680</v>
      </c>
      <c r="J7" s="1">
        <v>54.193548387096776</v>
      </c>
      <c r="K7" s="1">
        <f t="shared" si="3"/>
        <v>870</v>
      </c>
      <c r="L7" s="1">
        <v>28.06451612903226</v>
      </c>
      <c r="M7" s="1">
        <f t="shared" si="4"/>
        <v>0</v>
      </c>
      <c r="N7" s="1">
        <v>0</v>
      </c>
      <c r="O7" s="1">
        <f t="shared" si="5"/>
        <v>465</v>
      </c>
      <c r="P7" s="1">
        <v>15</v>
      </c>
      <c r="Q7" s="1">
        <f t="shared" si="6"/>
        <v>2304</v>
      </c>
      <c r="R7" s="1">
        <v>74.322580645161295</v>
      </c>
      <c r="S7" s="1">
        <f t="shared" si="7"/>
        <v>0</v>
      </c>
      <c r="T7" s="1">
        <v>0</v>
      </c>
      <c r="U7" s="1">
        <f t="shared" si="8"/>
        <v>72</v>
      </c>
      <c r="V7" s="1">
        <v>2.3225806451612905</v>
      </c>
      <c r="W7" s="1">
        <f t="shared" si="9"/>
        <v>0</v>
      </c>
      <c r="X7" s="1">
        <v>0</v>
      </c>
      <c r="Y7" s="1">
        <f t="shared" si="10"/>
        <v>0</v>
      </c>
      <c r="Z7" s="1">
        <v>0</v>
      </c>
      <c r="AA7" s="1">
        <f t="shared" si="11"/>
        <v>0</v>
      </c>
      <c r="AB7" s="1">
        <v>0</v>
      </c>
    </row>
    <row r="8" spans="1:28" x14ac:dyDescent="0.25">
      <c r="A8">
        <v>795</v>
      </c>
      <c r="B8" t="s">
        <v>22</v>
      </c>
      <c r="C8" t="s">
        <v>0</v>
      </c>
      <c r="D8" t="s">
        <v>20</v>
      </c>
      <c r="E8">
        <f t="shared" si="0"/>
        <v>0</v>
      </c>
      <c r="F8" s="1">
        <v>0</v>
      </c>
      <c r="G8" s="1">
        <f t="shared" si="1"/>
        <v>8850</v>
      </c>
      <c r="H8" s="1">
        <v>285.48387096774195</v>
      </c>
      <c r="I8" s="1">
        <f t="shared" si="2"/>
        <v>2835</v>
      </c>
      <c r="J8" s="1">
        <v>91.451612903225808</v>
      </c>
      <c r="K8" s="1">
        <f t="shared" si="3"/>
        <v>210</v>
      </c>
      <c r="L8" s="1">
        <v>6.774193548387097</v>
      </c>
      <c r="M8" s="1">
        <f t="shared" si="4"/>
        <v>0</v>
      </c>
      <c r="N8" s="1">
        <v>0</v>
      </c>
      <c r="O8" s="1">
        <f t="shared" si="5"/>
        <v>0</v>
      </c>
      <c r="P8" s="1">
        <v>0</v>
      </c>
      <c r="Q8" s="1">
        <f t="shared" si="6"/>
        <v>9216</v>
      </c>
      <c r="R8" s="1">
        <v>297.29032258064518</v>
      </c>
      <c r="S8" s="1">
        <f t="shared" si="7"/>
        <v>707</v>
      </c>
      <c r="T8" s="1">
        <v>22.806451612903224</v>
      </c>
      <c r="U8" s="1">
        <f t="shared" si="8"/>
        <v>288</v>
      </c>
      <c r="V8" s="1">
        <v>9.2903225806451619</v>
      </c>
      <c r="W8" s="1">
        <f t="shared" si="9"/>
        <v>0</v>
      </c>
      <c r="X8" s="1">
        <v>0</v>
      </c>
      <c r="Y8" s="1">
        <f t="shared" si="10"/>
        <v>0</v>
      </c>
      <c r="Z8" s="1">
        <v>0</v>
      </c>
      <c r="AA8" s="1">
        <f t="shared" si="11"/>
        <v>0</v>
      </c>
      <c r="AB8" s="1">
        <v>0</v>
      </c>
    </row>
    <row r="9" spans="1:28" x14ac:dyDescent="0.25">
      <c r="A9">
        <v>982</v>
      </c>
      <c r="B9" t="s">
        <v>6</v>
      </c>
      <c r="C9" t="s">
        <v>0</v>
      </c>
      <c r="D9" t="s">
        <v>8</v>
      </c>
      <c r="E9">
        <f t="shared" si="0"/>
        <v>0</v>
      </c>
      <c r="F9" s="1">
        <v>0</v>
      </c>
      <c r="G9" s="1">
        <f t="shared" si="1"/>
        <v>5790</v>
      </c>
      <c r="H9" s="1">
        <v>186.7741935483871</v>
      </c>
      <c r="I9" s="1">
        <f t="shared" si="2"/>
        <v>1395</v>
      </c>
      <c r="J9" s="1">
        <v>45</v>
      </c>
      <c r="K9" s="1">
        <f t="shared" si="3"/>
        <v>1335</v>
      </c>
      <c r="L9" s="1">
        <v>43.064516129032256</v>
      </c>
      <c r="M9" s="1">
        <f t="shared" si="4"/>
        <v>0</v>
      </c>
      <c r="N9" s="1">
        <v>0</v>
      </c>
      <c r="O9" s="1">
        <f t="shared" si="5"/>
        <v>0</v>
      </c>
      <c r="P9" s="1">
        <v>0</v>
      </c>
      <c r="Q9" s="1">
        <f t="shared" si="6"/>
        <v>5928</v>
      </c>
      <c r="R9" s="1">
        <v>191.2258064516129</v>
      </c>
      <c r="S9" s="1">
        <f t="shared" si="7"/>
        <v>1792</v>
      </c>
      <c r="T9" s="1">
        <v>57.806451612903224</v>
      </c>
      <c r="U9" s="1">
        <f t="shared" si="8"/>
        <v>192</v>
      </c>
      <c r="V9" s="1">
        <v>6.193548387096774</v>
      </c>
      <c r="W9" s="1">
        <f t="shared" si="9"/>
        <v>0</v>
      </c>
      <c r="X9" s="1">
        <v>0</v>
      </c>
      <c r="Y9" s="1">
        <f t="shared" si="10"/>
        <v>0</v>
      </c>
      <c r="Z9" s="1">
        <v>0</v>
      </c>
      <c r="AA9" s="1">
        <f t="shared" si="11"/>
        <v>0</v>
      </c>
      <c r="AB9" s="1">
        <v>0</v>
      </c>
    </row>
    <row r="10" spans="1:28" x14ac:dyDescent="0.25">
      <c r="A10">
        <v>1594</v>
      </c>
      <c r="B10" t="s">
        <v>15</v>
      </c>
      <c r="C10" t="s">
        <v>0</v>
      </c>
      <c r="D10" t="s">
        <v>13</v>
      </c>
      <c r="E10">
        <f t="shared" si="0"/>
        <v>15</v>
      </c>
      <c r="F10" s="1">
        <v>0.4838709677419355</v>
      </c>
      <c r="G10" s="1">
        <f t="shared" si="1"/>
        <v>13125</v>
      </c>
      <c r="H10" s="1">
        <v>423.38709677419354</v>
      </c>
      <c r="I10" s="1">
        <f t="shared" si="2"/>
        <v>4620</v>
      </c>
      <c r="J10" s="1">
        <v>149.03225806451613</v>
      </c>
      <c r="K10" s="1">
        <f t="shared" si="3"/>
        <v>705</v>
      </c>
      <c r="L10" s="1">
        <v>22.741935483870968</v>
      </c>
      <c r="M10" s="1">
        <f t="shared" si="4"/>
        <v>0</v>
      </c>
      <c r="N10" s="1">
        <v>0</v>
      </c>
      <c r="O10" s="1">
        <f t="shared" si="5"/>
        <v>1230</v>
      </c>
      <c r="P10" s="1">
        <v>39.677419354838712</v>
      </c>
      <c r="Q10" s="1">
        <f t="shared" si="6"/>
        <v>21408</v>
      </c>
      <c r="R10" s="1">
        <v>690.58064516129036</v>
      </c>
      <c r="S10" s="1">
        <f t="shared" si="7"/>
        <v>3080</v>
      </c>
      <c r="T10" s="1">
        <v>99.354838709677423</v>
      </c>
      <c r="U10" s="1">
        <f t="shared" si="8"/>
        <v>624</v>
      </c>
      <c r="V10" s="1">
        <v>20.129032258064516</v>
      </c>
      <c r="W10" s="1">
        <f t="shared" si="9"/>
        <v>0</v>
      </c>
      <c r="X10" s="1">
        <v>0</v>
      </c>
      <c r="Y10" s="1">
        <f t="shared" si="10"/>
        <v>0</v>
      </c>
      <c r="Z10" s="1">
        <v>0</v>
      </c>
      <c r="AA10" s="1">
        <f t="shared" si="11"/>
        <v>0</v>
      </c>
      <c r="AB10" s="1">
        <v>0</v>
      </c>
    </row>
    <row r="11" spans="1:28" x14ac:dyDescent="0.25">
      <c r="A11">
        <v>1693</v>
      </c>
      <c r="B11" t="s">
        <v>5</v>
      </c>
      <c r="C11" t="s">
        <v>0</v>
      </c>
      <c r="D11" t="s">
        <v>2</v>
      </c>
      <c r="E11">
        <f t="shared" si="0"/>
        <v>0</v>
      </c>
      <c r="F11" s="1">
        <v>0</v>
      </c>
      <c r="G11" s="1">
        <f t="shared" si="1"/>
        <v>4575</v>
      </c>
      <c r="H11" s="1">
        <v>147.58064516129033</v>
      </c>
      <c r="I11" s="1">
        <f t="shared" si="2"/>
        <v>990</v>
      </c>
      <c r="J11" s="1">
        <v>31.93548387096774</v>
      </c>
      <c r="K11" s="1">
        <f t="shared" si="3"/>
        <v>420</v>
      </c>
      <c r="L11" s="1">
        <v>13.548387096774194</v>
      </c>
      <c r="M11" s="1">
        <f t="shared" si="4"/>
        <v>0</v>
      </c>
      <c r="N11" s="1">
        <v>0</v>
      </c>
      <c r="O11" s="1">
        <f t="shared" si="5"/>
        <v>0</v>
      </c>
      <c r="P11" s="1">
        <v>0</v>
      </c>
      <c r="Q11" s="1">
        <f t="shared" si="6"/>
        <v>2400</v>
      </c>
      <c r="R11" s="1">
        <v>77.41935483870968</v>
      </c>
      <c r="S11" s="1">
        <f t="shared" si="7"/>
        <v>63</v>
      </c>
      <c r="T11" s="1">
        <v>2.032258064516129</v>
      </c>
      <c r="U11" s="1">
        <f t="shared" si="8"/>
        <v>72</v>
      </c>
      <c r="V11" s="1">
        <v>2.3225806451612905</v>
      </c>
      <c r="W11" s="1">
        <f t="shared" si="9"/>
        <v>10</v>
      </c>
      <c r="X11" s="1">
        <v>0.32258064516129031</v>
      </c>
      <c r="Y11" s="1">
        <f t="shared" si="10"/>
        <v>0</v>
      </c>
      <c r="Z11" s="1">
        <v>0</v>
      </c>
      <c r="AA11" s="1">
        <f t="shared" si="11"/>
        <v>60</v>
      </c>
      <c r="AB11" s="1">
        <v>1.935483870967742</v>
      </c>
    </row>
    <row r="12" spans="1:28" x14ac:dyDescent="0.25">
      <c r="A12">
        <v>1778</v>
      </c>
      <c r="B12" t="s">
        <v>4</v>
      </c>
      <c r="C12" t="s">
        <v>0</v>
      </c>
      <c r="D12" t="s">
        <v>2</v>
      </c>
      <c r="E12">
        <f t="shared" si="0"/>
        <v>0</v>
      </c>
      <c r="F12" s="1">
        <v>0</v>
      </c>
      <c r="G12" s="1">
        <f t="shared" si="1"/>
        <v>4920</v>
      </c>
      <c r="H12" s="1">
        <v>158.70967741935485</v>
      </c>
      <c r="I12" s="1">
        <f t="shared" si="2"/>
        <v>1365</v>
      </c>
      <c r="J12" s="1">
        <v>44.032258064516128</v>
      </c>
      <c r="K12" s="1">
        <f t="shared" si="3"/>
        <v>435</v>
      </c>
      <c r="L12" s="1">
        <v>14.03225806451613</v>
      </c>
      <c r="M12" s="1">
        <f t="shared" si="4"/>
        <v>0</v>
      </c>
      <c r="N12" s="1">
        <v>0</v>
      </c>
      <c r="O12" s="1">
        <f t="shared" si="5"/>
        <v>120</v>
      </c>
      <c r="P12" s="1">
        <v>3.870967741935484</v>
      </c>
      <c r="Q12" s="1">
        <f t="shared" si="6"/>
        <v>120</v>
      </c>
      <c r="R12" s="1">
        <v>3.870967741935484</v>
      </c>
      <c r="S12" s="1">
        <f t="shared" si="7"/>
        <v>0</v>
      </c>
      <c r="T12" s="1">
        <v>0</v>
      </c>
      <c r="U12" s="1">
        <f t="shared" si="8"/>
        <v>0</v>
      </c>
      <c r="V12" s="1">
        <v>0</v>
      </c>
      <c r="W12" s="1">
        <f t="shared" si="9"/>
        <v>0</v>
      </c>
      <c r="X12" s="1">
        <v>0</v>
      </c>
      <c r="Y12" s="1">
        <f t="shared" si="10"/>
        <v>0</v>
      </c>
      <c r="Z12" s="1">
        <v>0</v>
      </c>
      <c r="AA12" s="1">
        <f t="shared" si="11"/>
        <v>0</v>
      </c>
      <c r="AB12" s="1">
        <v>0</v>
      </c>
    </row>
    <row r="13" spans="1:28" x14ac:dyDescent="0.25">
      <c r="A13">
        <v>1837</v>
      </c>
      <c r="B13" t="s">
        <v>19</v>
      </c>
      <c r="C13" t="s">
        <v>0</v>
      </c>
      <c r="D13" t="s">
        <v>18</v>
      </c>
      <c r="E13">
        <f t="shared" si="0"/>
        <v>0</v>
      </c>
      <c r="F13" s="1">
        <v>0</v>
      </c>
      <c r="G13" s="1">
        <f t="shared" si="1"/>
        <v>2295</v>
      </c>
      <c r="H13" s="1">
        <v>74.032258064516128</v>
      </c>
      <c r="I13" s="1">
        <f t="shared" si="2"/>
        <v>1545</v>
      </c>
      <c r="J13" s="1">
        <v>49.838709677419352</v>
      </c>
      <c r="K13" s="1">
        <f t="shared" si="3"/>
        <v>0</v>
      </c>
      <c r="L13" s="1">
        <v>0</v>
      </c>
      <c r="M13" s="1">
        <f t="shared" si="4"/>
        <v>0</v>
      </c>
      <c r="N13" s="1">
        <v>0</v>
      </c>
      <c r="O13" s="1">
        <f t="shared" si="5"/>
        <v>0</v>
      </c>
      <c r="P13" s="1">
        <v>0</v>
      </c>
      <c r="Q13" s="1">
        <f t="shared" si="6"/>
        <v>1752</v>
      </c>
      <c r="R13" s="1">
        <v>56.516129032258064</v>
      </c>
      <c r="S13" s="1">
        <f t="shared" si="7"/>
        <v>1380</v>
      </c>
      <c r="T13" s="1">
        <v>44.516129032258064</v>
      </c>
      <c r="U13" s="1">
        <f t="shared" si="8"/>
        <v>60</v>
      </c>
      <c r="V13" s="1">
        <v>1.935483870967742</v>
      </c>
      <c r="W13" s="1">
        <f t="shared" si="9"/>
        <v>0</v>
      </c>
      <c r="X13" s="1">
        <v>0</v>
      </c>
      <c r="Y13" s="1">
        <f t="shared" si="10"/>
        <v>0</v>
      </c>
      <c r="Z13" s="1">
        <v>0</v>
      </c>
      <c r="AA13" s="1">
        <f t="shared" si="11"/>
        <v>0</v>
      </c>
      <c r="AB13" s="1">
        <v>0</v>
      </c>
    </row>
    <row r="14" spans="1:28" x14ac:dyDescent="0.25">
      <c r="A14">
        <v>1979</v>
      </c>
      <c r="B14" t="s">
        <v>24</v>
      </c>
      <c r="C14" t="s">
        <v>0</v>
      </c>
      <c r="D14" t="s">
        <v>23</v>
      </c>
      <c r="E14">
        <f t="shared" si="0"/>
        <v>0</v>
      </c>
      <c r="F14" s="1">
        <v>0</v>
      </c>
      <c r="G14" s="1">
        <f t="shared" si="1"/>
        <v>6000</v>
      </c>
      <c r="H14" s="1">
        <v>193.54838709677421</v>
      </c>
      <c r="I14" s="1">
        <f t="shared" si="2"/>
        <v>1830</v>
      </c>
      <c r="J14" s="1">
        <v>59.032258064516128</v>
      </c>
      <c r="K14" s="1">
        <f t="shared" si="3"/>
        <v>615</v>
      </c>
      <c r="L14" s="1">
        <v>19.838709677419356</v>
      </c>
      <c r="M14" s="1">
        <f t="shared" si="4"/>
        <v>0</v>
      </c>
      <c r="N14" s="1">
        <v>0</v>
      </c>
      <c r="O14" s="1">
        <f t="shared" si="5"/>
        <v>0</v>
      </c>
      <c r="P14" s="1">
        <v>0</v>
      </c>
      <c r="Q14" s="1">
        <f t="shared" si="6"/>
        <v>5712</v>
      </c>
      <c r="R14" s="1">
        <v>184.25806451612902</v>
      </c>
      <c r="S14" s="1">
        <f t="shared" si="7"/>
        <v>0</v>
      </c>
      <c r="T14" s="1">
        <v>0</v>
      </c>
      <c r="U14" s="1">
        <f t="shared" si="8"/>
        <v>192</v>
      </c>
      <c r="V14" s="1">
        <v>6.193548387096774</v>
      </c>
      <c r="W14" s="1">
        <f t="shared" si="9"/>
        <v>0</v>
      </c>
      <c r="X14" s="1">
        <v>0</v>
      </c>
      <c r="Y14" s="1">
        <f t="shared" si="10"/>
        <v>0</v>
      </c>
      <c r="Z14" s="1">
        <v>0</v>
      </c>
      <c r="AA14" s="1">
        <f t="shared" si="11"/>
        <v>0</v>
      </c>
      <c r="AB14" s="1">
        <v>0</v>
      </c>
    </row>
    <row r="15" spans="1:28" x14ac:dyDescent="0.25">
      <c r="A15">
        <v>2071</v>
      </c>
      <c r="B15" t="s">
        <v>14</v>
      </c>
      <c r="C15" t="s">
        <v>0</v>
      </c>
      <c r="D15" t="s">
        <v>13</v>
      </c>
      <c r="E15">
        <f t="shared" si="0"/>
        <v>0</v>
      </c>
      <c r="F15" s="1">
        <v>0</v>
      </c>
      <c r="G15" s="1">
        <f t="shared" si="1"/>
        <v>2625</v>
      </c>
      <c r="H15" s="1">
        <v>84.677419354838705</v>
      </c>
      <c r="I15" s="1">
        <f t="shared" si="2"/>
        <v>825</v>
      </c>
      <c r="J15" s="1">
        <v>26.612903225806452</v>
      </c>
      <c r="K15" s="1">
        <f t="shared" si="3"/>
        <v>0</v>
      </c>
      <c r="L15" s="1">
        <v>0</v>
      </c>
      <c r="M15" s="1">
        <f t="shared" si="4"/>
        <v>0</v>
      </c>
      <c r="N15" s="1">
        <v>0</v>
      </c>
      <c r="O15" s="1">
        <f t="shared" si="5"/>
        <v>195</v>
      </c>
      <c r="P15" s="1">
        <v>6.290322580645161</v>
      </c>
      <c r="Q15" s="1">
        <f t="shared" si="6"/>
        <v>4800</v>
      </c>
      <c r="R15" s="1">
        <v>154.83870967741936</v>
      </c>
      <c r="S15" s="1">
        <f t="shared" si="7"/>
        <v>299</v>
      </c>
      <c r="T15" s="1">
        <v>9.6451612903225801</v>
      </c>
      <c r="U15" s="1">
        <f t="shared" si="8"/>
        <v>168</v>
      </c>
      <c r="V15" s="1">
        <v>5.419354838709677</v>
      </c>
      <c r="W15" s="1">
        <f t="shared" si="9"/>
        <v>5</v>
      </c>
      <c r="X15" s="1">
        <v>0.16129032258064516</v>
      </c>
      <c r="Y15" s="1">
        <f t="shared" si="10"/>
        <v>5</v>
      </c>
      <c r="Z15" s="1">
        <v>0.16129032258064516</v>
      </c>
      <c r="AA15" s="1">
        <f t="shared" si="11"/>
        <v>0</v>
      </c>
      <c r="AB15" s="1">
        <v>0</v>
      </c>
    </row>
    <row r="16" spans="1:28" x14ac:dyDescent="0.25">
      <c r="A16">
        <v>2073</v>
      </c>
      <c r="B16" t="s">
        <v>21</v>
      </c>
      <c r="C16" t="s">
        <v>0</v>
      </c>
      <c r="D16" t="s">
        <v>20</v>
      </c>
      <c r="E16">
        <f t="shared" si="0"/>
        <v>0</v>
      </c>
      <c r="F16" s="1">
        <v>0</v>
      </c>
      <c r="G16" s="1">
        <f t="shared" si="1"/>
        <v>285</v>
      </c>
      <c r="H16" s="1">
        <v>9.193548387096774</v>
      </c>
      <c r="I16" s="1">
        <f t="shared" si="2"/>
        <v>90</v>
      </c>
      <c r="J16" s="1">
        <v>2.903225806451613</v>
      </c>
      <c r="K16" s="1">
        <f t="shared" si="3"/>
        <v>0</v>
      </c>
      <c r="L16" s="1">
        <v>0</v>
      </c>
      <c r="M16" s="1">
        <f t="shared" si="4"/>
        <v>0</v>
      </c>
      <c r="N16" s="1">
        <v>0</v>
      </c>
      <c r="O16" s="1">
        <f t="shared" si="5"/>
        <v>0</v>
      </c>
      <c r="P16" s="1">
        <v>0</v>
      </c>
      <c r="Q16" s="1">
        <f t="shared" si="6"/>
        <v>3024</v>
      </c>
      <c r="R16" s="1">
        <v>97.548387096774192</v>
      </c>
      <c r="S16" s="1">
        <f t="shared" si="7"/>
        <v>282</v>
      </c>
      <c r="T16" s="1">
        <v>9.0967741935483879</v>
      </c>
      <c r="U16" s="1">
        <f t="shared" si="8"/>
        <v>258</v>
      </c>
      <c r="V16" s="1">
        <v>8.32258064516129</v>
      </c>
      <c r="W16" s="1">
        <f t="shared" si="9"/>
        <v>0</v>
      </c>
      <c r="X16" s="1">
        <v>0</v>
      </c>
      <c r="Y16" s="1">
        <f t="shared" si="10"/>
        <v>0</v>
      </c>
      <c r="Z16" s="1">
        <v>0</v>
      </c>
      <c r="AA16" s="1">
        <f t="shared" si="11"/>
        <v>0</v>
      </c>
      <c r="AB16" s="1">
        <v>0</v>
      </c>
    </row>
    <row r="17" spans="1:28" x14ac:dyDescent="0.25">
      <c r="A17">
        <v>2164</v>
      </c>
      <c r="B17" t="s">
        <v>3</v>
      </c>
      <c r="C17" t="s">
        <v>0</v>
      </c>
      <c r="D17" t="s">
        <v>2</v>
      </c>
      <c r="E17">
        <f t="shared" si="0"/>
        <v>0</v>
      </c>
      <c r="F17" s="1">
        <v>0</v>
      </c>
      <c r="G17" s="1">
        <f t="shared" si="1"/>
        <v>3495</v>
      </c>
      <c r="H17" s="1">
        <v>112.74193548387096</v>
      </c>
      <c r="I17" s="1">
        <f t="shared" si="2"/>
        <v>2010.0000000000002</v>
      </c>
      <c r="J17" s="1">
        <v>64.838709677419359</v>
      </c>
      <c r="K17" s="1">
        <f t="shared" si="3"/>
        <v>0</v>
      </c>
      <c r="L17" s="1">
        <v>0</v>
      </c>
      <c r="M17" s="1">
        <f t="shared" si="4"/>
        <v>0</v>
      </c>
      <c r="N17" s="1">
        <v>0</v>
      </c>
      <c r="O17" s="1">
        <f t="shared" si="5"/>
        <v>0</v>
      </c>
      <c r="P17" s="1">
        <v>0</v>
      </c>
      <c r="Q17" s="1">
        <f t="shared" si="6"/>
        <v>3288</v>
      </c>
      <c r="R17" s="1">
        <v>106.06451612903226</v>
      </c>
      <c r="S17" s="1">
        <f t="shared" si="7"/>
        <v>578</v>
      </c>
      <c r="T17" s="1">
        <v>18.64516129032258</v>
      </c>
      <c r="U17" s="1">
        <f t="shared" si="8"/>
        <v>120</v>
      </c>
      <c r="V17" s="1">
        <v>3.870967741935484</v>
      </c>
      <c r="W17" s="1">
        <f t="shared" si="9"/>
        <v>0</v>
      </c>
      <c r="X17" s="1">
        <v>0</v>
      </c>
      <c r="Y17" s="1">
        <f t="shared" si="10"/>
        <v>0</v>
      </c>
      <c r="Z17" s="1">
        <v>0</v>
      </c>
      <c r="AA17" s="1">
        <f t="shared" si="11"/>
        <v>0</v>
      </c>
      <c r="AB17" s="1">
        <v>0</v>
      </c>
    </row>
    <row r="18" spans="1:28" x14ac:dyDescent="0.25">
      <c r="A18">
        <v>2274</v>
      </c>
      <c r="B18" t="s">
        <v>1</v>
      </c>
      <c r="C18" t="s">
        <v>0</v>
      </c>
      <c r="D18" t="s">
        <v>2</v>
      </c>
      <c r="E18">
        <f t="shared" si="0"/>
        <v>0</v>
      </c>
      <c r="F18" s="1">
        <v>0</v>
      </c>
      <c r="G18" s="1">
        <f t="shared" si="1"/>
        <v>4185</v>
      </c>
      <c r="H18" s="1">
        <v>135</v>
      </c>
      <c r="I18" s="1">
        <f t="shared" si="2"/>
        <v>900</v>
      </c>
      <c r="J18" s="1">
        <v>29.032258064516128</v>
      </c>
      <c r="K18" s="1">
        <f t="shared" si="3"/>
        <v>975</v>
      </c>
      <c r="L18" s="1">
        <v>31.451612903225808</v>
      </c>
      <c r="M18" s="1">
        <f t="shared" si="4"/>
        <v>0</v>
      </c>
      <c r="N18" s="1">
        <v>0</v>
      </c>
      <c r="O18" s="1">
        <f t="shared" si="5"/>
        <v>0</v>
      </c>
      <c r="P18" s="1">
        <v>0</v>
      </c>
      <c r="Q18" s="1">
        <f t="shared" si="6"/>
        <v>10512</v>
      </c>
      <c r="R18" s="1">
        <v>339.09677419354841</v>
      </c>
      <c r="S18" s="1">
        <f t="shared" si="7"/>
        <v>0</v>
      </c>
      <c r="T18" s="1">
        <v>0</v>
      </c>
      <c r="U18" s="1">
        <f t="shared" si="8"/>
        <v>384</v>
      </c>
      <c r="V18" s="1">
        <v>12.387096774193548</v>
      </c>
      <c r="W18" s="1">
        <f t="shared" si="9"/>
        <v>0</v>
      </c>
      <c r="X18" s="1">
        <v>0</v>
      </c>
      <c r="Y18" s="1">
        <f t="shared" si="10"/>
        <v>0</v>
      </c>
      <c r="Z18" s="1">
        <v>0</v>
      </c>
      <c r="AA18" s="1">
        <f t="shared" si="11"/>
        <v>0</v>
      </c>
      <c r="AB18" s="1">
        <v>0</v>
      </c>
    </row>
    <row r="19" spans="1:28" x14ac:dyDescent="0.25">
      <c r="A19">
        <v>6364</v>
      </c>
      <c r="B19" t="s">
        <v>9</v>
      </c>
      <c r="C19" t="s">
        <v>0</v>
      </c>
      <c r="D19" t="s">
        <v>8</v>
      </c>
      <c r="E19">
        <f t="shared" si="0"/>
        <v>0</v>
      </c>
      <c r="F19" s="1">
        <v>0</v>
      </c>
      <c r="G19" s="1">
        <f t="shared" si="1"/>
        <v>420</v>
      </c>
      <c r="H19" s="1">
        <v>13.548387096774194</v>
      </c>
      <c r="I19" s="1">
        <f t="shared" si="2"/>
        <v>555</v>
      </c>
      <c r="J19" s="1">
        <v>17.903225806451612</v>
      </c>
      <c r="K19" s="1">
        <f t="shared" si="3"/>
        <v>0</v>
      </c>
      <c r="L19" s="1">
        <v>0</v>
      </c>
      <c r="M19" s="1">
        <f t="shared" si="4"/>
        <v>0</v>
      </c>
      <c r="N19" s="1">
        <v>0</v>
      </c>
      <c r="O19" s="1">
        <f t="shared" si="5"/>
        <v>0</v>
      </c>
      <c r="P19" s="1">
        <v>0</v>
      </c>
      <c r="Q19" s="1">
        <f t="shared" si="6"/>
        <v>4416</v>
      </c>
      <c r="R19" s="1">
        <v>142.45161290322579</v>
      </c>
      <c r="S19" s="1">
        <f t="shared" si="7"/>
        <v>0</v>
      </c>
      <c r="T19" s="1">
        <v>0</v>
      </c>
      <c r="U19" s="1">
        <f t="shared" si="8"/>
        <v>144</v>
      </c>
      <c r="V19" s="1">
        <v>4.645161290322581</v>
      </c>
      <c r="W19" s="1">
        <f t="shared" si="9"/>
        <v>0</v>
      </c>
      <c r="X19" s="1">
        <v>0</v>
      </c>
      <c r="Y19" s="1">
        <f t="shared" si="10"/>
        <v>0</v>
      </c>
      <c r="Z19" s="1">
        <v>0</v>
      </c>
      <c r="AA19" s="1">
        <f t="shared" si="11"/>
        <v>0</v>
      </c>
      <c r="AB19" s="1">
        <v>0</v>
      </c>
    </row>
  </sheetData>
  <sortState xmlns:xlrd2="http://schemas.microsoft.com/office/spreadsheetml/2017/richdata2" ref="A2:AB19">
    <sortCondition ref="A2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ECE3-EAC4-4C24-B265-A4A8410EF5B1}">
  <dimension ref="A1:AB19"/>
  <sheetViews>
    <sheetView zoomScale="80" zoomScaleNormal="80" workbookViewId="0">
      <selection activeCell="B21" sqref="B21"/>
    </sheetView>
  </sheetViews>
  <sheetFormatPr defaultRowHeight="15" x14ac:dyDescent="0.25"/>
  <cols>
    <col min="1" max="1" width="9.42578125" customWidth="1"/>
    <col min="2" max="2" width="49.85546875" customWidth="1"/>
    <col min="3" max="4" width="9.42578125" customWidth="1"/>
    <col min="5" max="5" width="12.28515625" bestFit="1" customWidth="1"/>
    <col min="6" max="6" width="11" bestFit="1" customWidth="1"/>
    <col min="7" max="7" width="12.7109375" bestFit="1" customWidth="1"/>
    <col min="8" max="8" width="11.42578125" bestFit="1" customWidth="1"/>
    <col min="9" max="9" width="13" bestFit="1" customWidth="1"/>
    <col min="10" max="10" width="11.7109375" customWidth="1"/>
    <col min="11" max="11" width="10" bestFit="1" customWidth="1"/>
    <col min="12" max="12" width="8.7109375" bestFit="1" customWidth="1"/>
    <col min="13" max="13" width="19.42578125" bestFit="1" customWidth="1"/>
    <col min="14" max="15" width="18" bestFit="1" customWidth="1"/>
    <col min="16" max="16" width="16.7109375" bestFit="1" customWidth="1"/>
    <col min="17" max="17" width="11.7109375" bestFit="1" customWidth="1"/>
    <col min="18" max="18" width="10.5703125" bestFit="1" customWidth="1"/>
    <col min="19" max="19" width="11.7109375" bestFit="1" customWidth="1"/>
    <col min="20" max="20" width="10.5703125" bestFit="1" customWidth="1"/>
    <col min="21" max="21" width="11.7109375" bestFit="1" customWidth="1"/>
    <col min="22" max="22" width="10.5703125" bestFit="1" customWidth="1"/>
    <col min="23" max="23" width="13.140625" customWidth="1"/>
    <col min="24" max="24" width="12" bestFit="1" customWidth="1"/>
    <col min="25" max="25" width="13.7109375" bestFit="1" customWidth="1"/>
    <col min="26" max="26" width="12.42578125" bestFit="1" customWidth="1"/>
    <col min="27" max="27" width="14.85546875" bestFit="1" customWidth="1"/>
    <col min="28" max="28" width="13.42578125" bestFit="1" customWidth="1"/>
  </cols>
  <sheetData>
    <row r="1" spans="1:28" s="2" customFormat="1" ht="12.75" x14ac:dyDescent="0.2">
      <c r="A1" s="2" t="s">
        <v>28</v>
      </c>
      <c r="B1" s="2" t="s">
        <v>27</v>
      </c>
      <c r="C1" s="2" t="s">
        <v>26</v>
      </c>
      <c r="D1" s="2" t="s">
        <v>25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</row>
    <row r="2" spans="1:28" x14ac:dyDescent="0.25">
      <c r="A2">
        <v>120</v>
      </c>
      <c r="B2" t="s">
        <v>7</v>
      </c>
      <c r="C2" t="s">
        <v>0</v>
      </c>
      <c r="D2" t="s">
        <v>2</v>
      </c>
      <c r="E2" s="1">
        <f>F2*28</f>
        <v>27.096774193548388</v>
      </c>
      <c r="F2" s="1">
        <v>0.967741935483871</v>
      </c>
      <c r="G2" s="1">
        <f>H2*28</f>
        <v>5392.2580645161297</v>
      </c>
      <c r="H2" s="1">
        <v>192.58064516129033</v>
      </c>
      <c r="I2" s="1">
        <f>J2*28</f>
        <v>2696.1290322580649</v>
      </c>
      <c r="J2" s="1">
        <v>96.290322580645167</v>
      </c>
      <c r="K2" s="1">
        <f>L2*28</f>
        <v>325.16129032258067</v>
      </c>
      <c r="L2" s="1">
        <v>11.612903225806452</v>
      </c>
      <c r="M2" s="1">
        <f>N2*28</f>
        <v>0</v>
      </c>
      <c r="N2" s="1">
        <v>0</v>
      </c>
      <c r="O2" s="1">
        <f>P2*28</f>
        <v>338.70967741935488</v>
      </c>
      <c r="P2" s="1">
        <v>12.096774193548388</v>
      </c>
      <c r="Q2" s="1">
        <f>R2*28</f>
        <v>5831.2258064516127</v>
      </c>
      <c r="R2" s="1">
        <v>208.25806451612902</v>
      </c>
      <c r="S2" s="1">
        <f>T2*28</f>
        <v>594.32258064516134</v>
      </c>
      <c r="T2" s="1">
        <v>21.225806451612904</v>
      </c>
      <c r="U2" s="1">
        <f>V2*28</f>
        <v>173.41935483870967</v>
      </c>
      <c r="V2" s="1">
        <v>6.193548387096774</v>
      </c>
      <c r="W2" s="1">
        <f>X2*28</f>
        <v>36.129032258064512</v>
      </c>
      <c r="X2" s="1">
        <v>1.2903225806451613</v>
      </c>
      <c r="Y2" s="1">
        <f>Z2*28</f>
        <v>0</v>
      </c>
      <c r="Z2" s="1">
        <v>0</v>
      </c>
      <c r="AA2" s="1">
        <f>AB2*28</f>
        <v>9.0322580645161281</v>
      </c>
      <c r="AB2" s="1">
        <v>0.32258064516129031</v>
      </c>
    </row>
    <row r="3" spans="1:28" x14ac:dyDescent="0.25">
      <c r="A3">
        <v>241</v>
      </c>
      <c r="B3" t="s">
        <v>12</v>
      </c>
      <c r="C3" t="s">
        <v>0</v>
      </c>
      <c r="D3" t="s">
        <v>10</v>
      </c>
      <c r="E3" s="1">
        <f t="shared" ref="E3:E19" si="0">F3*28</f>
        <v>0</v>
      </c>
      <c r="F3" s="1">
        <v>0</v>
      </c>
      <c r="G3" s="1">
        <f t="shared" ref="G3:G19" si="1">H3*28</f>
        <v>2967.0967741935483</v>
      </c>
      <c r="H3" s="1">
        <v>105.96774193548387</v>
      </c>
      <c r="I3" s="1">
        <f t="shared" ref="I3:I19" si="2">J3*28</f>
        <v>1232.9032258064517</v>
      </c>
      <c r="J3" s="1">
        <v>44.032258064516128</v>
      </c>
      <c r="K3" s="1">
        <f t="shared" ref="K3:K19" si="3">L3*28</f>
        <v>663.87096774193549</v>
      </c>
      <c r="L3" s="1">
        <v>23.70967741935484</v>
      </c>
      <c r="M3" s="1">
        <f t="shared" ref="M3:M19" si="4">N3*28</f>
        <v>0</v>
      </c>
      <c r="N3" s="1">
        <v>0</v>
      </c>
      <c r="O3" s="1">
        <f t="shared" ref="O3:O19" si="5">P3*28</f>
        <v>352.25806451612902</v>
      </c>
      <c r="P3" s="1">
        <v>12.580645161290322</v>
      </c>
      <c r="Q3" s="1">
        <f t="shared" ref="Q3:Q19" si="6">R3*28</f>
        <v>1820.9032258064517</v>
      </c>
      <c r="R3" s="1">
        <v>65.032258064516128</v>
      </c>
      <c r="S3" s="1">
        <f t="shared" ref="S3:S19" si="7">T3*28</f>
        <v>0</v>
      </c>
      <c r="T3" s="1">
        <v>0</v>
      </c>
      <c r="U3" s="1">
        <f t="shared" ref="U3:U19" si="8">V3*28</f>
        <v>65.032258064516128</v>
      </c>
      <c r="V3" s="1">
        <v>2.3225806451612905</v>
      </c>
      <c r="W3" s="1">
        <f t="shared" ref="W3:W19" si="9">X3*28</f>
        <v>0</v>
      </c>
      <c r="X3" s="1">
        <v>0</v>
      </c>
      <c r="Y3" s="1">
        <f t="shared" ref="Y3:Y19" si="10">Z3*28</f>
        <v>0</v>
      </c>
      <c r="Z3" s="1">
        <v>0</v>
      </c>
      <c r="AA3" s="1">
        <f t="shared" ref="AA3:AA19" si="11">AB3*28</f>
        <v>0</v>
      </c>
      <c r="AB3" s="1">
        <v>0</v>
      </c>
    </row>
    <row r="4" spans="1:28" x14ac:dyDescent="0.25">
      <c r="A4">
        <v>299</v>
      </c>
      <c r="B4" t="s">
        <v>17</v>
      </c>
      <c r="C4" t="s">
        <v>0</v>
      </c>
      <c r="D4" t="s">
        <v>13</v>
      </c>
      <c r="E4" s="1">
        <f t="shared" si="0"/>
        <v>0</v>
      </c>
      <c r="F4" s="1">
        <v>0</v>
      </c>
      <c r="G4" s="1">
        <f t="shared" si="1"/>
        <v>3170.322580645161</v>
      </c>
      <c r="H4" s="1">
        <v>113.2258064516129</v>
      </c>
      <c r="I4" s="1">
        <f t="shared" si="2"/>
        <v>1070.3225806451612</v>
      </c>
      <c r="J4" s="1">
        <v>38.225806451612904</v>
      </c>
      <c r="K4" s="1">
        <f t="shared" si="3"/>
        <v>609.67741935483866</v>
      </c>
      <c r="L4" s="1">
        <v>21.774193548387096</v>
      </c>
      <c r="M4" s="1">
        <f t="shared" si="4"/>
        <v>0</v>
      </c>
      <c r="N4" s="1">
        <v>0</v>
      </c>
      <c r="O4" s="1">
        <f t="shared" si="5"/>
        <v>1097.4193548387098</v>
      </c>
      <c r="P4" s="1">
        <v>39.193548387096776</v>
      </c>
      <c r="Q4" s="1">
        <f t="shared" si="6"/>
        <v>4422.1935483870966</v>
      </c>
      <c r="R4" s="1">
        <v>157.93548387096774</v>
      </c>
      <c r="S4" s="1">
        <f t="shared" si="7"/>
        <v>316.12903225806451</v>
      </c>
      <c r="T4" s="1">
        <v>11.290322580645162</v>
      </c>
      <c r="U4" s="1">
        <f t="shared" si="8"/>
        <v>130.06451612903226</v>
      </c>
      <c r="V4" s="1">
        <v>4.645161290322581</v>
      </c>
      <c r="W4" s="1">
        <f t="shared" si="9"/>
        <v>0</v>
      </c>
      <c r="X4" s="1">
        <v>0</v>
      </c>
      <c r="Y4" s="1">
        <f t="shared" si="10"/>
        <v>0</v>
      </c>
      <c r="Z4" s="1">
        <v>0</v>
      </c>
      <c r="AA4" s="1">
        <f t="shared" si="11"/>
        <v>0</v>
      </c>
      <c r="AB4" s="1">
        <v>0</v>
      </c>
    </row>
    <row r="5" spans="1:28" x14ac:dyDescent="0.25">
      <c r="A5">
        <v>479</v>
      </c>
      <c r="B5" t="s">
        <v>16</v>
      </c>
      <c r="C5" t="s">
        <v>0</v>
      </c>
      <c r="D5" t="s">
        <v>13</v>
      </c>
      <c r="E5" s="1">
        <f t="shared" si="0"/>
        <v>379.35483870967744</v>
      </c>
      <c r="F5" s="1">
        <v>13.548387096774194</v>
      </c>
      <c r="G5" s="1">
        <f t="shared" si="1"/>
        <v>2709.677419354839</v>
      </c>
      <c r="H5" s="1">
        <v>96.774193548387103</v>
      </c>
      <c r="I5" s="1">
        <f t="shared" si="2"/>
        <v>975.48387096774184</v>
      </c>
      <c r="J5" s="1">
        <v>34.838709677419352</v>
      </c>
      <c r="K5" s="1">
        <f t="shared" si="3"/>
        <v>0</v>
      </c>
      <c r="L5" s="1">
        <v>0</v>
      </c>
      <c r="M5" s="1">
        <f t="shared" si="4"/>
        <v>0</v>
      </c>
      <c r="N5" s="1">
        <v>0</v>
      </c>
      <c r="O5" s="1">
        <f t="shared" si="5"/>
        <v>216.7741935483871</v>
      </c>
      <c r="P5" s="1">
        <v>7.741935483870968</v>
      </c>
      <c r="Q5" s="1">
        <f t="shared" si="6"/>
        <v>2991.483870967742</v>
      </c>
      <c r="R5" s="1">
        <v>106.83870967741936</v>
      </c>
      <c r="S5" s="1">
        <f t="shared" si="7"/>
        <v>385.67741935483866</v>
      </c>
      <c r="T5" s="1">
        <v>13.774193548387096</v>
      </c>
      <c r="U5" s="1">
        <f t="shared" si="8"/>
        <v>108.38709677419355</v>
      </c>
      <c r="V5" s="1">
        <v>3.870967741935484</v>
      </c>
      <c r="W5" s="1">
        <f t="shared" si="9"/>
        <v>0</v>
      </c>
      <c r="X5" s="1">
        <v>0</v>
      </c>
      <c r="Y5" s="1">
        <f t="shared" si="10"/>
        <v>0</v>
      </c>
      <c r="Z5" s="1">
        <v>0</v>
      </c>
      <c r="AA5" s="1">
        <f t="shared" si="11"/>
        <v>0</v>
      </c>
      <c r="AB5" s="1">
        <v>0</v>
      </c>
    </row>
    <row r="6" spans="1:28" x14ac:dyDescent="0.25">
      <c r="A6">
        <v>680</v>
      </c>
      <c r="B6" t="s">
        <v>6</v>
      </c>
      <c r="C6" t="s">
        <v>0</v>
      </c>
      <c r="D6" t="s">
        <v>2</v>
      </c>
      <c r="E6" s="1">
        <f t="shared" si="0"/>
        <v>311.61290322580646</v>
      </c>
      <c r="F6" s="1">
        <v>11.129032258064516</v>
      </c>
      <c r="G6" s="1">
        <f t="shared" si="1"/>
        <v>6638.7096774193551</v>
      </c>
      <c r="H6" s="1">
        <v>237.09677419354838</v>
      </c>
      <c r="I6" s="1">
        <f t="shared" si="2"/>
        <v>2411.6129032258063</v>
      </c>
      <c r="J6" s="1">
        <v>86.129032258064512</v>
      </c>
      <c r="K6" s="1">
        <f t="shared" si="3"/>
        <v>54.193548387096776</v>
      </c>
      <c r="L6" s="1">
        <v>1.935483870967742</v>
      </c>
      <c r="M6" s="1">
        <f t="shared" si="4"/>
        <v>0</v>
      </c>
      <c r="N6" s="1">
        <v>0</v>
      </c>
      <c r="O6" s="1">
        <f t="shared" si="5"/>
        <v>0</v>
      </c>
      <c r="P6" s="1">
        <v>0</v>
      </c>
      <c r="Q6" s="1">
        <f t="shared" si="6"/>
        <v>8519.2258064516136</v>
      </c>
      <c r="R6" s="1">
        <v>304.25806451612902</v>
      </c>
      <c r="S6" s="1">
        <f t="shared" si="7"/>
        <v>133.67741935483872</v>
      </c>
      <c r="T6" s="1">
        <v>4.774193548387097</v>
      </c>
      <c r="U6" s="1">
        <f t="shared" si="8"/>
        <v>216.7741935483871</v>
      </c>
      <c r="V6" s="1">
        <v>7.741935483870968</v>
      </c>
      <c r="W6" s="1">
        <f t="shared" si="9"/>
        <v>0</v>
      </c>
      <c r="X6" s="1">
        <v>0</v>
      </c>
      <c r="Y6" s="1">
        <f t="shared" si="10"/>
        <v>0</v>
      </c>
      <c r="Z6" s="1">
        <v>0</v>
      </c>
      <c r="AA6" s="1">
        <f t="shared" si="11"/>
        <v>0</v>
      </c>
      <c r="AB6" s="1">
        <v>0</v>
      </c>
    </row>
    <row r="7" spans="1:28" x14ac:dyDescent="0.25">
      <c r="A7">
        <v>682</v>
      </c>
      <c r="B7" t="s">
        <v>11</v>
      </c>
      <c r="C7" t="s">
        <v>0</v>
      </c>
      <c r="D7" t="s">
        <v>10</v>
      </c>
      <c r="E7" s="1">
        <f t="shared" si="0"/>
        <v>0</v>
      </c>
      <c r="F7" s="1">
        <v>0</v>
      </c>
      <c r="G7" s="1">
        <f t="shared" si="1"/>
        <v>2818.0645161290322</v>
      </c>
      <c r="H7" s="1">
        <v>100.64516129032258</v>
      </c>
      <c r="I7" s="1">
        <f t="shared" si="2"/>
        <v>1260</v>
      </c>
      <c r="J7" s="1">
        <v>45</v>
      </c>
      <c r="K7" s="1">
        <f t="shared" si="3"/>
        <v>704.51612903225805</v>
      </c>
      <c r="L7" s="1">
        <v>25.161290322580644</v>
      </c>
      <c r="M7" s="1">
        <f t="shared" si="4"/>
        <v>0</v>
      </c>
      <c r="N7" s="1">
        <v>0</v>
      </c>
      <c r="O7" s="1">
        <f t="shared" si="5"/>
        <v>392.90322580645164</v>
      </c>
      <c r="P7" s="1">
        <v>14.03225806451613</v>
      </c>
      <c r="Q7" s="1">
        <f t="shared" si="6"/>
        <v>1864.258064516129</v>
      </c>
      <c r="R7" s="1">
        <v>66.58064516129032</v>
      </c>
      <c r="S7" s="1">
        <f t="shared" si="7"/>
        <v>0</v>
      </c>
      <c r="T7" s="1">
        <v>0</v>
      </c>
      <c r="U7" s="1">
        <f t="shared" si="8"/>
        <v>65.032258064516128</v>
      </c>
      <c r="V7" s="1">
        <v>2.3225806451612905</v>
      </c>
      <c r="W7" s="1">
        <f t="shared" si="9"/>
        <v>0</v>
      </c>
      <c r="X7" s="1">
        <v>0</v>
      </c>
      <c r="Y7" s="1">
        <f t="shared" si="10"/>
        <v>0</v>
      </c>
      <c r="Z7" s="1">
        <v>0</v>
      </c>
      <c r="AA7" s="1">
        <f t="shared" si="11"/>
        <v>0</v>
      </c>
      <c r="AB7" s="1">
        <v>0</v>
      </c>
    </row>
    <row r="8" spans="1:28" x14ac:dyDescent="0.25">
      <c r="A8">
        <v>795</v>
      </c>
      <c r="B8" t="s">
        <v>22</v>
      </c>
      <c r="C8" t="s">
        <v>0</v>
      </c>
      <c r="D8" t="s">
        <v>20</v>
      </c>
      <c r="E8" s="1">
        <f t="shared" si="0"/>
        <v>0</v>
      </c>
      <c r="F8" s="1">
        <v>0</v>
      </c>
      <c r="G8" s="1">
        <f t="shared" si="1"/>
        <v>7532.9032258064526</v>
      </c>
      <c r="H8" s="1">
        <v>269.03225806451616</v>
      </c>
      <c r="I8" s="1">
        <f t="shared" si="2"/>
        <v>2316.7741935483868</v>
      </c>
      <c r="J8" s="1">
        <v>82.741935483870961</v>
      </c>
      <c r="K8" s="1">
        <f t="shared" si="3"/>
        <v>162.58064516129033</v>
      </c>
      <c r="L8" s="1">
        <v>5.806451612903226</v>
      </c>
      <c r="M8" s="1">
        <f t="shared" si="4"/>
        <v>0</v>
      </c>
      <c r="N8" s="1">
        <v>0</v>
      </c>
      <c r="O8" s="1">
        <f t="shared" si="5"/>
        <v>0</v>
      </c>
      <c r="P8" s="1">
        <v>0</v>
      </c>
      <c r="Q8" s="1">
        <f t="shared" si="6"/>
        <v>7283.6129032258068</v>
      </c>
      <c r="R8" s="1">
        <v>260.12903225806451</v>
      </c>
      <c r="S8" s="1">
        <f t="shared" si="7"/>
        <v>493.16129032258067</v>
      </c>
      <c r="T8" s="1">
        <v>17.612903225806452</v>
      </c>
      <c r="U8" s="1">
        <f t="shared" si="8"/>
        <v>238.45161290322579</v>
      </c>
      <c r="V8" s="1">
        <v>8.5161290322580641</v>
      </c>
      <c r="W8" s="1">
        <f t="shared" si="9"/>
        <v>0</v>
      </c>
      <c r="X8" s="1">
        <v>0</v>
      </c>
      <c r="Y8" s="1">
        <f t="shared" si="10"/>
        <v>0</v>
      </c>
      <c r="Z8" s="1">
        <v>0</v>
      </c>
      <c r="AA8" s="1">
        <f t="shared" si="11"/>
        <v>0</v>
      </c>
      <c r="AB8" s="1">
        <v>0</v>
      </c>
    </row>
    <row r="9" spans="1:28" x14ac:dyDescent="0.25">
      <c r="A9">
        <v>982</v>
      </c>
      <c r="B9" t="s">
        <v>6</v>
      </c>
      <c r="C9" t="s">
        <v>0</v>
      </c>
      <c r="D9" t="s">
        <v>8</v>
      </c>
      <c r="E9" s="1">
        <f t="shared" si="0"/>
        <v>0</v>
      </c>
      <c r="F9" s="1">
        <v>0</v>
      </c>
      <c r="G9" s="1">
        <f t="shared" si="1"/>
        <v>5392.2580645161297</v>
      </c>
      <c r="H9" s="1">
        <v>192.58064516129033</v>
      </c>
      <c r="I9" s="1">
        <f t="shared" si="2"/>
        <v>1178.7096774193546</v>
      </c>
      <c r="J9" s="1">
        <v>42.096774193548384</v>
      </c>
      <c r="K9" s="1">
        <f t="shared" si="3"/>
        <v>1043.2258064516129</v>
      </c>
      <c r="L9" s="1">
        <v>37.258064516129032</v>
      </c>
      <c r="M9" s="1">
        <f t="shared" si="4"/>
        <v>0</v>
      </c>
      <c r="N9" s="1">
        <v>0</v>
      </c>
      <c r="O9" s="1">
        <f t="shared" si="5"/>
        <v>0</v>
      </c>
      <c r="P9" s="1">
        <v>0</v>
      </c>
      <c r="Q9" s="1">
        <f t="shared" si="6"/>
        <v>5614.4516129032263</v>
      </c>
      <c r="R9" s="1">
        <v>200.51612903225808</v>
      </c>
      <c r="S9" s="1">
        <f t="shared" si="7"/>
        <v>1631.2258064516129</v>
      </c>
      <c r="T9" s="1">
        <v>58.258064516129032</v>
      </c>
      <c r="U9" s="1">
        <f t="shared" si="8"/>
        <v>173.41935483870967</v>
      </c>
      <c r="V9" s="1">
        <v>6.193548387096774</v>
      </c>
      <c r="W9" s="1">
        <f t="shared" si="9"/>
        <v>0</v>
      </c>
      <c r="X9" s="1">
        <v>0</v>
      </c>
      <c r="Y9" s="1">
        <f t="shared" si="10"/>
        <v>0</v>
      </c>
      <c r="Z9" s="1">
        <v>0</v>
      </c>
      <c r="AA9" s="1">
        <f t="shared" si="11"/>
        <v>0</v>
      </c>
      <c r="AB9" s="1">
        <v>0</v>
      </c>
    </row>
    <row r="10" spans="1:28" x14ac:dyDescent="0.25">
      <c r="A10">
        <v>1594</v>
      </c>
      <c r="B10" t="s">
        <v>15</v>
      </c>
      <c r="C10" t="s">
        <v>0</v>
      </c>
      <c r="D10" t="s">
        <v>13</v>
      </c>
      <c r="E10" s="1">
        <f t="shared" si="0"/>
        <v>0</v>
      </c>
      <c r="F10" s="1">
        <v>0</v>
      </c>
      <c r="G10" s="1">
        <f t="shared" si="1"/>
        <v>10581.290322580644</v>
      </c>
      <c r="H10" s="1">
        <v>377.90322580645159</v>
      </c>
      <c r="I10" s="1">
        <f t="shared" si="2"/>
        <v>3603.8709677419356</v>
      </c>
      <c r="J10" s="1">
        <v>128.70967741935485</v>
      </c>
      <c r="K10" s="1">
        <f t="shared" si="3"/>
        <v>663.87096774193549</v>
      </c>
      <c r="L10" s="1">
        <v>23.70967741935484</v>
      </c>
      <c r="M10" s="1">
        <f t="shared" si="4"/>
        <v>0</v>
      </c>
      <c r="N10" s="1">
        <v>0</v>
      </c>
      <c r="O10" s="1">
        <f t="shared" si="5"/>
        <v>1056.7741935483871</v>
      </c>
      <c r="P10" s="1">
        <v>37.741935483870968</v>
      </c>
      <c r="Q10" s="1">
        <f t="shared" si="6"/>
        <v>18317.419354838712</v>
      </c>
      <c r="R10" s="1">
        <v>654.19354838709683</v>
      </c>
      <c r="S10" s="1">
        <f t="shared" si="7"/>
        <v>2427.8709677419351</v>
      </c>
      <c r="T10" s="1">
        <v>86.709677419354833</v>
      </c>
      <c r="U10" s="1">
        <f t="shared" si="8"/>
        <v>498.58064516129025</v>
      </c>
      <c r="V10" s="1">
        <v>17.806451612903224</v>
      </c>
      <c r="W10" s="1">
        <f t="shared" si="9"/>
        <v>0</v>
      </c>
      <c r="X10" s="1">
        <v>0</v>
      </c>
      <c r="Y10" s="1">
        <f t="shared" si="10"/>
        <v>0</v>
      </c>
      <c r="Z10" s="1">
        <v>0</v>
      </c>
      <c r="AA10" s="1">
        <f t="shared" si="11"/>
        <v>0</v>
      </c>
      <c r="AB10" s="1">
        <v>0</v>
      </c>
    </row>
    <row r="11" spans="1:28" x14ac:dyDescent="0.25">
      <c r="A11">
        <v>1693</v>
      </c>
      <c r="B11" t="s">
        <v>5</v>
      </c>
      <c r="C11" t="s">
        <v>0</v>
      </c>
      <c r="D11" t="s">
        <v>2</v>
      </c>
      <c r="E11" s="1">
        <f t="shared" si="0"/>
        <v>0</v>
      </c>
      <c r="F11" s="1">
        <v>0</v>
      </c>
      <c r="G11" s="1">
        <f t="shared" si="1"/>
        <v>3454.8387096774195</v>
      </c>
      <c r="H11" s="1">
        <v>123.38709677419355</v>
      </c>
      <c r="I11" s="1">
        <f t="shared" si="2"/>
        <v>812.90322580645159</v>
      </c>
      <c r="J11" s="1">
        <v>29.032258064516128</v>
      </c>
      <c r="K11" s="1">
        <f t="shared" si="3"/>
        <v>352.25806451612902</v>
      </c>
      <c r="L11" s="1">
        <v>12.580645161290322</v>
      </c>
      <c r="M11" s="1">
        <f t="shared" si="4"/>
        <v>0</v>
      </c>
      <c r="N11" s="1">
        <v>0</v>
      </c>
      <c r="O11" s="1">
        <f t="shared" si="5"/>
        <v>0</v>
      </c>
      <c r="P11" s="1">
        <v>0</v>
      </c>
      <c r="Q11" s="1">
        <f t="shared" si="6"/>
        <v>1972.6451612903227</v>
      </c>
      <c r="R11" s="1">
        <v>70.451612903225808</v>
      </c>
      <c r="S11" s="1">
        <f t="shared" si="7"/>
        <v>69.548387096774192</v>
      </c>
      <c r="T11" s="1">
        <v>2.4838709677419355</v>
      </c>
      <c r="U11" s="1">
        <f t="shared" si="8"/>
        <v>65.032258064516128</v>
      </c>
      <c r="V11" s="1">
        <v>2.3225806451612905</v>
      </c>
      <c r="W11" s="1">
        <f t="shared" si="9"/>
        <v>54.193548387096776</v>
      </c>
      <c r="X11" s="1">
        <v>1.935483870967742</v>
      </c>
      <c r="Y11" s="1">
        <f t="shared" si="10"/>
        <v>0</v>
      </c>
      <c r="Z11" s="1">
        <v>0</v>
      </c>
      <c r="AA11" s="1">
        <f t="shared" si="11"/>
        <v>45.161290322580641</v>
      </c>
      <c r="AB11" s="1">
        <v>1.6129032258064515</v>
      </c>
    </row>
    <row r="12" spans="1:28" x14ac:dyDescent="0.25">
      <c r="A12">
        <v>1778</v>
      </c>
      <c r="B12" t="s">
        <v>4</v>
      </c>
      <c r="C12" t="s">
        <v>0</v>
      </c>
      <c r="D12" t="s">
        <v>2</v>
      </c>
      <c r="E12" s="1">
        <f t="shared" si="0"/>
        <v>0</v>
      </c>
      <c r="F12" s="1">
        <v>0</v>
      </c>
      <c r="G12" s="1">
        <f t="shared" si="1"/>
        <v>3630.9677419354839</v>
      </c>
      <c r="H12" s="1">
        <v>129.67741935483872</v>
      </c>
      <c r="I12" s="1">
        <f t="shared" si="2"/>
        <v>1124.516129032258</v>
      </c>
      <c r="J12" s="1">
        <v>40.161290322580648</v>
      </c>
      <c r="K12" s="1">
        <f t="shared" si="3"/>
        <v>298.06451612903226</v>
      </c>
      <c r="L12" s="1">
        <v>10.64516129032258</v>
      </c>
      <c r="M12" s="1">
        <f t="shared" si="4"/>
        <v>0</v>
      </c>
      <c r="N12" s="1">
        <v>0</v>
      </c>
      <c r="O12" s="1">
        <f t="shared" si="5"/>
        <v>162.58064516129033</v>
      </c>
      <c r="P12" s="1">
        <v>5.806451612903226</v>
      </c>
      <c r="Q12" s="1">
        <f t="shared" si="6"/>
        <v>325.16129032258067</v>
      </c>
      <c r="R12" s="1">
        <v>11.612903225806452</v>
      </c>
      <c r="S12" s="1">
        <f t="shared" si="7"/>
        <v>0</v>
      </c>
      <c r="T12" s="1">
        <v>0</v>
      </c>
      <c r="U12" s="1">
        <f t="shared" si="8"/>
        <v>0</v>
      </c>
      <c r="V12" s="1">
        <v>0</v>
      </c>
      <c r="W12" s="1">
        <f t="shared" si="9"/>
        <v>0</v>
      </c>
      <c r="X12" s="1">
        <v>0</v>
      </c>
      <c r="Y12" s="1">
        <f t="shared" si="10"/>
        <v>0</v>
      </c>
      <c r="Z12" s="1">
        <v>0</v>
      </c>
      <c r="AA12" s="1">
        <f t="shared" si="11"/>
        <v>0</v>
      </c>
      <c r="AB12" s="1">
        <v>0</v>
      </c>
    </row>
    <row r="13" spans="1:28" x14ac:dyDescent="0.25">
      <c r="A13">
        <v>1837</v>
      </c>
      <c r="B13" t="s">
        <v>19</v>
      </c>
      <c r="C13" t="s">
        <v>0</v>
      </c>
      <c r="D13" t="s">
        <v>18</v>
      </c>
      <c r="E13" s="1">
        <f t="shared" si="0"/>
        <v>0</v>
      </c>
      <c r="F13" s="1">
        <v>0</v>
      </c>
      <c r="G13" s="1">
        <f t="shared" si="1"/>
        <v>1666.4516129032259</v>
      </c>
      <c r="H13" s="1">
        <v>59.516129032258064</v>
      </c>
      <c r="I13" s="1">
        <f t="shared" si="2"/>
        <v>1110.9677419354839</v>
      </c>
      <c r="J13" s="1">
        <v>39.677419354838712</v>
      </c>
      <c r="K13" s="1">
        <f t="shared" si="3"/>
        <v>40.645161290322584</v>
      </c>
      <c r="L13" s="1">
        <v>1.4516129032258065</v>
      </c>
      <c r="M13" s="1">
        <f t="shared" si="4"/>
        <v>0</v>
      </c>
      <c r="N13" s="1">
        <v>0</v>
      </c>
      <c r="O13" s="1">
        <f t="shared" si="5"/>
        <v>0</v>
      </c>
      <c r="P13" s="1">
        <v>0</v>
      </c>
      <c r="Q13" s="1">
        <f t="shared" si="6"/>
        <v>1213.9354838709676</v>
      </c>
      <c r="R13" s="1">
        <v>43.354838709677416</v>
      </c>
      <c r="S13" s="1">
        <f t="shared" si="7"/>
        <v>1157.0322580645161</v>
      </c>
      <c r="T13" s="1">
        <v>41.322580645161288</v>
      </c>
      <c r="U13" s="1">
        <f t="shared" si="8"/>
        <v>70.451612903225808</v>
      </c>
      <c r="V13" s="1">
        <v>2.5161290322580645</v>
      </c>
      <c r="W13" s="1">
        <f t="shared" si="9"/>
        <v>0</v>
      </c>
      <c r="X13" s="1">
        <v>0</v>
      </c>
      <c r="Y13" s="1">
        <f t="shared" si="10"/>
        <v>0</v>
      </c>
      <c r="Z13" s="1">
        <v>0</v>
      </c>
      <c r="AA13" s="1">
        <f t="shared" si="11"/>
        <v>0</v>
      </c>
      <c r="AB13" s="1">
        <v>0</v>
      </c>
    </row>
    <row r="14" spans="1:28" x14ac:dyDescent="0.25">
      <c r="A14">
        <v>1979</v>
      </c>
      <c r="B14" t="s">
        <v>24</v>
      </c>
      <c r="C14" t="s">
        <v>0</v>
      </c>
      <c r="D14" t="s">
        <v>23</v>
      </c>
      <c r="E14" s="1">
        <f t="shared" si="0"/>
        <v>0</v>
      </c>
      <c r="F14" s="1">
        <v>0</v>
      </c>
      <c r="G14" s="1">
        <f t="shared" si="1"/>
        <v>4687.7419354838703</v>
      </c>
      <c r="H14" s="1">
        <v>167.41935483870967</v>
      </c>
      <c r="I14" s="1">
        <f t="shared" si="2"/>
        <v>1300.6451612903227</v>
      </c>
      <c r="J14" s="1">
        <v>46.451612903225808</v>
      </c>
      <c r="K14" s="1">
        <f t="shared" si="3"/>
        <v>528.38709677419354</v>
      </c>
      <c r="L14" s="1">
        <v>18.870967741935484</v>
      </c>
      <c r="M14" s="1">
        <f t="shared" si="4"/>
        <v>0</v>
      </c>
      <c r="N14" s="1">
        <v>0</v>
      </c>
      <c r="O14" s="1">
        <f t="shared" si="5"/>
        <v>0</v>
      </c>
      <c r="P14" s="1">
        <v>0</v>
      </c>
      <c r="Q14" s="1">
        <f t="shared" si="6"/>
        <v>4855.7419354838703</v>
      </c>
      <c r="R14" s="1">
        <v>173.41935483870967</v>
      </c>
      <c r="S14" s="1">
        <f t="shared" si="7"/>
        <v>0</v>
      </c>
      <c r="T14" s="1">
        <v>0</v>
      </c>
      <c r="U14" s="1">
        <f t="shared" si="8"/>
        <v>130.06451612903226</v>
      </c>
      <c r="V14" s="1">
        <v>4.645161290322581</v>
      </c>
      <c r="W14" s="1">
        <f t="shared" si="9"/>
        <v>0</v>
      </c>
      <c r="X14" s="1">
        <v>0</v>
      </c>
      <c r="Y14" s="1">
        <f t="shared" si="10"/>
        <v>0</v>
      </c>
      <c r="Z14" s="1">
        <v>0</v>
      </c>
      <c r="AA14" s="1">
        <f t="shared" si="11"/>
        <v>0</v>
      </c>
      <c r="AB14" s="1">
        <v>0</v>
      </c>
    </row>
    <row r="15" spans="1:28" x14ac:dyDescent="0.25">
      <c r="A15">
        <v>2071</v>
      </c>
      <c r="B15" t="s">
        <v>14</v>
      </c>
      <c r="C15" t="s">
        <v>0</v>
      </c>
      <c r="D15" t="s">
        <v>13</v>
      </c>
      <c r="E15" s="1">
        <f t="shared" si="0"/>
        <v>0</v>
      </c>
      <c r="F15" s="1">
        <v>0</v>
      </c>
      <c r="G15" s="1">
        <f t="shared" si="1"/>
        <v>2140.6451612903224</v>
      </c>
      <c r="H15" s="1">
        <v>76.451612903225808</v>
      </c>
      <c r="I15" s="1">
        <f t="shared" si="2"/>
        <v>731.61290322580646</v>
      </c>
      <c r="J15" s="1">
        <v>26.129032258064516</v>
      </c>
      <c r="K15" s="1">
        <f t="shared" si="3"/>
        <v>0</v>
      </c>
      <c r="L15" s="1">
        <v>0</v>
      </c>
      <c r="M15" s="1">
        <f t="shared" si="4"/>
        <v>0</v>
      </c>
      <c r="N15" s="1">
        <v>0</v>
      </c>
      <c r="O15" s="1">
        <f t="shared" si="5"/>
        <v>176.12903225806451</v>
      </c>
      <c r="P15" s="1">
        <v>6.290322580645161</v>
      </c>
      <c r="Q15" s="1">
        <f t="shared" si="6"/>
        <v>4075.354838709678</v>
      </c>
      <c r="R15" s="1">
        <v>145.54838709677421</v>
      </c>
      <c r="S15" s="1">
        <f t="shared" si="7"/>
        <v>290.83870967741933</v>
      </c>
      <c r="T15" s="1">
        <v>10.387096774193548</v>
      </c>
      <c r="U15" s="1">
        <f t="shared" si="8"/>
        <v>151.74193548387095</v>
      </c>
      <c r="V15" s="1">
        <v>5.419354838709677</v>
      </c>
      <c r="W15" s="1">
        <f t="shared" si="9"/>
        <v>0</v>
      </c>
      <c r="X15" s="1">
        <v>0</v>
      </c>
      <c r="Y15" s="1">
        <f t="shared" si="10"/>
        <v>0</v>
      </c>
      <c r="Z15" s="1">
        <v>0</v>
      </c>
      <c r="AA15" s="1">
        <f t="shared" si="11"/>
        <v>0</v>
      </c>
      <c r="AB15" s="1">
        <v>0</v>
      </c>
    </row>
    <row r="16" spans="1:28" x14ac:dyDescent="0.25">
      <c r="A16">
        <v>2073</v>
      </c>
      <c r="B16" t="s">
        <v>21</v>
      </c>
      <c r="C16" t="s">
        <v>0</v>
      </c>
      <c r="D16" t="s">
        <v>20</v>
      </c>
      <c r="E16" s="1">
        <f t="shared" si="0"/>
        <v>0</v>
      </c>
      <c r="F16" s="1">
        <v>0</v>
      </c>
      <c r="G16" s="1">
        <f t="shared" si="1"/>
        <v>94.838709677419359</v>
      </c>
      <c r="H16" s="1">
        <v>3.3870967741935485</v>
      </c>
      <c r="I16" s="1">
        <f t="shared" si="2"/>
        <v>149.03225806451613</v>
      </c>
      <c r="J16" s="1">
        <v>5.32258064516129</v>
      </c>
      <c r="K16" s="1">
        <f t="shared" si="3"/>
        <v>0</v>
      </c>
      <c r="L16" s="1">
        <v>0</v>
      </c>
      <c r="M16" s="1">
        <f t="shared" si="4"/>
        <v>0</v>
      </c>
      <c r="N16" s="1">
        <v>0</v>
      </c>
      <c r="O16" s="1">
        <f t="shared" si="5"/>
        <v>0</v>
      </c>
      <c r="P16" s="1">
        <v>0</v>
      </c>
      <c r="Q16" s="1">
        <f t="shared" si="6"/>
        <v>3186.5806451612907</v>
      </c>
      <c r="R16" s="1">
        <v>113.80645161290323</v>
      </c>
      <c r="S16" s="1">
        <f t="shared" si="7"/>
        <v>126.45161290322582</v>
      </c>
      <c r="T16" s="1">
        <v>4.5161290322580649</v>
      </c>
      <c r="U16" s="1">
        <f t="shared" si="8"/>
        <v>195.09677419354838</v>
      </c>
      <c r="V16" s="1">
        <v>6.967741935483871</v>
      </c>
      <c r="W16" s="1">
        <f t="shared" si="9"/>
        <v>0</v>
      </c>
      <c r="X16" s="1">
        <v>0</v>
      </c>
      <c r="Y16" s="1">
        <f t="shared" si="10"/>
        <v>0</v>
      </c>
      <c r="Z16" s="1">
        <v>0</v>
      </c>
      <c r="AA16" s="1">
        <f t="shared" si="11"/>
        <v>0</v>
      </c>
      <c r="AB16" s="1">
        <v>0</v>
      </c>
    </row>
    <row r="17" spans="1:28" x14ac:dyDescent="0.25">
      <c r="A17">
        <v>2164</v>
      </c>
      <c r="B17" t="s">
        <v>3</v>
      </c>
      <c r="C17" t="s">
        <v>0</v>
      </c>
      <c r="D17" t="s">
        <v>2</v>
      </c>
      <c r="E17" s="1">
        <f t="shared" si="0"/>
        <v>0</v>
      </c>
      <c r="F17" s="1">
        <v>0</v>
      </c>
      <c r="G17" s="1">
        <f t="shared" si="1"/>
        <v>2804.516129032258</v>
      </c>
      <c r="H17" s="1">
        <v>100.16129032258064</v>
      </c>
      <c r="I17" s="1">
        <f t="shared" si="2"/>
        <v>1558.0645161290324</v>
      </c>
      <c r="J17" s="1">
        <v>55.645161290322584</v>
      </c>
      <c r="K17" s="1">
        <f t="shared" si="3"/>
        <v>0</v>
      </c>
      <c r="L17" s="1">
        <v>0</v>
      </c>
      <c r="M17" s="1">
        <f t="shared" si="4"/>
        <v>0</v>
      </c>
      <c r="N17" s="1">
        <v>0</v>
      </c>
      <c r="O17" s="1">
        <f t="shared" si="5"/>
        <v>0</v>
      </c>
      <c r="P17" s="1">
        <v>0</v>
      </c>
      <c r="Q17" s="1">
        <f t="shared" si="6"/>
        <v>2514.5806451612907</v>
      </c>
      <c r="R17" s="1">
        <v>89.806451612903231</v>
      </c>
      <c r="S17" s="1">
        <f t="shared" si="7"/>
        <v>423.61290322580646</v>
      </c>
      <c r="T17" s="1">
        <v>15.129032258064516</v>
      </c>
      <c r="U17" s="1">
        <f t="shared" si="8"/>
        <v>65.032258064516128</v>
      </c>
      <c r="V17" s="1">
        <v>2.3225806451612905</v>
      </c>
      <c r="W17" s="1">
        <f t="shared" si="9"/>
        <v>0</v>
      </c>
      <c r="X17" s="1">
        <v>0</v>
      </c>
      <c r="Y17" s="1">
        <f t="shared" si="10"/>
        <v>0</v>
      </c>
      <c r="Z17" s="1">
        <v>0</v>
      </c>
      <c r="AA17" s="1">
        <f t="shared" si="11"/>
        <v>0</v>
      </c>
      <c r="AB17" s="1">
        <v>0</v>
      </c>
    </row>
    <row r="18" spans="1:28" x14ac:dyDescent="0.25">
      <c r="A18">
        <v>2274</v>
      </c>
      <c r="B18" t="s">
        <v>62</v>
      </c>
      <c r="C18" t="s">
        <v>0</v>
      </c>
      <c r="D18" t="s">
        <v>2</v>
      </c>
      <c r="E18" s="1">
        <f t="shared" si="0"/>
        <v>0</v>
      </c>
      <c r="F18" s="1">
        <v>0</v>
      </c>
      <c r="G18" s="1">
        <f t="shared" si="1"/>
        <v>3563.2258064516132</v>
      </c>
      <c r="H18" s="1">
        <v>127.25806451612904</v>
      </c>
      <c r="I18" s="1">
        <f t="shared" si="2"/>
        <v>677.41935483870975</v>
      </c>
      <c r="J18" s="1">
        <v>24.193548387096776</v>
      </c>
      <c r="K18" s="1">
        <f t="shared" si="3"/>
        <v>731.61290322580646</v>
      </c>
      <c r="L18" s="1">
        <v>26.129032258064516</v>
      </c>
      <c r="M18" s="1">
        <f t="shared" si="4"/>
        <v>0</v>
      </c>
      <c r="N18" s="1">
        <v>0</v>
      </c>
      <c r="O18" s="1">
        <f t="shared" si="5"/>
        <v>0</v>
      </c>
      <c r="P18" s="1">
        <v>0</v>
      </c>
      <c r="Q18" s="1">
        <f t="shared" si="6"/>
        <v>8974.4516129032254</v>
      </c>
      <c r="R18" s="1">
        <v>320.51612903225805</v>
      </c>
      <c r="S18" s="1">
        <f t="shared" si="7"/>
        <v>0</v>
      </c>
      <c r="T18" s="1">
        <v>0</v>
      </c>
      <c r="U18" s="1">
        <f t="shared" si="8"/>
        <v>260.12903225806451</v>
      </c>
      <c r="V18" s="1">
        <v>9.2903225806451619</v>
      </c>
      <c r="W18" s="1">
        <f t="shared" si="9"/>
        <v>0</v>
      </c>
      <c r="X18" s="1">
        <v>0</v>
      </c>
      <c r="Y18" s="1">
        <f t="shared" si="10"/>
        <v>0</v>
      </c>
      <c r="Z18" s="1">
        <v>0</v>
      </c>
      <c r="AA18" s="1">
        <f t="shared" si="11"/>
        <v>0</v>
      </c>
      <c r="AB18" s="1">
        <v>0</v>
      </c>
    </row>
    <row r="19" spans="1:28" x14ac:dyDescent="0.25">
      <c r="A19">
        <v>6364</v>
      </c>
      <c r="B19" t="s">
        <v>9</v>
      </c>
      <c r="C19" t="s">
        <v>0</v>
      </c>
      <c r="D19" t="s">
        <v>8</v>
      </c>
      <c r="E19" s="1">
        <f t="shared" si="0"/>
        <v>0</v>
      </c>
      <c r="F19" s="1">
        <v>0</v>
      </c>
      <c r="G19" s="1">
        <f t="shared" si="1"/>
        <v>352.25806451612902</v>
      </c>
      <c r="H19" s="1">
        <v>12.580645161290322</v>
      </c>
      <c r="I19" s="1">
        <f t="shared" si="2"/>
        <v>474.19354838709671</v>
      </c>
      <c r="J19" s="1">
        <v>16.93548387096774</v>
      </c>
      <c r="K19" s="1">
        <f t="shared" si="3"/>
        <v>0</v>
      </c>
      <c r="L19" s="1">
        <v>0</v>
      </c>
      <c r="M19" s="1">
        <f t="shared" si="4"/>
        <v>0</v>
      </c>
      <c r="N19" s="1">
        <v>0</v>
      </c>
      <c r="O19" s="1">
        <f t="shared" si="5"/>
        <v>0</v>
      </c>
      <c r="P19" s="1">
        <v>0</v>
      </c>
      <c r="Q19" s="1">
        <f t="shared" si="6"/>
        <v>4790.7096774193551</v>
      </c>
      <c r="R19" s="1">
        <v>171.09677419354838</v>
      </c>
      <c r="S19" s="1">
        <f t="shared" si="7"/>
        <v>0</v>
      </c>
      <c r="T19" s="1">
        <v>0</v>
      </c>
      <c r="U19" s="1">
        <f t="shared" si="8"/>
        <v>195.09677419354838</v>
      </c>
      <c r="V19" s="1">
        <v>6.967741935483871</v>
      </c>
      <c r="W19" s="1">
        <f t="shared" si="9"/>
        <v>0</v>
      </c>
      <c r="X19" s="1">
        <v>0</v>
      </c>
      <c r="Y19" s="1">
        <f t="shared" si="10"/>
        <v>0</v>
      </c>
      <c r="Z19" s="1">
        <v>0</v>
      </c>
      <c r="AA19" s="1">
        <f t="shared" si="11"/>
        <v>0</v>
      </c>
      <c r="AB1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4356-9F26-4694-B4AB-F1255429A17E}">
  <dimension ref="A1:AB19"/>
  <sheetViews>
    <sheetView zoomScale="80" zoomScaleNormal="80" workbookViewId="0">
      <selection activeCell="D20" sqref="D20"/>
    </sheetView>
  </sheetViews>
  <sheetFormatPr defaultRowHeight="15" x14ac:dyDescent="0.25"/>
  <cols>
    <col min="1" max="1" width="9.42578125" customWidth="1"/>
    <col min="2" max="2" width="49.85546875" customWidth="1"/>
    <col min="3" max="4" width="9.42578125" customWidth="1"/>
    <col min="5" max="5" width="12.28515625" bestFit="1" customWidth="1"/>
    <col min="6" max="6" width="11" bestFit="1" customWidth="1"/>
    <col min="7" max="7" width="12.7109375" bestFit="1" customWidth="1"/>
    <col min="8" max="8" width="11.42578125" bestFit="1" customWidth="1"/>
    <col min="9" max="9" width="13" bestFit="1" customWidth="1"/>
    <col min="10" max="10" width="11.7109375" bestFit="1" customWidth="1"/>
    <col min="11" max="11" width="10" bestFit="1" customWidth="1"/>
    <col min="12" max="12" width="8.7109375" bestFit="1" customWidth="1"/>
    <col min="13" max="13" width="19.42578125" bestFit="1" customWidth="1"/>
    <col min="14" max="14" width="18" bestFit="1" customWidth="1"/>
    <col min="15" max="15" width="9.42578125" customWidth="1"/>
    <col min="16" max="16" width="16.7109375" bestFit="1" customWidth="1"/>
    <col min="17" max="17" width="11.7109375" bestFit="1" customWidth="1"/>
    <col min="18" max="18" width="10.5703125" bestFit="1" customWidth="1"/>
    <col min="19" max="19" width="11.7109375" bestFit="1" customWidth="1"/>
    <col min="20" max="20" width="10.5703125" bestFit="1" customWidth="1"/>
    <col min="21" max="21" width="11.7109375" bestFit="1" customWidth="1"/>
    <col min="22" max="22" width="10.5703125" bestFit="1" customWidth="1"/>
    <col min="23" max="23" width="13.140625" customWidth="1"/>
    <col min="24" max="24" width="12" bestFit="1" customWidth="1"/>
    <col min="25" max="25" width="13.7109375" bestFit="1" customWidth="1"/>
    <col min="26" max="26" width="12.42578125" bestFit="1" customWidth="1"/>
    <col min="27" max="27" width="14.85546875" bestFit="1" customWidth="1"/>
    <col min="28" max="28" width="13.42578125" bestFit="1" customWidth="1"/>
  </cols>
  <sheetData>
    <row r="1" spans="1:28" s="2" customFormat="1" ht="12.75" x14ac:dyDescent="0.2">
      <c r="A1" s="2" t="s">
        <v>28</v>
      </c>
      <c r="B1" s="2" t="s">
        <v>27</v>
      </c>
      <c r="C1" s="2" t="s">
        <v>26</v>
      </c>
      <c r="D1" s="2" t="s">
        <v>25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</row>
    <row r="2" spans="1:28" x14ac:dyDescent="0.25">
      <c r="A2">
        <v>120</v>
      </c>
      <c r="B2" t="s">
        <v>7</v>
      </c>
      <c r="C2" t="s">
        <v>0</v>
      </c>
      <c r="D2" t="s">
        <v>2</v>
      </c>
      <c r="E2">
        <f>F2*31</f>
        <v>30</v>
      </c>
      <c r="F2" s="1">
        <v>0.967741935483871</v>
      </c>
      <c r="G2" s="1">
        <f>H2*31</f>
        <v>5970</v>
      </c>
      <c r="H2" s="1">
        <v>192.58064516129033</v>
      </c>
      <c r="I2" s="1">
        <f>J2*31</f>
        <v>2985</v>
      </c>
      <c r="J2" s="1">
        <v>96.290322580645167</v>
      </c>
      <c r="K2" s="1">
        <f>L2*31</f>
        <v>360</v>
      </c>
      <c r="L2" s="1">
        <v>11.612903225806452</v>
      </c>
      <c r="M2" s="1">
        <f>N2*31</f>
        <v>0</v>
      </c>
      <c r="N2" s="1">
        <v>0</v>
      </c>
      <c r="O2" s="1">
        <f>P2*31</f>
        <v>375</v>
      </c>
      <c r="P2" s="1">
        <v>12.096774193548388</v>
      </c>
      <c r="Q2" s="1">
        <f>R2*31</f>
        <v>6456</v>
      </c>
      <c r="R2" s="1">
        <v>208.25806451612902</v>
      </c>
      <c r="S2" s="1">
        <f>T2*31</f>
        <v>658</v>
      </c>
      <c r="T2" s="1">
        <v>21.225806451612904</v>
      </c>
      <c r="U2" s="1">
        <f>V2*31</f>
        <v>192</v>
      </c>
      <c r="V2" s="1">
        <v>6.193548387096774</v>
      </c>
      <c r="W2" s="1">
        <f>X2*31</f>
        <v>40</v>
      </c>
      <c r="X2" s="1">
        <v>1.2903225806451613</v>
      </c>
      <c r="Y2" s="1">
        <f>Z2*31</f>
        <v>0</v>
      </c>
      <c r="Z2" s="1">
        <v>0</v>
      </c>
      <c r="AA2" s="1">
        <f>AB2*31</f>
        <v>10</v>
      </c>
      <c r="AB2" s="1">
        <v>0.32258064516129031</v>
      </c>
    </row>
    <row r="3" spans="1:28" x14ac:dyDescent="0.25">
      <c r="A3">
        <v>241</v>
      </c>
      <c r="B3" t="s">
        <v>12</v>
      </c>
      <c r="C3" t="s">
        <v>0</v>
      </c>
      <c r="D3" t="s">
        <v>10</v>
      </c>
      <c r="E3">
        <f t="shared" ref="E3:E19" si="0">F3*31</f>
        <v>0</v>
      </c>
      <c r="F3" s="1">
        <v>0</v>
      </c>
      <c r="G3" s="1">
        <f t="shared" ref="G3:G19" si="1">H3*31</f>
        <v>3285</v>
      </c>
      <c r="H3" s="1">
        <v>105.96774193548387</v>
      </c>
      <c r="I3" s="1">
        <f t="shared" ref="I3:I19" si="2">J3*31</f>
        <v>1365</v>
      </c>
      <c r="J3" s="1">
        <v>44.032258064516128</v>
      </c>
      <c r="K3" s="1">
        <f t="shared" ref="K3:K19" si="3">L3*31</f>
        <v>735</v>
      </c>
      <c r="L3" s="1">
        <v>23.70967741935484</v>
      </c>
      <c r="M3" s="1">
        <f t="shared" ref="M3:M19" si="4">N3*31</f>
        <v>0</v>
      </c>
      <c r="N3" s="1">
        <v>0</v>
      </c>
      <c r="O3" s="1">
        <f t="shared" ref="O3:O19" si="5">P3*31</f>
        <v>390</v>
      </c>
      <c r="P3" s="1">
        <v>12.580645161290322</v>
      </c>
      <c r="Q3" s="1">
        <f t="shared" ref="Q3:Q19" si="6">R3*31</f>
        <v>2016</v>
      </c>
      <c r="R3" s="1">
        <v>65.032258064516128</v>
      </c>
      <c r="S3" s="1">
        <f t="shared" ref="S3:S19" si="7">T3*31</f>
        <v>0</v>
      </c>
      <c r="T3" s="1">
        <v>0</v>
      </c>
      <c r="U3" s="1">
        <f t="shared" ref="U3:U19" si="8">V3*31</f>
        <v>72</v>
      </c>
      <c r="V3" s="1">
        <v>2.3225806451612905</v>
      </c>
      <c r="W3" s="1">
        <f t="shared" ref="W3:W19" si="9">X3*31</f>
        <v>0</v>
      </c>
      <c r="X3" s="1">
        <v>0</v>
      </c>
      <c r="Y3" s="1">
        <f t="shared" ref="Y3:Y19" si="10">Z3*31</f>
        <v>0</v>
      </c>
      <c r="Z3" s="1">
        <v>0</v>
      </c>
      <c r="AA3" s="1">
        <f t="shared" ref="AA3:AA19" si="11">AB3*31</f>
        <v>0</v>
      </c>
      <c r="AB3" s="1">
        <v>0</v>
      </c>
    </row>
    <row r="4" spans="1:28" x14ac:dyDescent="0.25">
      <c r="A4">
        <v>299</v>
      </c>
      <c r="B4" t="s">
        <v>17</v>
      </c>
      <c r="C4" t="s">
        <v>0</v>
      </c>
      <c r="D4" t="s">
        <v>13</v>
      </c>
      <c r="E4">
        <f t="shared" si="0"/>
        <v>0</v>
      </c>
      <c r="F4" s="1">
        <v>0</v>
      </c>
      <c r="G4" s="1">
        <f t="shared" si="1"/>
        <v>3510</v>
      </c>
      <c r="H4" s="1">
        <v>113.2258064516129</v>
      </c>
      <c r="I4" s="1">
        <f t="shared" si="2"/>
        <v>1185</v>
      </c>
      <c r="J4" s="1">
        <v>38.225806451612904</v>
      </c>
      <c r="K4" s="1">
        <f t="shared" si="3"/>
        <v>675</v>
      </c>
      <c r="L4" s="1">
        <v>21.774193548387096</v>
      </c>
      <c r="M4" s="1">
        <f t="shared" si="4"/>
        <v>0</v>
      </c>
      <c r="N4" s="1">
        <v>0</v>
      </c>
      <c r="O4" s="1">
        <f t="shared" si="5"/>
        <v>1215</v>
      </c>
      <c r="P4" s="1">
        <v>39.193548387096776</v>
      </c>
      <c r="Q4" s="1">
        <f t="shared" si="6"/>
        <v>4896</v>
      </c>
      <c r="R4" s="1">
        <v>157.93548387096774</v>
      </c>
      <c r="S4" s="1">
        <f t="shared" si="7"/>
        <v>350</v>
      </c>
      <c r="T4" s="1">
        <v>11.290322580645162</v>
      </c>
      <c r="U4" s="1">
        <f t="shared" si="8"/>
        <v>144</v>
      </c>
      <c r="V4" s="1">
        <v>4.645161290322581</v>
      </c>
      <c r="W4" s="1">
        <f t="shared" si="9"/>
        <v>0</v>
      </c>
      <c r="X4" s="1">
        <v>0</v>
      </c>
      <c r="Y4" s="1">
        <f t="shared" si="10"/>
        <v>0</v>
      </c>
      <c r="Z4" s="1">
        <v>0</v>
      </c>
      <c r="AA4" s="1">
        <f t="shared" si="11"/>
        <v>0</v>
      </c>
      <c r="AB4" s="1">
        <v>0</v>
      </c>
    </row>
    <row r="5" spans="1:28" x14ac:dyDescent="0.25">
      <c r="A5">
        <v>479</v>
      </c>
      <c r="B5" t="s">
        <v>16</v>
      </c>
      <c r="C5" t="s">
        <v>0</v>
      </c>
      <c r="D5" t="s">
        <v>13</v>
      </c>
      <c r="E5">
        <f t="shared" si="0"/>
        <v>420</v>
      </c>
      <c r="F5" s="1">
        <v>13.548387096774194</v>
      </c>
      <c r="G5" s="1">
        <f t="shared" si="1"/>
        <v>3000</v>
      </c>
      <c r="H5" s="1">
        <v>96.774193548387103</v>
      </c>
      <c r="I5" s="1">
        <f t="shared" si="2"/>
        <v>1080</v>
      </c>
      <c r="J5" s="1">
        <v>34.838709677419352</v>
      </c>
      <c r="K5" s="1">
        <f t="shared" si="3"/>
        <v>0</v>
      </c>
      <c r="L5" s="1">
        <v>0</v>
      </c>
      <c r="M5" s="1">
        <f t="shared" si="4"/>
        <v>0</v>
      </c>
      <c r="N5" s="1">
        <v>0</v>
      </c>
      <c r="O5" s="1">
        <f t="shared" si="5"/>
        <v>240</v>
      </c>
      <c r="P5" s="1">
        <v>7.741935483870968</v>
      </c>
      <c r="Q5" s="1">
        <f t="shared" si="6"/>
        <v>3312</v>
      </c>
      <c r="R5" s="1">
        <v>106.83870967741936</v>
      </c>
      <c r="S5" s="1">
        <f t="shared" si="7"/>
        <v>427</v>
      </c>
      <c r="T5" s="1">
        <v>13.774193548387096</v>
      </c>
      <c r="U5" s="1">
        <f t="shared" si="8"/>
        <v>120</v>
      </c>
      <c r="V5" s="1">
        <v>3.870967741935484</v>
      </c>
      <c r="W5" s="1">
        <f t="shared" si="9"/>
        <v>0</v>
      </c>
      <c r="X5" s="1">
        <v>0</v>
      </c>
      <c r="Y5" s="1">
        <f t="shared" si="10"/>
        <v>0</v>
      </c>
      <c r="Z5" s="1">
        <v>0</v>
      </c>
      <c r="AA5" s="1">
        <f t="shared" si="11"/>
        <v>0</v>
      </c>
      <c r="AB5" s="1">
        <v>0</v>
      </c>
    </row>
    <row r="6" spans="1:28" x14ac:dyDescent="0.25">
      <c r="A6">
        <v>680</v>
      </c>
      <c r="B6" t="s">
        <v>6</v>
      </c>
      <c r="C6" t="s">
        <v>0</v>
      </c>
      <c r="D6" t="s">
        <v>2</v>
      </c>
      <c r="E6">
        <f t="shared" si="0"/>
        <v>345</v>
      </c>
      <c r="F6" s="1">
        <v>11.129032258064516</v>
      </c>
      <c r="G6" s="1">
        <f t="shared" si="1"/>
        <v>7350</v>
      </c>
      <c r="H6" s="1">
        <v>237.09677419354838</v>
      </c>
      <c r="I6" s="1">
        <f t="shared" si="2"/>
        <v>2670</v>
      </c>
      <c r="J6" s="1">
        <v>86.129032258064512</v>
      </c>
      <c r="K6" s="1">
        <f t="shared" si="3"/>
        <v>60</v>
      </c>
      <c r="L6" s="1">
        <v>1.935483870967742</v>
      </c>
      <c r="M6" s="1">
        <f t="shared" si="4"/>
        <v>0</v>
      </c>
      <c r="N6" s="1">
        <v>0</v>
      </c>
      <c r="O6" s="1">
        <f t="shared" si="5"/>
        <v>0</v>
      </c>
      <c r="P6" s="1">
        <v>0</v>
      </c>
      <c r="Q6" s="1">
        <f t="shared" si="6"/>
        <v>9432</v>
      </c>
      <c r="R6" s="1">
        <v>304.25806451612902</v>
      </c>
      <c r="S6" s="1">
        <f t="shared" si="7"/>
        <v>148</v>
      </c>
      <c r="T6" s="1">
        <v>4.774193548387097</v>
      </c>
      <c r="U6" s="1">
        <f t="shared" si="8"/>
        <v>240</v>
      </c>
      <c r="V6" s="1">
        <v>7.741935483870968</v>
      </c>
      <c r="W6" s="1">
        <f t="shared" si="9"/>
        <v>0</v>
      </c>
      <c r="X6" s="1">
        <v>0</v>
      </c>
      <c r="Y6" s="1">
        <f t="shared" si="10"/>
        <v>0</v>
      </c>
      <c r="Z6" s="1">
        <v>0</v>
      </c>
      <c r="AA6" s="1">
        <f t="shared" si="11"/>
        <v>0</v>
      </c>
      <c r="AB6" s="1">
        <v>0</v>
      </c>
    </row>
    <row r="7" spans="1:28" x14ac:dyDescent="0.25">
      <c r="A7">
        <v>682</v>
      </c>
      <c r="B7" t="s">
        <v>11</v>
      </c>
      <c r="C7" t="s">
        <v>0</v>
      </c>
      <c r="D7" t="s">
        <v>10</v>
      </c>
      <c r="E7">
        <f t="shared" si="0"/>
        <v>0</v>
      </c>
      <c r="F7" s="1">
        <v>0</v>
      </c>
      <c r="G7" s="1">
        <f t="shared" si="1"/>
        <v>3120</v>
      </c>
      <c r="H7" s="1">
        <v>100.64516129032258</v>
      </c>
      <c r="I7" s="1">
        <f t="shared" si="2"/>
        <v>1395</v>
      </c>
      <c r="J7" s="1">
        <v>45</v>
      </c>
      <c r="K7" s="1">
        <f t="shared" si="3"/>
        <v>780</v>
      </c>
      <c r="L7" s="1">
        <v>25.161290322580644</v>
      </c>
      <c r="M7" s="1">
        <f t="shared" si="4"/>
        <v>0</v>
      </c>
      <c r="N7" s="1">
        <v>0</v>
      </c>
      <c r="O7" s="1">
        <f t="shared" si="5"/>
        <v>435</v>
      </c>
      <c r="P7" s="1">
        <v>14.03225806451613</v>
      </c>
      <c r="Q7" s="1">
        <f t="shared" si="6"/>
        <v>2064</v>
      </c>
      <c r="R7" s="1">
        <v>66.58064516129032</v>
      </c>
      <c r="S7" s="1">
        <f t="shared" si="7"/>
        <v>0</v>
      </c>
      <c r="T7" s="1">
        <v>0</v>
      </c>
      <c r="U7" s="1">
        <f t="shared" si="8"/>
        <v>72</v>
      </c>
      <c r="V7" s="1">
        <v>2.3225806451612905</v>
      </c>
      <c r="W7" s="1">
        <f t="shared" si="9"/>
        <v>0</v>
      </c>
      <c r="X7" s="1">
        <v>0</v>
      </c>
      <c r="Y7" s="1">
        <f t="shared" si="10"/>
        <v>0</v>
      </c>
      <c r="Z7" s="1">
        <v>0</v>
      </c>
      <c r="AA7" s="1">
        <f t="shared" si="11"/>
        <v>0</v>
      </c>
      <c r="AB7" s="1">
        <v>0</v>
      </c>
    </row>
    <row r="8" spans="1:28" x14ac:dyDescent="0.25">
      <c r="A8">
        <v>795</v>
      </c>
      <c r="B8" t="s">
        <v>22</v>
      </c>
      <c r="C8" t="s">
        <v>0</v>
      </c>
      <c r="D8" t="s">
        <v>20</v>
      </c>
      <c r="E8">
        <f t="shared" si="0"/>
        <v>0</v>
      </c>
      <c r="F8" s="1">
        <v>0</v>
      </c>
      <c r="G8" s="1">
        <f t="shared" si="1"/>
        <v>8340</v>
      </c>
      <c r="H8" s="1">
        <v>269.03225806451616</v>
      </c>
      <c r="I8" s="1">
        <f t="shared" si="2"/>
        <v>2565</v>
      </c>
      <c r="J8" s="1">
        <v>82.741935483870961</v>
      </c>
      <c r="K8" s="1">
        <f t="shared" si="3"/>
        <v>180</v>
      </c>
      <c r="L8" s="1">
        <v>5.806451612903226</v>
      </c>
      <c r="M8" s="1">
        <f t="shared" si="4"/>
        <v>0</v>
      </c>
      <c r="N8" s="1">
        <v>0</v>
      </c>
      <c r="O8" s="1">
        <f t="shared" si="5"/>
        <v>0</v>
      </c>
      <c r="P8" s="1">
        <v>0</v>
      </c>
      <c r="Q8" s="1">
        <f t="shared" si="6"/>
        <v>8064</v>
      </c>
      <c r="R8" s="1">
        <v>260.12903225806451</v>
      </c>
      <c r="S8" s="1">
        <f t="shared" si="7"/>
        <v>546</v>
      </c>
      <c r="T8" s="1">
        <v>17.612903225806452</v>
      </c>
      <c r="U8" s="1">
        <f t="shared" si="8"/>
        <v>264</v>
      </c>
      <c r="V8" s="1">
        <v>8.5161290322580641</v>
      </c>
      <c r="W8" s="1">
        <f t="shared" si="9"/>
        <v>0</v>
      </c>
      <c r="X8" s="1">
        <v>0</v>
      </c>
      <c r="Y8" s="1">
        <f t="shared" si="10"/>
        <v>0</v>
      </c>
      <c r="Z8" s="1">
        <v>0</v>
      </c>
      <c r="AA8" s="1">
        <f t="shared" si="11"/>
        <v>0</v>
      </c>
      <c r="AB8" s="1">
        <v>0</v>
      </c>
    </row>
    <row r="9" spans="1:28" x14ac:dyDescent="0.25">
      <c r="A9">
        <v>982</v>
      </c>
      <c r="B9" t="s">
        <v>6</v>
      </c>
      <c r="C9" t="s">
        <v>0</v>
      </c>
      <c r="D9" t="s">
        <v>8</v>
      </c>
      <c r="E9">
        <f t="shared" si="0"/>
        <v>0</v>
      </c>
      <c r="F9" s="1">
        <v>0</v>
      </c>
      <c r="G9" s="1">
        <f t="shared" si="1"/>
        <v>5970</v>
      </c>
      <c r="H9" s="1">
        <v>192.58064516129033</v>
      </c>
      <c r="I9" s="1">
        <f t="shared" si="2"/>
        <v>1305</v>
      </c>
      <c r="J9" s="1">
        <v>42.096774193548384</v>
      </c>
      <c r="K9" s="1">
        <f t="shared" si="3"/>
        <v>1155</v>
      </c>
      <c r="L9" s="1">
        <v>37.258064516129032</v>
      </c>
      <c r="M9" s="1">
        <f t="shared" si="4"/>
        <v>0</v>
      </c>
      <c r="N9" s="1">
        <v>0</v>
      </c>
      <c r="O9" s="1">
        <f t="shared" si="5"/>
        <v>0</v>
      </c>
      <c r="P9" s="1">
        <v>0</v>
      </c>
      <c r="Q9" s="1">
        <f t="shared" si="6"/>
        <v>6216</v>
      </c>
      <c r="R9" s="1">
        <v>200.51612903225808</v>
      </c>
      <c r="S9" s="1">
        <f t="shared" si="7"/>
        <v>1806</v>
      </c>
      <c r="T9" s="1">
        <v>58.258064516129032</v>
      </c>
      <c r="U9" s="1">
        <f t="shared" si="8"/>
        <v>192</v>
      </c>
      <c r="V9" s="1">
        <v>6.193548387096774</v>
      </c>
      <c r="W9" s="1">
        <f t="shared" si="9"/>
        <v>0</v>
      </c>
      <c r="X9" s="1">
        <v>0</v>
      </c>
      <c r="Y9" s="1">
        <f t="shared" si="10"/>
        <v>0</v>
      </c>
      <c r="Z9" s="1">
        <v>0</v>
      </c>
      <c r="AA9" s="1">
        <f t="shared" si="11"/>
        <v>0</v>
      </c>
      <c r="AB9" s="1">
        <v>0</v>
      </c>
    </row>
    <row r="10" spans="1:28" x14ac:dyDescent="0.25">
      <c r="A10">
        <v>1594</v>
      </c>
      <c r="B10" t="s">
        <v>15</v>
      </c>
      <c r="C10" t="s">
        <v>0</v>
      </c>
      <c r="D10" t="s">
        <v>13</v>
      </c>
      <c r="E10">
        <f t="shared" si="0"/>
        <v>0</v>
      </c>
      <c r="F10" s="1">
        <v>0</v>
      </c>
      <c r="G10" s="1">
        <f t="shared" si="1"/>
        <v>11715</v>
      </c>
      <c r="H10" s="1">
        <v>377.90322580645159</v>
      </c>
      <c r="I10" s="1">
        <f t="shared" si="2"/>
        <v>3990.0000000000005</v>
      </c>
      <c r="J10" s="1">
        <v>128.70967741935485</v>
      </c>
      <c r="K10" s="1">
        <f t="shared" si="3"/>
        <v>735</v>
      </c>
      <c r="L10" s="1">
        <v>23.70967741935484</v>
      </c>
      <c r="M10" s="1">
        <f t="shared" si="4"/>
        <v>0</v>
      </c>
      <c r="N10" s="1">
        <v>0</v>
      </c>
      <c r="O10" s="1">
        <f t="shared" si="5"/>
        <v>1170</v>
      </c>
      <c r="P10" s="1">
        <v>37.741935483870968</v>
      </c>
      <c r="Q10" s="1">
        <f t="shared" si="6"/>
        <v>20280</v>
      </c>
      <c r="R10" s="1">
        <v>654.19354838709683</v>
      </c>
      <c r="S10" s="1">
        <f t="shared" si="7"/>
        <v>2688</v>
      </c>
      <c r="T10" s="1">
        <v>86.709677419354833</v>
      </c>
      <c r="U10" s="1">
        <f t="shared" si="8"/>
        <v>552</v>
      </c>
      <c r="V10" s="1">
        <v>17.806451612903224</v>
      </c>
      <c r="W10" s="1">
        <f t="shared" si="9"/>
        <v>0</v>
      </c>
      <c r="X10" s="1">
        <v>0</v>
      </c>
      <c r="Y10" s="1">
        <f t="shared" si="10"/>
        <v>0</v>
      </c>
      <c r="Z10" s="1">
        <v>0</v>
      </c>
      <c r="AA10" s="1">
        <f t="shared" si="11"/>
        <v>0</v>
      </c>
      <c r="AB10" s="1">
        <v>0</v>
      </c>
    </row>
    <row r="11" spans="1:28" x14ac:dyDescent="0.25">
      <c r="A11">
        <v>1693</v>
      </c>
      <c r="B11" t="s">
        <v>5</v>
      </c>
      <c r="C11" t="s">
        <v>0</v>
      </c>
      <c r="D11" t="s">
        <v>2</v>
      </c>
      <c r="E11">
        <f t="shared" si="0"/>
        <v>0</v>
      </c>
      <c r="F11" s="1">
        <v>0</v>
      </c>
      <c r="G11" s="1">
        <f t="shared" si="1"/>
        <v>3825</v>
      </c>
      <c r="H11" s="1">
        <v>123.38709677419355</v>
      </c>
      <c r="I11" s="1">
        <f t="shared" si="2"/>
        <v>900</v>
      </c>
      <c r="J11" s="1">
        <v>29.032258064516128</v>
      </c>
      <c r="K11" s="1">
        <f t="shared" si="3"/>
        <v>390</v>
      </c>
      <c r="L11" s="1">
        <v>12.580645161290322</v>
      </c>
      <c r="M11" s="1">
        <f t="shared" si="4"/>
        <v>0</v>
      </c>
      <c r="N11" s="1">
        <v>0</v>
      </c>
      <c r="O11" s="1">
        <f t="shared" si="5"/>
        <v>0</v>
      </c>
      <c r="P11" s="1">
        <v>0</v>
      </c>
      <c r="Q11" s="1">
        <f t="shared" si="6"/>
        <v>2184</v>
      </c>
      <c r="R11" s="1">
        <v>70.451612903225808</v>
      </c>
      <c r="S11" s="1">
        <f t="shared" si="7"/>
        <v>77</v>
      </c>
      <c r="T11" s="1">
        <v>2.4838709677419355</v>
      </c>
      <c r="U11" s="1">
        <f t="shared" si="8"/>
        <v>72</v>
      </c>
      <c r="V11" s="1">
        <v>2.3225806451612905</v>
      </c>
      <c r="W11" s="1">
        <f t="shared" si="9"/>
        <v>60</v>
      </c>
      <c r="X11" s="1">
        <v>1.935483870967742</v>
      </c>
      <c r="Y11" s="1">
        <f t="shared" si="10"/>
        <v>0</v>
      </c>
      <c r="Z11" s="1">
        <v>0</v>
      </c>
      <c r="AA11" s="1">
        <f t="shared" si="11"/>
        <v>50</v>
      </c>
      <c r="AB11" s="1">
        <v>1.6129032258064515</v>
      </c>
    </row>
    <row r="12" spans="1:28" x14ac:dyDescent="0.25">
      <c r="A12">
        <v>1778</v>
      </c>
      <c r="B12" t="s">
        <v>4</v>
      </c>
      <c r="C12" t="s">
        <v>0</v>
      </c>
      <c r="D12" t="s">
        <v>2</v>
      </c>
      <c r="E12">
        <f t="shared" si="0"/>
        <v>0</v>
      </c>
      <c r="F12" s="1">
        <v>0</v>
      </c>
      <c r="G12" s="1">
        <f t="shared" si="1"/>
        <v>4020.0000000000005</v>
      </c>
      <c r="H12" s="1">
        <v>129.67741935483872</v>
      </c>
      <c r="I12" s="1">
        <f t="shared" si="2"/>
        <v>1245</v>
      </c>
      <c r="J12" s="1">
        <v>40.161290322580648</v>
      </c>
      <c r="K12" s="1">
        <f t="shared" si="3"/>
        <v>330</v>
      </c>
      <c r="L12" s="1">
        <v>10.64516129032258</v>
      </c>
      <c r="M12" s="1">
        <f t="shared" si="4"/>
        <v>0</v>
      </c>
      <c r="N12" s="1">
        <v>0</v>
      </c>
      <c r="O12" s="1">
        <f t="shared" si="5"/>
        <v>180</v>
      </c>
      <c r="P12" s="1">
        <v>5.806451612903226</v>
      </c>
      <c r="Q12" s="1">
        <f t="shared" si="6"/>
        <v>360</v>
      </c>
      <c r="R12" s="1">
        <v>11.612903225806452</v>
      </c>
      <c r="S12" s="1">
        <f t="shared" si="7"/>
        <v>0</v>
      </c>
      <c r="T12" s="1">
        <v>0</v>
      </c>
      <c r="U12" s="1">
        <f t="shared" si="8"/>
        <v>0</v>
      </c>
      <c r="V12" s="1">
        <v>0</v>
      </c>
      <c r="W12" s="1">
        <f t="shared" si="9"/>
        <v>0</v>
      </c>
      <c r="X12" s="1">
        <v>0</v>
      </c>
      <c r="Y12" s="1">
        <f t="shared" si="10"/>
        <v>0</v>
      </c>
      <c r="Z12" s="1">
        <v>0</v>
      </c>
      <c r="AA12" s="1">
        <f t="shared" si="11"/>
        <v>0</v>
      </c>
      <c r="AB12" s="1">
        <v>0</v>
      </c>
    </row>
    <row r="13" spans="1:28" x14ac:dyDescent="0.25">
      <c r="A13">
        <v>1837</v>
      </c>
      <c r="B13" t="s">
        <v>19</v>
      </c>
      <c r="C13" t="s">
        <v>0</v>
      </c>
      <c r="D13" t="s">
        <v>18</v>
      </c>
      <c r="E13">
        <f t="shared" si="0"/>
        <v>0</v>
      </c>
      <c r="F13" s="1">
        <v>0</v>
      </c>
      <c r="G13" s="1">
        <f t="shared" si="1"/>
        <v>1845</v>
      </c>
      <c r="H13" s="1">
        <v>59.516129032258064</v>
      </c>
      <c r="I13" s="1">
        <f t="shared" si="2"/>
        <v>1230</v>
      </c>
      <c r="J13" s="1">
        <v>39.677419354838712</v>
      </c>
      <c r="K13" s="1">
        <f t="shared" si="3"/>
        <v>45</v>
      </c>
      <c r="L13" s="1">
        <v>1.4516129032258065</v>
      </c>
      <c r="M13" s="1">
        <f t="shared" si="4"/>
        <v>0</v>
      </c>
      <c r="N13" s="1">
        <v>0</v>
      </c>
      <c r="O13" s="1">
        <f t="shared" si="5"/>
        <v>0</v>
      </c>
      <c r="P13" s="1">
        <v>0</v>
      </c>
      <c r="Q13" s="1">
        <f t="shared" si="6"/>
        <v>1344</v>
      </c>
      <c r="R13" s="1">
        <v>43.354838709677416</v>
      </c>
      <c r="S13" s="1">
        <f t="shared" si="7"/>
        <v>1281</v>
      </c>
      <c r="T13" s="1">
        <v>41.322580645161288</v>
      </c>
      <c r="U13" s="1">
        <f t="shared" si="8"/>
        <v>78</v>
      </c>
      <c r="V13" s="1">
        <v>2.5161290322580645</v>
      </c>
      <c r="W13" s="1">
        <f t="shared" si="9"/>
        <v>0</v>
      </c>
      <c r="X13" s="1">
        <v>0</v>
      </c>
      <c r="Y13" s="1">
        <f t="shared" si="10"/>
        <v>0</v>
      </c>
      <c r="Z13" s="1">
        <v>0</v>
      </c>
      <c r="AA13" s="1">
        <f t="shared" si="11"/>
        <v>0</v>
      </c>
      <c r="AB13" s="1">
        <v>0</v>
      </c>
    </row>
    <row r="14" spans="1:28" x14ac:dyDescent="0.25">
      <c r="A14">
        <v>1979</v>
      </c>
      <c r="B14" t="s">
        <v>24</v>
      </c>
      <c r="C14" t="s">
        <v>0</v>
      </c>
      <c r="D14" t="s">
        <v>23</v>
      </c>
      <c r="E14">
        <f t="shared" si="0"/>
        <v>0</v>
      </c>
      <c r="F14" s="1">
        <v>0</v>
      </c>
      <c r="G14" s="1">
        <f t="shared" si="1"/>
        <v>5190</v>
      </c>
      <c r="H14" s="1">
        <v>167.41935483870967</v>
      </c>
      <c r="I14" s="1">
        <f t="shared" si="2"/>
        <v>1440</v>
      </c>
      <c r="J14" s="1">
        <v>46.451612903225808</v>
      </c>
      <c r="K14" s="1">
        <f t="shared" si="3"/>
        <v>585</v>
      </c>
      <c r="L14" s="1">
        <v>18.870967741935484</v>
      </c>
      <c r="M14" s="1">
        <f t="shared" si="4"/>
        <v>0</v>
      </c>
      <c r="N14" s="1">
        <v>0</v>
      </c>
      <c r="O14" s="1">
        <f t="shared" si="5"/>
        <v>0</v>
      </c>
      <c r="P14" s="1">
        <v>0</v>
      </c>
      <c r="Q14" s="1">
        <f t="shared" si="6"/>
        <v>5376</v>
      </c>
      <c r="R14" s="1">
        <v>173.41935483870967</v>
      </c>
      <c r="S14" s="1">
        <f t="shared" si="7"/>
        <v>0</v>
      </c>
      <c r="T14" s="1">
        <v>0</v>
      </c>
      <c r="U14" s="1">
        <f t="shared" si="8"/>
        <v>144</v>
      </c>
      <c r="V14" s="1">
        <v>4.645161290322581</v>
      </c>
      <c r="W14" s="1">
        <f t="shared" si="9"/>
        <v>0</v>
      </c>
      <c r="X14" s="1">
        <v>0</v>
      </c>
      <c r="Y14" s="1">
        <f t="shared" si="10"/>
        <v>0</v>
      </c>
      <c r="Z14" s="1">
        <v>0</v>
      </c>
      <c r="AA14" s="1">
        <f t="shared" si="11"/>
        <v>0</v>
      </c>
      <c r="AB14" s="1">
        <v>0</v>
      </c>
    </row>
    <row r="15" spans="1:28" x14ac:dyDescent="0.25">
      <c r="A15">
        <v>2071</v>
      </c>
      <c r="B15" t="s">
        <v>14</v>
      </c>
      <c r="C15" t="s">
        <v>0</v>
      </c>
      <c r="D15" t="s">
        <v>13</v>
      </c>
      <c r="E15">
        <f t="shared" si="0"/>
        <v>0</v>
      </c>
      <c r="F15" s="1">
        <v>0</v>
      </c>
      <c r="G15" s="1">
        <f t="shared" si="1"/>
        <v>2370</v>
      </c>
      <c r="H15" s="1">
        <v>76.451612903225808</v>
      </c>
      <c r="I15" s="1">
        <f t="shared" si="2"/>
        <v>810</v>
      </c>
      <c r="J15" s="1">
        <v>26.129032258064516</v>
      </c>
      <c r="K15" s="1">
        <f t="shared" si="3"/>
        <v>0</v>
      </c>
      <c r="L15" s="1">
        <v>0</v>
      </c>
      <c r="M15" s="1">
        <f t="shared" si="4"/>
        <v>0</v>
      </c>
      <c r="N15" s="1">
        <v>0</v>
      </c>
      <c r="O15" s="1">
        <f t="shared" si="5"/>
        <v>195</v>
      </c>
      <c r="P15" s="1">
        <v>6.290322580645161</v>
      </c>
      <c r="Q15" s="1">
        <f t="shared" si="6"/>
        <v>4512</v>
      </c>
      <c r="R15" s="1">
        <v>145.54838709677421</v>
      </c>
      <c r="S15" s="1">
        <f t="shared" si="7"/>
        <v>322</v>
      </c>
      <c r="T15" s="1">
        <v>10.387096774193548</v>
      </c>
      <c r="U15" s="1">
        <f t="shared" si="8"/>
        <v>168</v>
      </c>
      <c r="V15" s="1">
        <v>5.419354838709677</v>
      </c>
      <c r="W15" s="1">
        <f t="shared" si="9"/>
        <v>0</v>
      </c>
      <c r="X15" s="1">
        <v>0</v>
      </c>
      <c r="Y15" s="1">
        <f t="shared" si="10"/>
        <v>0</v>
      </c>
      <c r="Z15" s="1">
        <v>0</v>
      </c>
      <c r="AA15" s="1">
        <f t="shared" si="11"/>
        <v>0</v>
      </c>
      <c r="AB15" s="1">
        <v>0</v>
      </c>
    </row>
    <row r="16" spans="1:28" x14ac:dyDescent="0.25">
      <c r="A16">
        <v>2073</v>
      </c>
      <c r="B16" t="s">
        <v>21</v>
      </c>
      <c r="C16" t="s">
        <v>0</v>
      </c>
      <c r="D16" t="s">
        <v>20</v>
      </c>
      <c r="E16">
        <f t="shared" si="0"/>
        <v>0</v>
      </c>
      <c r="F16" s="1">
        <v>0</v>
      </c>
      <c r="G16" s="1">
        <f t="shared" si="1"/>
        <v>105</v>
      </c>
      <c r="H16" s="1">
        <v>3.3870967741935485</v>
      </c>
      <c r="I16" s="1">
        <f t="shared" si="2"/>
        <v>165</v>
      </c>
      <c r="J16" s="1">
        <v>5.32258064516129</v>
      </c>
      <c r="K16" s="1">
        <f t="shared" si="3"/>
        <v>0</v>
      </c>
      <c r="L16" s="1">
        <v>0</v>
      </c>
      <c r="M16" s="1">
        <f t="shared" si="4"/>
        <v>0</v>
      </c>
      <c r="N16" s="1">
        <v>0</v>
      </c>
      <c r="O16" s="1">
        <f t="shared" si="5"/>
        <v>0</v>
      </c>
      <c r="P16" s="1">
        <v>0</v>
      </c>
      <c r="Q16" s="1">
        <f t="shared" si="6"/>
        <v>3528</v>
      </c>
      <c r="R16" s="1">
        <v>113.80645161290323</v>
      </c>
      <c r="S16" s="1">
        <f t="shared" si="7"/>
        <v>140</v>
      </c>
      <c r="T16" s="1">
        <v>4.5161290322580649</v>
      </c>
      <c r="U16" s="1">
        <f t="shared" si="8"/>
        <v>216</v>
      </c>
      <c r="V16" s="1">
        <v>6.967741935483871</v>
      </c>
      <c r="W16" s="1">
        <f t="shared" si="9"/>
        <v>0</v>
      </c>
      <c r="X16" s="1">
        <v>0</v>
      </c>
      <c r="Y16" s="1">
        <f t="shared" si="10"/>
        <v>0</v>
      </c>
      <c r="Z16" s="1">
        <v>0</v>
      </c>
      <c r="AA16" s="1">
        <f t="shared" si="11"/>
        <v>0</v>
      </c>
      <c r="AB16" s="1">
        <v>0</v>
      </c>
    </row>
    <row r="17" spans="1:28" x14ac:dyDescent="0.25">
      <c r="A17">
        <v>2164</v>
      </c>
      <c r="B17" t="s">
        <v>3</v>
      </c>
      <c r="C17" t="s">
        <v>0</v>
      </c>
      <c r="D17" t="s">
        <v>2</v>
      </c>
      <c r="E17">
        <f t="shared" si="0"/>
        <v>0</v>
      </c>
      <c r="F17" s="1">
        <v>0</v>
      </c>
      <c r="G17" s="1">
        <f t="shared" si="1"/>
        <v>3105</v>
      </c>
      <c r="H17" s="1">
        <v>100.16129032258064</v>
      </c>
      <c r="I17" s="1">
        <f t="shared" si="2"/>
        <v>1725</v>
      </c>
      <c r="J17" s="1">
        <v>55.645161290322584</v>
      </c>
      <c r="K17" s="1">
        <f t="shared" si="3"/>
        <v>0</v>
      </c>
      <c r="L17" s="1">
        <v>0</v>
      </c>
      <c r="M17" s="1">
        <f t="shared" si="4"/>
        <v>0</v>
      </c>
      <c r="N17" s="1">
        <v>0</v>
      </c>
      <c r="O17" s="1">
        <f t="shared" si="5"/>
        <v>0</v>
      </c>
      <c r="P17" s="1">
        <v>0</v>
      </c>
      <c r="Q17" s="1">
        <f t="shared" si="6"/>
        <v>2784</v>
      </c>
      <c r="R17" s="1">
        <v>89.806451612903231</v>
      </c>
      <c r="S17" s="1">
        <f t="shared" si="7"/>
        <v>469</v>
      </c>
      <c r="T17" s="1">
        <v>15.129032258064516</v>
      </c>
      <c r="U17" s="1">
        <f t="shared" si="8"/>
        <v>72</v>
      </c>
      <c r="V17" s="1">
        <v>2.3225806451612905</v>
      </c>
      <c r="W17" s="1">
        <f t="shared" si="9"/>
        <v>0</v>
      </c>
      <c r="X17" s="1">
        <v>0</v>
      </c>
      <c r="Y17" s="1">
        <f t="shared" si="10"/>
        <v>0</v>
      </c>
      <c r="Z17" s="1">
        <v>0</v>
      </c>
      <c r="AA17" s="1">
        <f t="shared" si="11"/>
        <v>0</v>
      </c>
      <c r="AB17" s="1">
        <v>0</v>
      </c>
    </row>
    <row r="18" spans="1:28" x14ac:dyDescent="0.25">
      <c r="A18">
        <v>2274</v>
      </c>
      <c r="B18" t="s">
        <v>1</v>
      </c>
      <c r="C18" t="s">
        <v>0</v>
      </c>
      <c r="D18" t="s">
        <v>2</v>
      </c>
      <c r="E18">
        <f t="shared" si="0"/>
        <v>0</v>
      </c>
      <c r="F18" s="1">
        <v>0</v>
      </c>
      <c r="G18" s="1">
        <f t="shared" si="1"/>
        <v>3945</v>
      </c>
      <c r="H18" s="1">
        <v>127.25806451612904</v>
      </c>
      <c r="I18" s="1">
        <f t="shared" si="2"/>
        <v>750</v>
      </c>
      <c r="J18" s="1">
        <v>24.193548387096776</v>
      </c>
      <c r="K18" s="1">
        <f t="shared" si="3"/>
        <v>810</v>
      </c>
      <c r="L18" s="1">
        <v>26.129032258064516</v>
      </c>
      <c r="M18" s="1">
        <f t="shared" si="4"/>
        <v>0</v>
      </c>
      <c r="N18" s="1">
        <v>0</v>
      </c>
      <c r="O18" s="1">
        <f t="shared" si="5"/>
        <v>0</v>
      </c>
      <c r="P18" s="1">
        <v>0</v>
      </c>
      <c r="Q18" s="1">
        <f t="shared" si="6"/>
        <v>9936</v>
      </c>
      <c r="R18" s="1">
        <v>320.51612903225805</v>
      </c>
      <c r="S18" s="1">
        <f t="shared" si="7"/>
        <v>0</v>
      </c>
      <c r="T18" s="1">
        <v>0</v>
      </c>
      <c r="U18" s="1">
        <f t="shared" si="8"/>
        <v>288</v>
      </c>
      <c r="V18" s="1">
        <v>9.2903225806451619</v>
      </c>
      <c r="W18" s="1">
        <f t="shared" si="9"/>
        <v>0</v>
      </c>
      <c r="X18" s="1">
        <v>0</v>
      </c>
      <c r="Y18" s="1">
        <f t="shared" si="10"/>
        <v>0</v>
      </c>
      <c r="Z18" s="1">
        <v>0</v>
      </c>
      <c r="AA18" s="1">
        <f t="shared" si="11"/>
        <v>0</v>
      </c>
      <c r="AB18" s="1">
        <v>0</v>
      </c>
    </row>
    <row r="19" spans="1:28" x14ac:dyDescent="0.25">
      <c r="A19">
        <v>6364</v>
      </c>
      <c r="B19" t="s">
        <v>9</v>
      </c>
      <c r="C19" t="s">
        <v>0</v>
      </c>
      <c r="D19" t="s">
        <v>8</v>
      </c>
      <c r="E19">
        <f t="shared" si="0"/>
        <v>0</v>
      </c>
      <c r="F19" s="1">
        <v>0</v>
      </c>
      <c r="G19" s="1">
        <f t="shared" si="1"/>
        <v>390</v>
      </c>
      <c r="H19" s="1">
        <v>12.580645161290322</v>
      </c>
      <c r="I19" s="1">
        <f t="shared" si="2"/>
        <v>525</v>
      </c>
      <c r="J19" s="1">
        <v>16.93548387096774</v>
      </c>
      <c r="K19" s="1">
        <f t="shared" si="3"/>
        <v>0</v>
      </c>
      <c r="L19" s="1">
        <v>0</v>
      </c>
      <c r="M19" s="1">
        <f t="shared" si="4"/>
        <v>0</v>
      </c>
      <c r="N19" s="1">
        <v>0</v>
      </c>
      <c r="O19" s="1">
        <f t="shared" si="5"/>
        <v>0</v>
      </c>
      <c r="P19" s="1">
        <v>0</v>
      </c>
      <c r="Q19" s="1">
        <f t="shared" si="6"/>
        <v>5304</v>
      </c>
      <c r="R19" s="1">
        <v>171.09677419354838</v>
      </c>
      <c r="S19" s="1">
        <f t="shared" si="7"/>
        <v>0</v>
      </c>
      <c r="T19" s="1">
        <v>0</v>
      </c>
      <c r="U19" s="1">
        <f t="shared" si="8"/>
        <v>216</v>
      </c>
      <c r="V19" s="1">
        <v>6.967741935483871</v>
      </c>
      <c r="W19" s="1">
        <f t="shared" si="9"/>
        <v>0</v>
      </c>
      <c r="X19" s="1">
        <v>0</v>
      </c>
      <c r="Y19" s="1">
        <f t="shared" si="10"/>
        <v>0</v>
      </c>
      <c r="Z19" s="1">
        <v>0</v>
      </c>
      <c r="AA19" s="1">
        <f t="shared" si="11"/>
        <v>0</v>
      </c>
      <c r="AB19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E1A7-94E0-441D-8A5B-8346E00600A0}">
  <dimension ref="A1:I19"/>
  <sheetViews>
    <sheetView tabSelected="1" workbookViewId="0">
      <selection activeCell="F13" sqref="F13"/>
    </sheetView>
  </sheetViews>
  <sheetFormatPr defaultRowHeight="15" x14ac:dyDescent="0.25"/>
  <cols>
    <col min="2" max="2" width="48.28515625" customWidth="1"/>
    <col min="3" max="3" width="18.7109375" bestFit="1" customWidth="1"/>
    <col min="7" max="7" width="6.140625" bestFit="1" customWidth="1"/>
    <col min="8" max="8" width="4.85546875" bestFit="1" customWidth="1"/>
    <col min="9" max="9" width="9.42578125" bestFit="1" customWidth="1"/>
  </cols>
  <sheetData>
    <row r="1" spans="1:9" x14ac:dyDescent="0.25">
      <c r="A1" s="3" t="s">
        <v>32</v>
      </c>
      <c r="B1" s="3" t="s">
        <v>33</v>
      </c>
      <c r="C1" s="3" t="s">
        <v>25</v>
      </c>
      <c r="D1" s="4" t="s">
        <v>29</v>
      </c>
      <c r="E1" s="4" t="s">
        <v>30</v>
      </c>
      <c r="F1" s="4" t="s">
        <v>31</v>
      </c>
      <c r="G1" s="4" t="s">
        <v>34</v>
      </c>
      <c r="H1" s="4" t="s">
        <v>35</v>
      </c>
      <c r="I1" s="3" t="s">
        <v>36</v>
      </c>
    </row>
    <row r="2" spans="1:9" x14ac:dyDescent="0.25">
      <c r="A2">
        <v>120</v>
      </c>
      <c r="B2" t="s">
        <v>7</v>
      </c>
      <c r="C2" t="s">
        <v>2</v>
      </c>
      <c r="D2" s="1">
        <v>35.12903225806452</v>
      </c>
      <c r="E2" s="1">
        <v>36.285714285714285</v>
      </c>
      <c r="F2" s="1">
        <v>36.064516129032256</v>
      </c>
      <c r="G2" s="1">
        <v>38.200000000000003</v>
      </c>
      <c r="H2" s="1">
        <v>36.903225806451616</v>
      </c>
      <c r="I2" s="5">
        <v>36.516497695852536</v>
      </c>
    </row>
    <row r="3" spans="1:9" x14ac:dyDescent="0.25">
      <c r="A3">
        <v>241</v>
      </c>
      <c r="B3" t="s">
        <v>12</v>
      </c>
      <c r="C3" t="s">
        <v>10</v>
      </c>
      <c r="D3" s="1">
        <v>17.870967741935484</v>
      </c>
      <c r="E3" s="1">
        <v>16.75</v>
      </c>
      <c r="F3" s="1">
        <v>16.741935483870968</v>
      </c>
      <c r="G3" s="1">
        <v>20.766666666666666</v>
      </c>
      <c r="H3" s="1">
        <v>20.93548387096774</v>
      </c>
      <c r="I3" s="5">
        <v>18.613010752688172</v>
      </c>
    </row>
    <row r="4" spans="1:9" x14ac:dyDescent="0.25">
      <c r="A4">
        <v>299</v>
      </c>
      <c r="B4" t="s">
        <v>37</v>
      </c>
      <c r="C4" t="s">
        <v>13</v>
      </c>
      <c r="D4" s="1">
        <v>24.225806451612904</v>
      </c>
      <c r="E4" s="1">
        <v>24.75</v>
      </c>
      <c r="F4" s="1">
        <v>25</v>
      </c>
      <c r="G4" s="1">
        <v>24.633333333333333</v>
      </c>
      <c r="H4" s="1">
        <v>29.258064516129032</v>
      </c>
      <c r="I4" s="5">
        <v>25.573440860215051</v>
      </c>
    </row>
    <row r="5" spans="1:9" x14ac:dyDescent="0.25">
      <c r="A5">
        <v>479</v>
      </c>
      <c r="B5" t="s">
        <v>16</v>
      </c>
      <c r="C5" t="s">
        <v>13</v>
      </c>
      <c r="D5" s="1">
        <v>18.032258064516128</v>
      </c>
      <c r="E5" s="1">
        <v>18.392857142857142</v>
      </c>
      <c r="F5" s="1">
        <v>18.93548387096774</v>
      </c>
      <c r="G5" s="1">
        <v>23.6</v>
      </c>
      <c r="H5" s="1">
        <v>25.29032258064516</v>
      </c>
      <c r="I5" s="5">
        <v>20.85018433179723</v>
      </c>
    </row>
    <row r="6" spans="1:9" x14ac:dyDescent="0.25">
      <c r="A6">
        <v>680</v>
      </c>
      <c r="B6" t="s">
        <v>6</v>
      </c>
      <c r="C6" t="s">
        <v>2</v>
      </c>
      <c r="D6" s="1">
        <v>42.967741935483872</v>
      </c>
      <c r="E6" s="1">
        <v>39.642857142857146</v>
      </c>
      <c r="F6" s="1">
        <v>44.354838709677416</v>
      </c>
      <c r="G6" s="1">
        <v>49.966666666666669</v>
      </c>
      <c r="H6" s="1">
        <v>46.677419354838712</v>
      </c>
      <c r="I6" s="5">
        <v>44.72190476190476</v>
      </c>
    </row>
    <row r="7" spans="1:9" x14ac:dyDescent="0.25">
      <c r="A7">
        <v>682</v>
      </c>
      <c r="B7" t="s">
        <v>11</v>
      </c>
      <c r="C7" t="s">
        <v>10</v>
      </c>
      <c r="D7" s="1">
        <v>17.451612903225808</v>
      </c>
      <c r="E7" s="1">
        <v>16.714285714285715</v>
      </c>
      <c r="F7" s="1">
        <v>16.741935483870968</v>
      </c>
      <c r="G7" s="1">
        <v>20.9</v>
      </c>
      <c r="H7" s="1">
        <v>20.838709677419356</v>
      </c>
      <c r="I7" s="5">
        <v>18.529308755760372</v>
      </c>
    </row>
    <row r="8" spans="1:9" x14ac:dyDescent="0.25">
      <c r="A8">
        <v>795</v>
      </c>
      <c r="B8" t="s">
        <v>22</v>
      </c>
      <c r="C8" t="s">
        <v>20</v>
      </c>
      <c r="D8" s="1">
        <v>41.87096774193548</v>
      </c>
      <c r="E8" s="1">
        <v>41.178571428571431</v>
      </c>
      <c r="F8" s="1">
        <v>43.741935483870968</v>
      </c>
      <c r="G8" s="1">
        <v>49.266666666666666</v>
      </c>
      <c r="H8" s="1">
        <v>44.161290322580648</v>
      </c>
      <c r="I8" s="5">
        <v>44.043886328725037</v>
      </c>
    </row>
    <row r="9" spans="1:9" x14ac:dyDescent="0.25">
      <c r="A9">
        <v>982</v>
      </c>
      <c r="B9" t="s">
        <v>6</v>
      </c>
      <c r="C9" t="s">
        <v>8</v>
      </c>
      <c r="D9" s="1">
        <v>35.096774193548384</v>
      </c>
      <c r="E9" s="1">
        <v>38.535714285714285</v>
      </c>
      <c r="F9" s="1">
        <v>39.354838709677416</v>
      </c>
      <c r="G9" s="1">
        <v>39.1</v>
      </c>
      <c r="H9" s="1">
        <v>37.322580645161288</v>
      </c>
      <c r="I9" s="5">
        <v>37.881981566820272</v>
      </c>
    </row>
    <row r="10" spans="1:9" x14ac:dyDescent="0.25">
      <c r="A10">
        <v>1594</v>
      </c>
      <c r="B10" t="s">
        <v>15</v>
      </c>
      <c r="C10" t="s">
        <v>13</v>
      </c>
      <c r="D10" s="1">
        <v>86.451612903225808</v>
      </c>
      <c r="E10" s="1">
        <v>85.821428571428569</v>
      </c>
      <c r="F10" s="1">
        <v>90.032258064516128</v>
      </c>
      <c r="G10" s="1">
        <v>104.1</v>
      </c>
      <c r="H10" s="1">
        <v>110.83870967741936</v>
      </c>
      <c r="I10" s="5">
        <v>95.44880184331798</v>
      </c>
    </row>
    <row r="11" spans="1:9" x14ac:dyDescent="0.25">
      <c r="A11">
        <v>1693</v>
      </c>
      <c r="B11" t="s">
        <v>5</v>
      </c>
      <c r="C11" t="s">
        <v>2</v>
      </c>
      <c r="D11" s="1">
        <v>17.096774193548388</v>
      </c>
      <c r="E11" s="1">
        <v>16.178571428571427</v>
      </c>
      <c r="F11" s="1">
        <v>18.06451612903226</v>
      </c>
      <c r="G11" s="1">
        <v>16.7</v>
      </c>
      <c r="H11" s="1">
        <v>17.93548387096774</v>
      </c>
      <c r="I11" s="5">
        <v>17.195069124423963</v>
      </c>
    </row>
    <row r="12" spans="1:9" x14ac:dyDescent="0.25">
      <c r="A12">
        <v>1778</v>
      </c>
      <c r="B12" t="s">
        <v>4</v>
      </c>
      <c r="C12" t="s">
        <v>2</v>
      </c>
      <c r="D12" s="1">
        <v>15.129032258064516</v>
      </c>
      <c r="E12" s="1">
        <v>14.285714285714286</v>
      </c>
      <c r="F12" s="1">
        <v>15.903225806451612</v>
      </c>
      <c r="G12" s="1">
        <v>21</v>
      </c>
      <c r="H12" s="1">
        <v>18.483870967741936</v>
      </c>
      <c r="I12" s="5">
        <v>16.960368663594473</v>
      </c>
    </row>
    <row r="13" spans="1:9" x14ac:dyDescent="0.25">
      <c r="A13">
        <v>1837</v>
      </c>
      <c r="B13" t="s">
        <v>19</v>
      </c>
      <c r="C13" t="s">
        <v>18</v>
      </c>
      <c r="D13" s="1">
        <v>17.322580645161292</v>
      </c>
      <c r="E13" s="1">
        <v>16.428571428571427</v>
      </c>
      <c r="F13" s="1">
        <v>17.322580645161292</v>
      </c>
      <c r="G13" s="1">
        <v>18.266666666666666</v>
      </c>
      <c r="H13" s="1">
        <v>18.70967741935484</v>
      </c>
      <c r="I13" s="5">
        <v>17.610015360983102</v>
      </c>
    </row>
    <row r="14" spans="1:9" x14ac:dyDescent="0.25">
      <c r="A14">
        <v>1979</v>
      </c>
      <c r="B14" t="s">
        <v>24</v>
      </c>
      <c r="C14" t="s">
        <v>23</v>
      </c>
      <c r="D14" s="1">
        <v>26.258064516129032</v>
      </c>
      <c r="E14" s="1">
        <v>25.178571428571427</v>
      </c>
      <c r="F14" s="1">
        <v>26.774193548387096</v>
      </c>
      <c r="G14" s="1">
        <v>31.066666666666666</v>
      </c>
      <c r="H14" s="1">
        <v>28.677419354838708</v>
      </c>
      <c r="I14" s="5">
        <v>27.590983102918585</v>
      </c>
    </row>
    <row r="15" spans="1:9" x14ac:dyDescent="0.25">
      <c r="A15">
        <v>2071</v>
      </c>
      <c r="B15" t="s">
        <v>14</v>
      </c>
      <c r="C15" t="s">
        <v>13</v>
      </c>
      <c r="D15" s="1">
        <v>15.838709677419354</v>
      </c>
      <c r="E15" s="1">
        <v>16.75</v>
      </c>
      <c r="F15" s="1">
        <v>16.322580645161292</v>
      </c>
      <c r="G15" s="1">
        <v>19.866666666666667</v>
      </c>
      <c r="H15" s="1">
        <v>17.774193548387096</v>
      </c>
      <c r="I15" s="5">
        <v>17.310430107526884</v>
      </c>
    </row>
    <row r="16" spans="1:9" x14ac:dyDescent="0.25">
      <c r="A16">
        <v>2073</v>
      </c>
      <c r="B16" t="s">
        <v>21</v>
      </c>
      <c r="C16" t="s">
        <v>20</v>
      </c>
      <c r="D16" s="1">
        <v>5.903225806451613</v>
      </c>
      <c r="E16" s="1">
        <v>6.6785714285714288</v>
      </c>
      <c r="F16" s="1">
        <v>5.612903225806452</v>
      </c>
      <c r="G16" s="1">
        <v>9.6</v>
      </c>
      <c r="H16" s="1">
        <v>6.5161290322580649</v>
      </c>
      <c r="I16" s="5">
        <v>6.862165898617512</v>
      </c>
    </row>
    <row r="17" spans="1:9" x14ac:dyDescent="0.25">
      <c r="A17">
        <v>2164</v>
      </c>
      <c r="B17" t="s">
        <v>3</v>
      </c>
      <c r="C17" t="s">
        <v>2</v>
      </c>
      <c r="D17" s="1">
        <v>19.129032258064516</v>
      </c>
      <c r="E17" s="1">
        <v>18.035714285714285</v>
      </c>
      <c r="F17" s="1">
        <v>21.161290322580644</v>
      </c>
      <c r="G17" s="1">
        <v>23.666666666666668</v>
      </c>
      <c r="H17" s="1">
        <v>25.29032258064516</v>
      </c>
      <c r="I17" s="5">
        <v>21.456605222734254</v>
      </c>
    </row>
    <row r="18" spans="1:9" x14ac:dyDescent="0.25">
      <c r="A18">
        <v>2274</v>
      </c>
      <c r="B18" t="s">
        <v>1</v>
      </c>
      <c r="C18" t="s">
        <v>2</v>
      </c>
      <c r="D18" s="1">
        <v>27.483870967741936</v>
      </c>
      <c r="E18" s="1">
        <v>27.892857142857142</v>
      </c>
      <c r="F18" s="1">
        <v>31.93548387096774</v>
      </c>
      <c r="G18" s="1">
        <v>36.966666666666669</v>
      </c>
      <c r="H18" s="1">
        <v>29.741935483870968</v>
      </c>
      <c r="I18" s="5">
        <v>30.804162826420889</v>
      </c>
    </row>
    <row r="19" spans="1:9" x14ac:dyDescent="0.25">
      <c r="A19">
        <v>6364</v>
      </c>
      <c r="B19" t="s">
        <v>9</v>
      </c>
      <c r="C19" t="s">
        <v>8</v>
      </c>
      <c r="D19" s="1">
        <v>8.0322580645161299</v>
      </c>
      <c r="E19" s="1">
        <v>10.071428571428571</v>
      </c>
      <c r="F19" s="1">
        <v>12.419354838709678</v>
      </c>
      <c r="G19" s="1">
        <v>16.733333333333334</v>
      </c>
      <c r="H19" s="1">
        <v>16.677419354838708</v>
      </c>
      <c r="I19" s="5">
        <v>12.786758832565283</v>
      </c>
    </row>
  </sheetData>
  <sortState xmlns:xlrd2="http://schemas.microsoft.com/office/spreadsheetml/2017/richdata2" ref="A2:I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Crates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</dc:creator>
  <cp:lastModifiedBy>Anthony</cp:lastModifiedBy>
  <cp:lastPrinted>2026-06-09T10:57:25Z</cp:lastPrinted>
  <dcterms:created xsi:type="dcterms:W3CDTF">2026-06-09T09:32:29Z</dcterms:created>
  <dcterms:modified xsi:type="dcterms:W3CDTF">2026-06-09T12:42:17Z</dcterms:modified>
</cp:coreProperties>
</file>