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Pictures\alX-datascience\week4\Integrated_project_transforming_the_data_(Part_II)-a-3732\"/>
    </mc:Choice>
  </mc:AlternateContent>
  <xr:revisionPtr revIDLastSave="0" documentId="13_ncr:1_{40C64EF7-82F0-46A9-97D8-57D6D5D3DB37}" xr6:coauthVersionLast="47" xr6:coauthVersionMax="47" xr10:uidLastSave="{00000000-0000-0000-0000-000000000000}"/>
  <bookViews>
    <workbookView xWindow="-120" yWindow="-120" windowWidth="20730" windowHeight="11040" activeTab="2" xr2:uid="{AE8D2E2D-4019-4BF5-BC6E-EC719AF1516B}"/>
  </bookViews>
  <sheets>
    <sheet name="Estimates of the use of water (" sheetId="2" r:id="rId1"/>
    <sheet name="Regions" sheetId="3" r:id="rId2"/>
    <sheet name="Summary" sheetId="4" r:id="rId3"/>
    <sheet name="cleaned" sheetId="6" r:id="rId4"/>
  </sheets>
  <definedNames>
    <definedName name="_xlchart.v1.0" hidden="1">Summary!$A$74</definedName>
    <definedName name="_xlchart.v1.1" hidden="1">cleaned!$U$1</definedName>
    <definedName name="_xlchart.v1.10" hidden="1">Summary!$A$74</definedName>
    <definedName name="_xlchart.v1.11" hidden="1">cleaned!$U$1</definedName>
    <definedName name="_xlchart.v1.12" hidden="1">cleaned!$U$8:$U$455</definedName>
    <definedName name="_xlchart.v1.13" hidden="1">Summary!$I$75</definedName>
    <definedName name="_xlchart.v1.14" hidden="1">Summary!$I$75</definedName>
    <definedName name="_xlchart.v1.15" hidden="1">'Estimates of the use of water ('!$B$1</definedName>
    <definedName name="_xlchart.v1.16" hidden="1">'Estimates of the use of water ('!$B$1:$B$463</definedName>
    <definedName name="_xlchart.v1.17" hidden="1">'Estimates of the use of water ('!$B$2:$B$463</definedName>
    <definedName name="_xlchart.v1.18" hidden="1">'Estimates of the use of water ('!$C$2:$C$463</definedName>
    <definedName name="_xlchart.v1.19" hidden="1">Summary!$A$13</definedName>
    <definedName name="_xlchart.v1.2" hidden="1">cleaned!$U:$U</definedName>
    <definedName name="_xlchart.v1.3" hidden="1">'Estimates of the use of water ('!$J$1</definedName>
    <definedName name="_xlchart.v1.4" hidden="1">'Estimates of the use of water ('!$J$2:$J$463</definedName>
    <definedName name="_xlchart.v1.5" hidden="1">Summary!$I$75</definedName>
    <definedName name="_xlchart.v1.6" hidden="1">'Estimates of the use of water ('!$J$1</definedName>
    <definedName name="_xlchart.v1.7" hidden="1">'Estimates of the use of water ('!$J$2:$J$463</definedName>
    <definedName name="_xlchart.v1.8" hidden="1">Summary!$I$75</definedName>
    <definedName name="_xlchart.v1.9" hidden="1">Summary!$I$75</definedName>
    <definedName name="ExternalData_1" localSheetId="3" hidden="1">cleaned!$A$1:$T$463</definedName>
    <definedName name="ExternalData_1" localSheetId="0" hidden="1">'Estimates of the use of water ('!$A$1:$U$463</definedName>
    <definedName name="ExternalData_1" localSheetId="1" hidden="1">'Regions'!$A$1:$B$234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U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D65" i="4" a="1"/>
  <c r="D65" i="4" s="1"/>
  <c r="C65" i="4" a="1"/>
  <c r="C65" i="4" s="1"/>
  <c r="B65" i="4" a="1"/>
  <c r="B65" i="4" s="1"/>
  <c r="B70" i="4" s="1"/>
  <c r="C64" i="4" a="1"/>
  <c r="C64" i="4" s="1"/>
  <c r="D64" i="4" a="1"/>
  <c r="D64" i="4" s="1"/>
  <c r="B64" i="4" a="1"/>
  <c r="B64" i="4" s="1"/>
  <c r="B69" i="4" s="1"/>
  <c r="AA2" i="6"/>
  <c r="B58" i="4" s="1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Z2" i="6"/>
  <c r="B57" i="4" s="1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6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400" i="6"/>
  <c r="Z401" i="6"/>
  <c r="Z402" i="6"/>
  <c r="Z403" i="6"/>
  <c r="Z404" i="6"/>
  <c r="Z405" i="6"/>
  <c r="Z406" i="6"/>
  <c r="Z407" i="6"/>
  <c r="Z408" i="6"/>
  <c r="Z409" i="6"/>
  <c r="Z410" i="6"/>
  <c r="Z411" i="6"/>
  <c r="Z412" i="6"/>
  <c r="Z413" i="6"/>
  <c r="Z414" i="6"/>
  <c r="Z415" i="6"/>
  <c r="Z416" i="6"/>
  <c r="Z417" i="6"/>
  <c r="Z418" i="6"/>
  <c r="Z419" i="6"/>
  <c r="Z420" i="6"/>
  <c r="Z421" i="6"/>
  <c r="Z422" i="6"/>
  <c r="Z423" i="6"/>
  <c r="Z424" i="6"/>
  <c r="Z425" i="6"/>
  <c r="Z426" i="6"/>
  <c r="Z427" i="6"/>
  <c r="Z428" i="6"/>
  <c r="Z429" i="6"/>
  <c r="Z430" i="6"/>
  <c r="Z431" i="6"/>
  <c r="Z432" i="6"/>
  <c r="Z433" i="6"/>
  <c r="Z434" i="6"/>
  <c r="Z435" i="6"/>
  <c r="Z436" i="6"/>
  <c r="Z437" i="6"/>
  <c r="Z438" i="6"/>
  <c r="Z439" i="6"/>
  <c r="Z440" i="6"/>
  <c r="Z441" i="6"/>
  <c r="Z442" i="6"/>
  <c r="Z443" i="6"/>
  <c r="Z444" i="6"/>
  <c r="Z445" i="6"/>
  <c r="Z446" i="6"/>
  <c r="Z447" i="6"/>
  <c r="Z448" i="6"/>
  <c r="Z44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Y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D63" i="4" s="1" a="1"/>
  <c r="D63" i="4" s="1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X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W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B47" i="4"/>
  <c r="B46" i="4"/>
  <c r="B45" i="4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2" i="2"/>
  <c r="E46" i="4" l="1"/>
  <c r="E45" i="4"/>
  <c r="E47" i="4"/>
  <c r="B63" i="4" a="1"/>
  <c r="B63" i="4" s="1"/>
  <c r="B68" i="4" s="1"/>
  <c r="C63" i="4" a="1"/>
  <c r="C63" i="4" s="1"/>
  <c r="B56" i="4"/>
  <c r="D33" i="4"/>
  <c r="B34" i="4"/>
  <c r="C33" i="4"/>
  <c r="C32" i="4"/>
  <c r="C34" i="4"/>
  <c r="D34" i="4"/>
  <c r="B33" i="4"/>
  <c r="B32" i="4"/>
  <c r="D32" i="4"/>
  <c r="B2" i="4"/>
  <c r="B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67C6A2-8B0F-4F81-9E97-0177036E1534}" keepAlive="1" name="Query - Estimates of the use of water (2000-2020)" description="Connection to the 'Estimates of the use of water (2000-2020)' query in the workbook." type="5" refreshedVersion="8" background="1" saveData="1">
    <dbPr connection="Provider=Microsoft.Mashup.OleDb.1;Data Source=$Workbook$;Location=&quot;Estimates of the use of water (2000-2020)&quot;;Extended Properties=&quot;&quot;" command="SELECT * FROM [Estimates of the use of water (2000-2020)]"/>
  </connection>
  <connection id="2" xr16:uid="{EE7C7ED7-DA70-453E-84F8-C49E2B20B74D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  <connection id="3" xr16:uid="{F7E6F0DD-5562-4AE0-AB9A-16FA2F1CCBA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<sst xmlns="http://schemas.openxmlformats.org/spreadsheetml/2006/main" count="1495" uniqueCount="313">
  <si>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</si>
  <si>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</si>
  <si>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</si>
  <si>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</si>
  <si>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</si>
  <si>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</si>
  <si>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</si>
  <si>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</si>
  <si>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</si>
  <si>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</si>
  <si>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</si>
  <si>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</si>
  <si>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</si>
  <si>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</si>
  <si>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</si>
  <si>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</si>
  <si>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Croatia</t>
  </si>
  <si>
    <t>Argentina</t>
  </si>
  <si>
    <t>Greece</t>
  </si>
  <si>
    <t>Andorra</t>
  </si>
  <si>
    <t>Finland</t>
  </si>
  <si>
    <t>Switzerland</t>
  </si>
  <si>
    <t>Germany</t>
  </si>
  <si>
    <t>Iceland</t>
  </si>
  <si>
    <t>Greenland</t>
  </si>
  <si>
    <t>Israel</t>
  </si>
  <si>
    <t>United Kingdom</t>
  </si>
  <si>
    <t>New Zealand</t>
  </si>
  <si>
    <t>Norway</t>
  </si>
  <si>
    <t>Denmark</t>
  </si>
  <si>
    <t>Malta</t>
  </si>
  <si>
    <t>Saint Barthelemy</t>
  </si>
  <si>
    <t>Nauru</t>
  </si>
  <si>
    <t>Tuvalu</t>
  </si>
  <si>
    <t>San Marino</t>
  </si>
  <si>
    <t>Gibraltar</t>
  </si>
  <si>
    <t>Liechtenstein</t>
  </si>
  <si>
    <t>Monaco</t>
  </si>
  <si>
    <t>Faeroe Islands</t>
  </si>
  <si>
    <t>Northern Mariana Islands</t>
  </si>
  <si>
    <t>French Polynesia</t>
  </si>
  <si>
    <t>China, Macao SAR</t>
  </si>
  <si>
    <t>Réunion</t>
  </si>
  <si>
    <t>Bahrain</t>
  </si>
  <si>
    <t>Puerto Rico</t>
  </si>
  <si>
    <t>Kuwait</t>
  </si>
  <si>
    <t>Singapore</t>
  </si>
  <si>
    <t>Turkmenistan</t>
  </si>
  <si>
    <t>China, Hong Kong SAR</t>
  </si>
  <si>
    <t>Austria</t>
  </si>
  <si>
    <t>Romania</t>
  </si>
  <si>
    <t>Saudi Arabia</t>
  </si>
  <si>
    <t>France</t>
  </si>
  <si>
    <t>Thailand</t>
  </si>
  <si>
    <t>Netherlands</t>
  </si>
  <si>
    <t>Chile</t>
  </si>
  <si>
    <t>Belgium</t>
  </si>
  <si>
    <t>Hungary</t>
  </si>
  <si>
    <t>Saint Martin (French part)</t>
  </si>
  <si>
    <t>Cook Islands</t>
  </si>
  <si>
    <t>United Arab Emirates</t>
  </si>
  <si>
    <t>Armenia</t>
  </si>
  <si>
    <t>Australia</t>
  </si>
  <si>
    <t>Poland</t>
  </si>
  <si>
    <t>Republic of Korea</t>
  </si>
  <si>
    <t>Spain</t>
  </si>
  <si>
    <t>Luxembourg</t>
  </si>
  <si>
    <t>Italy</t>
  </si>
  <si>
    <t>Portugal</t>
  </si>
  <si>
    <t>Bermuda</t>
  </si>
  <si>
    <t>Brunei Darussalam</t>
  </si>
  <si>
    <t>Libya</t>
  </si>
  <si>
    <t>United States of America</t>
  </si>
  <si>
    <t>Czech Republic</t>
  </si>
  <si>
    <t>Mauritius</t>
  </si>
  <si>
    <t>British Virgin Islands</t>
  </si>
  <si>
    <t>Martinique</t>
  </si>
  <si>
    <t>Sweden</t>
  </si>
  <si>
    <t>Costa Rica</t>
  </si>
  <si>
    <t>Guadeloupe</t>
  </si>
  <si>
    <t>Cyprus</t>
  </si>
  <si>
    <t>Slovakia</t>
  </si>
  <si>
    <t>American Samoa</t>
  </si>
  <si>
    <t>Estonia</t>
  </si>
  <si>
    <t>Tokelau</t>
  </si>
  <si>
    <t>Guam</t>
  </si>
  <si>
    <t>Qatar</t>
  </si>
  <si>
    <t>Mexico</t>
  </si>
  <si>
    <t>Palau</t>
  </si>
  <si>
    <t>Paraguay</t>
  </si>
  <si>
    <t>Maldives</t>
  </si>
  <si>
    <t>Slovenia</t>
  </si>
  <si>
    <t>Curaçao</t>
  </si>
  <si>
    <t>Uruguay</t>
  </si>
  <si>
    <t>Egypt</t>
  </si>
  <si>
    <t>Wallis and Futuna Islands</t>
  </si>
  <si>
    <t>Brazil</t>
  </si>
  <si>
    <t>New Caledonia</t>
  </si>
  <si>
    <t>Canada</t>
  </si>
  <si>
    <t>Bulgaria</t>
  </si>
  <si>
    <t>Saint Helena</t>
  </si>
  <si>
    <t>Japan</t>
  </si>
  <si>
    <t>Isle of Man</t>
  </si>
  <si>
    <t>Jordan</t>
  </si>
  <si>
    <t>Bahamas</t>
  </si>
  <si>
    <t>Trinidad and Tobago</t>
  </si>
  <si>
    <t>Montenegro</t>
  </si>
  <si>
    <t>Latvia</t>
  </si>
  <si>
    <t>Tonga</t>
  </si>
  <si>
    <t>United States Virgin Islands</t>
  </si>
  <si>
    <t>Saint Kitts and Nevis</t>
  </si>
  <si>
    <t>Barbados</t>
  </si>
  <si>
    <t>Belize</t>
  </si>
  <si>
    <t>Iraq</t>
  </si>
  <si>
    <t>Montserrat</t>
  </si>
  <si>
    <t>Lithuania</t>
  </si>
  <si>
    <t>Suriname</t>
  </si>
  <si>
    <t>El Salvador</t>
  </si>
  <si>
    <t>West Bank and Gaza Strip</t>
  </si>
  <si>
    <t>Aruba</t>
  </si>
  <si>
    <t>Uzbekistan</t>
  </si>
  <si>
    <t>North Macedonia</t>
  </si>
  <si>
    <t>Bangladesh</t>
  </si>
  <si>
    <t>Niue</t>
  </si>
  <si>
    <t>Tunisia</t>
  </si>
  <si>
    <t>Colombia</t>
  </si>
  <si>
    <t>Iran (Islamic Republic of)</t>
  </si>
  <si>
    <t>Anguilla</t>
  </si>
  <si>
    <t>Ireland</t>
  </si>
  <si>
    <t>Georgia</t>
  </si>
  <si>
    <t>Bhutan</t>
  </si>
  <si>
    <t>Malaysia</t>
  </si>
  <si>
    <t>Turkey</t>
  </si>
  <si>
    <t>Cuba</t>
  </si>
  <si>
    <t>Russian Federation</t>
  </si>
  <si>
    <t>Saint Lucia</t>
  </si>
  <si>
    <t>Viet Nam</t>
  </si>
  <si>
    <t>Seychelles</t>
  </si>
  <si>
    <t>Mayotte</t>
  </si>
  <si>
    <t>Antigua and Barbuda</t>
  </si>
  <si>
    <t>Dominican Republic</t>
  </si>
  <si>
    <t>Belarus</t>
  </si>
  <si>
    <t>Bosnia and Herzegovina</t>
  </si>
  <si>
    <t>Cayman Islands</t>
  </si>
  <si>
    <t>Azerbaijan</t>
  </si>
  <si>
    <t>Honduras</t>
  </si>
  <si>
    <t>Grenada</t>
  </si>
  <si>
    <t>Guyana</t>
  </si>
  <si>
    <t>Kazakhstan</t>
  </si>
  <si>
    <t>Dominica</t>
  </si>
  <si>
    <t>Ecuador</t>
  </si>
  <si>
    <t>Sint Maarten (Dutch part)</t>
  </si>
  <si>
    <t>Falkland Islands (Malvinas)</t>
  </si>
  <si>
    <t>Serbia</t>
  </si>
  <si>
    <t>Democratic People's Republic of Korea</t>
  </si>
  <si>
    <t>Saint Vincent and the Grenadines</t>
  </si>
  <si>
    <t>Albania</t>
  </si>
  <si>
    <t>Venezuela (Bolivarian Republic of)</t>
  </si>
  <si>
    <t>Algeria</t>
  </si>
  <si>
    <t>Panama</t>
  </si>
  <si>
    <t>Turks and Caicos Islands</t>
  </si>
  <si>
    <t>Fiji</t>
  </si>
  <si>
    <t>China</t>
  </si>
  <si>
    <t>Channel Islands</t>
  </si>
  <si>
    <t>Philippines</t>
  </si>
  <si>
    <t>Guatemala</t>
  </si>
  <si>
    <t>Ukraine</t>
  </si>
  <si>
    <t>Syrian Arab Republic</t>
  </si>
  <si>
    <t>South Africa</t>
  </si>
  <si>
    <t>French Guiana</t>
  </si>
  <si>
    <t>Bolivia (Plurinational State of)</t>
  </si>
  <si>
    <t>Peru</t>
  </si>
  <si>
    <t>Lebanon</t>
  </si>
  <si>
    <t>Indonesia</t>
  </si>
  <si>
    <t>Sri Lanka</t>
  </si>
  <si>
    <t>Botswana</t>
  </si>
  <si>
    <t>Oman</t>
  </si>
  <si>
    <t>Samoa</t>
  </si>
  <si>
    <t>Kyrgyzstan</t>
  </si>
  <si>
    <t>Saint Pierre and Miquelon</t>
  </si>
  <si>
    <t>Vanuatu</t>
  </si>
  <si>
    <t>Jamaica</t>
  </si>
  <si>
    <t>Republic of Moldova</t>
  </si>
  <si>
    <t>India</t>
  </si>
  <si>
    <t>Morocco</t>
  </si>
  <si>
    <t>Pakistan</t>
  </si>
  <si>
    <t>Nepal</t>
  </si>
  <si>
    <t>Cabo Verde</t>
  </si>
  <si>
    <t>Marshall Islands</t>
  </si>
  <si>
    <t>Micronesia (Federated States of)</t>
  </si>
  <si>
    <t>Ghana</t>
  </si>
  <si>
    <t>Mongolia</t>
  </si>
  <si>
    <t>Timor-Leste</t>
  </si>
  <si>
    <t>Gabon</t>
  </si>
  <si>
    <t>Lao People's Democratic Republic</t>
  </si>
  <si>
    <t>Senegal</t>
  </si>
  <si>
    <t>Namibia</t>
  </si>
  <si>
    <t>Myanmar</t>
  </si>
  <si>
    <t>Mali</t>
  </si>
  <si>
    <t>Tajikistan</t>
  </si>
  <si>
    <t>Nicaragua</t>
  </si>
  <si>
    <t>Gambia</t>
  </si>
  <si>
    <t>Comoros</t>
  </si>
  <si>
    <t>Sao Tome and Principe</t>
  </si>
  <si>
    <t>Kiribati</t>
  </si>
  <si>
    <t>Nigeria</t>
  </si>
  <si>
    <t>Djibouti</t>
  </si>
  <si>
    <t>Liberia</t>
  </si>
  <si>
    <t>Afghanistan</t>
  </si>
  <si>
    <t>Congo</t>
  </si>
  <si>
    <t>Lesotho</t>
  </si>
  <si>
    <t>Mauritania</t>
  </si>
  <si>
    <t>Cambodia</t>
  </si>
  <si>
    <t>Côte d'Ivoire</t>
  </si>
  <si>
    <t>Eswatini</t>
  </si>
  <si>
    <t>Malawi</t>
  </si>
  <si>
    <t>Solomon Islands</t>
  </si>
  <si>
    <t>Togo</t>
  </si>
  <si>
    <t>Haiti</t>
  </si>
  <si>
    <t>Cameroon</t>
  </si>
  <si>
    <t>Benin</t>
  </si>
  <si>
    <t>Zambia</t>
  </si>
  <si>
    <t>Zimbabwe</t>
  </si>
  <si>
    <t>Equatorial Guinea</t>
  </si>
  <si>
    <t>Guinea</t>
  </si>
  <si>
    <t>Sierra Leone</t>
  </si>
  <si>
    <t>Mozambique</t>
  </si>
  <si>
    <t>Burundi</t>
  </si>
  <si>
    <t>Kenya</t>
  </si>
  <si>
    <t>United Republic of Tanzania</t>
  </si>
  <si>
    <t>Yemen</t>
  </si>
  <si>
    <t>Sudan</t>
  </si>
  <si>
    <t>Rwanda</t>
  </si>
  <si>
    <t>Guinea-Bissau</t>
  </si>
  <si>
    <t>Angola</t>
  </si>
  <si>
    <t>Somalia</t>
  </si>
  <si>
    <t>Uganda</t>
  </si>
  <si>
    <t>Madagascar</t>
  </si>
  <si>
    <t>Eritrea</t>
  </si>
  <si>
    <t>Burkina Faso</t>
  </si>
  <si>
    <t>Ethiopia</t>
  </si>
  <si>
    <t>Niger</t>
  </si>
  <si>
    <t>Chad</t>
  </si>
  <si>
    <t>Democratic Republic of the Congo</t>
  </si>
  <si>
    <t>Papua New Guinea</t>
  </si>
  <si>
    <t>Central African Republic</t>
  </si>
  <si>
    <t>South Sudan</t>
  </si>
  <si>
    <t>Column1</t>
  </si>
  <si>
    <t>Column2</t>
  </si>
  <si>
    <t>region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</si>
  <si>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</si>
  <si>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</si>
  <si>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</si>
  <si>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</si>
  <si>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</si>
  <si>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</si>
  <si>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</si>
  <si>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</si>
  <si>
    <t>y_diff</t>
  </si>
  <si>
    <t>calculate the average year difference across all countries, rounded to two decimal places</t>
  </si>
  <si>
    <t>=</t>
  </si>
  <si>
    <t>Calculate the minimum and maximum year difference in the same</t>
  </si>
  <si>
    <t>How does the average year difference compare to the minimum and maximum year difference?</t>
  </si>
  <si>
    <t xml:space="preserve">Average Year Difference: 4.8 </t>
  </si>
  <si>
    <t xml:space="preserve">Minimum Year Difference: 1.0 </t>
  </si>
  <si>
    <t>Maximum Year Difference: 5.0</t>
  </si>
  <si>
    <t>minimunm    =    1</t>
  </si>
  <si>
    <t>maxmum   =  5</t>
  </si>
  <si>
    <t>create a histogram of the year column. Note the minimum and maximum values on the horizontal axis.</t>
  </si>
  <si>
    <t>ARC_n</t>
  </si>
  <si>
    <t>ARC_r</t>
  </si>
  <si>
    <t>ARC_u</t>
  </si>
  <si>
    <t>Calculate the average, minimum, and maximum for each of the ARC values for access to the basic service level for each of the three population groups.</t>
  </si>
  <si>
    <t>Minimum</t>
  </si>
  <si>
    <t>Maximum</t>
  </si>
  <si>
    <t>Average</t>
  </si>
  <si>
    <t>=IFERROR((F3-[@[wat_bas_n]])/(B3-[@year]), "")</t>
  </si>
  <si>
    <t>=IFERROR((M3-[@[wat_bas_r]])/(B3-[@year]),"")</t>
  </si>
  <si>
    <t>=IFERROR((Q3-[@[wat_bas_u]])/(B3-[@year]),"")</t>
  </si>
  <si>
    <t>AVERAGE</t>
  </si>
  <si>
    <t>MINMUM</t>
  </si>
  <si>
    <t>MAXMUM</t>
  </si>
  <si>
    <t xml:space="preserve">ARC_n </t>
  </si>
  <si>
    <t>calculate the number of countries that have missing ARC values, i.e., the number of “null” occurrences in each of the columns ARC_n, ARC_r, and ARC_u.</t>
  </si>
  <si>
    <t>Number of Missing numbers</t>
  </si>
  <si>
    <t>Missing2</t>
  </si>
  <si>
    <t>calculate the number of countries that have full access across both years, i.e., the number of countries where access is 100% for both years reported.</t>
  </si>
  <si>
    <t xml:space="preserve">Number of countries with full access to basic water services (national): </t>
  </si>
  <si>
    <t xml:space="preserve">Number of countries with full access to basic water services (rural): </t>
  </si>
  <si>
    <t>Number of countries with full access to basic water services (urban):</t>
  </si>
  <si>
    <t>wat_bas_n (rounded)</t>
  </si>
  <si>
    <t>wat_bas_r (rounded)</t>
  </si>
  <si>
    <t>wat_bas_u (rounded)</t>
  </si>
  <si>
    <t>ARC_n_full</t>
  </si>
  <si>
    <t>calculate the number of countries that have full access per population, i.e., the number of “full access” occurrences in each of the newly created columns ARC_n_full, ARC_r_full, and ARC_u_full.</t>
  </si>
  <si>
    <t>National</t>
  </si>
  <si>
    <t>Rural</t>
  </si>
  <si>
    <t>Urban</t>
  </si>
  <si>
    <t>ARC_r_full</t>
  </si>
  <si>
    <t>ARC_u_full</t>
  </si>
  <si>
    <t>COUNTA(UNIQUE(FILTER(country_range,(ARC_n_range=0)*(ARC_n_full_range&lt;&gt;"full access"))))</t>
  </si>
  <si>
    <t>Calculate the number of countries that have ARC values equal to zero that don’t already have full access for each of the population types: national, rural, and urban.</t>
  </si>
  <si>
    <t>NATION</t>
  </si>
  <si>
    <t>RURAL</t>
  </si>
  <si>
    <t>URBAN</t>
  </si>
  <si>
    <t>ARC = 0</t>
  </si>
  <si>
    <t>ARC &lt; 0</t>
  </si>
  <si>
    <t>ARC &gt; 0</t>
  </si>
  <si>
    <t>Not Full Access</t>
  </si>
  <si>
    <t>full Access</t>
  </si>
  <si>
    <t>check that we’ve considered all countries for the conditions—no value, full access, ARC = 0, ARC &lt; 0, and ARC &gt; 0, by summing the number of countries for each and comparing it to the total number of countries</t>
  </si>
  <si>
    <t>ARC_diff</t>
  </si>
  <si>
    <t>Create a histogram of the newly created ARC_diff feature.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</si>
</sst>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onsolas"/>
      <family val="3"/>
    </font>
    <font>
      <sz val="11"/>
      <name val="Aptos Narrow"/>
      <family val="2"/>
      <scheme val="minor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quotePrefix="1" applyFont="1"/>
    <xf numFmtId="0" fontId="3" fillId="0" borderId="0" xfId="0" applyFont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3" fillId="0" borderId="1" xfId="0" applyFont="1" applyBorder="1"/>
    <xf numFmtId="0" fontId="2" fillId="0" borderId="1" xfId="0" applyFont="1" applyBorder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val">
        <cx:f>_xlchart.v1.17</cx:f>
      </cx:numDim>
    </cx:data>
  </cx:chartData>
  <cx:chart>
    <cx:title pos="t" align="ctr" overlay="0">
      <cx:tx>
        <cx:txData>
          <cx:v>Year for data collection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Year for data collection</a:t>
          </a:r>
        </a:p>
      </cx:txPr>
    </cx:title>
    <cx:plotArea>
      <cx:plotAreaRegion>
        <cx:series layoutId="clusteredColumn" uniqueId="{00000003-4463-43A6-B19B-F8AA6432FF0F}">
          <cx:tx>
            <cx:txData>
              <cx:f>_xlchart.v1.15</cx:f>
              <cx:v>year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Years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Years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ARC_diff OF ARC_R AND ARC_N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1-0659-477B-A463-0C899D0ED997}">
          <cx:tx>
            <cx:txData>
              <cx:f>_xlchart.v1.11</cx:f>
              <cx:v>ARC_diff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ARC_diff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00000002-6DA6-459A-A79B-D804ECC8FDAD}">
          <cx:tx>
            <cx:txData>
              <cx:f>_xlchart.v1.6</cx:f>
              <cx:v>ARC_diff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13</xdr:row>
      <xdr:rowOff>14287</xdr:rowOff>
    </xdr:from>
    <xdr:to>
      <xdr:col>7</xdr:col>
      <xdr:colOff>257175</xdr:colOff>
      <xdr:row>27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AD9FDD0-7E40-5FAA-B1A0-989146856C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4907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171449</xdr:colOff>
      <xdr:row>72</xdr:row>
      <xdr:rowOff>80962</xdr:rowOff>
    </xdr:from>
    <xdr:to>
      <xdr:col>7</xdr:col>
      <xdr:colOff>57150</xdr:colOff>
      <xdr:row>86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826B837-A95D-3A3F-AADF-BDAEB337C6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49" y="13796962"/>
              <a:ext cx="4305301" cy="2662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600075</xdr:colOff>
      <xdr:row>72</xdr:row>
      <xdr:rowOff>4762</xdr:rowOff>
    </xdr:from>
    <xdr:to>
      <xdr:col>15</xdr:col>
      <xdr:colOff>295275</xdr:colOff>
      <xdr:row>86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32450D9-BA58-3EE1-0A19-1157885CF5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9675" y="13720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83442A-D1A6-491F-BDDF-08A5ACFF4CBA}" autoFormatId="16" applyNumberFormats="0" applyBorderFormats="0" applyFontFormats="0" applyPatternFormats="0" applyAlignmentFormats="0" applyWidthHeightFormats="0">
  <queryTableRefresh nextId="27">
    <queryTableFields count="21">
      <queryTableField id="1" name="name" tableColumnId="1"/>
      <queryTableField id="2" name="year" tableColumnId="2"/>
      <queryTableField id="17" dataBound="0" tableColumnId="17"/>
      <queryTableField id="3" name="pop_n" tableColumnId="3"/>
      <queryTableField id="4" name="pop_u" tableColumnId="4"/>
      <queryTableField id="5" name="wat_bas_n" tableColumnId="5"/>
      <queryTableField id="18" dataBound="0" tableColumnId="18"/>
      <queryTableField id="19" dataBound="0" tableColumnId="19"/>
      <queryTableField id="20" dataBound="0" tableColumnId="20"/>
      <queryTableField id="26" dataBound="0" tableColumnId="26"/>
      <queryTableField id="6" name="wat_lim_n" tableColumnId="6"/>
      <queryTableField id="7" name="wat_unimp_n" tableColumnId="7"/>
      <queryTableField id="8" name="wat_sur_n" tableColumnId="8"/>
      <queryTableField id="9" name="wat_bas_r" tableColumnId="9"/>
      <queryTableField id="10" name="wat_lim_r" tableColumnId="10"/>
      <queryTableField id="11" name="wat_unimp_r" tableColumnId="11"/>
      <queryTableField id="12" name="wat_sur_r" tableColumnId="12"/>
      <queryTableField id="13" name="wat_bas_u" tableColumnId="13"/>
      <queryTableField id="14" name="wat_lim_u" tableColumnId="14"/>
      <queryTableField id="15" name="wat_unimp_u" tableColumnId="15"/>
      <queryTableField id="16" name="wat_sur_u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948D34-9825-4C12-AAD3-99307DE2E6B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B8367A2-F216-4548-B4F0-F824F059E51D}" autoFormatId="16" applyNumberFormats="0" applyBorderFormats="0" applyFontFormats="0" applyPatternFormats="0" applyAlignmentFormats="0" applyWidthHeightFormats="0">
  <queryTableRefresh nextId="29" unboundColumnsRight="7">
    <queryTableFields count="27">
      <queryTableField id="1" name="name" tableColumnId="1"/>
      <queryTableField id="2" name="year" tableColumnId="2"/>
      <queryTableField id="3" name="pop_n" tableColumnId="3"/>
      <queryTableField id="4" name="pop_u" tableColumnId="4"/>
      <queryTableField id="5" name="wat_bas_n" tableColumnId="5"/>
      <queryTableField id="6" name="wat_lim_n" tableColumnId="6"/>
      <queryTableField id="7" name="wat_unimp_n" tableColumnId="7"/>
      <queryTableField id="8" name="wat_sur_n" tableColumnId="8"/>
      <queryTableField id="9" name="wat_bas_r" tableColumnId="9"/>
      <queryTableField id="10" name="wat_lim_r" tableColumnId="10"/>
      <queryTableField id="11" name="wat_unimp_r" tableColumnId="11"/>
      <queryTableField id="12" name="wat_sur_r" tableColumnId="12"/>
      <queryTableField id="13" name="wat_bas_u" tableColumnId="13"/>
      <queryTableField id="14" name="wat_lim_u" tableColumnId="14"/>
      <queryTableField id="15" name="wat_unimp_u" tableColumnId="15"/>
      <queryTableField id="16" name="wat_sur_u" tableColumnId="16"/>
      <queryTableField id="17" name="y_diff" tableColumnId="17"/>
      <queryTableField id="18" name="ARC_n" tableColumnId="18"/>
      <queryTableField id="19" name="ARC_r" tableColumnId="19"/>
      <queryTableField id="20" name="ARC_u" tableColumnId="20"/>
      <queryTableField id="28" dataBound="0" tableColumnId="28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6" dataBound="0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A1DF7-FAAA-4435-B2A2-28B1735EBFBA}" name="Estimates_of_the_use_of_water__2000_2020" displayName="Estimates_of_the_use_of_water__2000_2020" ref="A1:U463" tableType="queryTable" totalsRowShown="0">
  <autoFilter ref="A1:U463" xr:uid="{884A1DF7-FAAA-4435-B2A2-28B1735EBFBA}"/>
  <sortState xmlns:xlrd2="http://schemas.microsoft.com/office/spreadsheetml/2017/richdata2" ref="A2:U463">
    <sortCondition ref="A2:A463"/>
    <sortCondition ref="B2:B463"/>
  </sortState>
  <tableColumns count="21">
    <tableColumn id="1" xr3:uid="{4F1E637D-4408-484E-BFCB-64947016EC49}" uniqueName="1" name="name" queryTableFieldId="1" dataDxfId="13"/>
    <tableColumn id="2" xr3:uid="{12E50D06-1DF2-498D-92ED-2D7C69C2AB3C}" uniqueName="2" name="year" queryTableFieldId="2"/>
    <tableColumn id="17" xr3:uid="{73E9EB73-2296-41E8-8443-D3B24C4E7304}" uniqueName="17" name="y_diff" queryTableFieldId="17" dataDxfId="12">
      <calculatedColumnFormula>IF(A3=Estimates_of_the_use_of_water__2000_2020[[#This Row],[name]], B3-Estimates_of_the_use_of_water__2000_2020[[#This Row],[year]],"")</calculatedColumnFormula>
    </tableColumn>
    <tableColumn id="3" xr3:uid="{BA0A6855-80F2-495F-A8B2-B0F4C3390370}" uniqueName="3" name="pop_n" queryTableFieldId="3"/>
    <tableColumn id="4" xr3:uid="{E7F7252B-AAC0-4C64-802B-17247BD26BDF}" uniqueName="4" name="pop_u" queryTableFieldId="4"/>
    <tableColumn id="5" xr3:uid="{622793B8-A5ED-44CD-8B2D-B8E7CA1855FD}" uniqueName="5" name="wat_bas_n" queryTableFieldId="5"/>
    <tableColumn id="18" xr3:uid="{952A587E-9048-47C3-BFE4-927B6F2EA94F}" uniqueName="18" name="ARC_n" queryTableFieldId="18" dataDxfId="10">
      <calculatedColumnFormula>((F3-Estimates_of_the_use_of_water__2000_2020[[#This Row],[wat_bas_n]])/(B3-Estimates_of_the_use_of_water__2000_2020[[#This Row],[year]]))</calculatedColumnFormula>
    </tableColumn>
    <tableColumn id="19" xr3:uid="{25E2D8E3-5D40-48F9-8C88-38DE98420962}" uniqueName="19" name="ARC_r" queryTableFieldId="19" dataDxfId="9">
      <calculatedColumnFormula>((N3-Estimates_of_the_use_of_water__2000_2020[[#This Row],[wat_bas_r]])/(B3-Estimates_of_the_use_of_water__2000_2020[[#This Row],[year]]))</calculatedColumnFormula>
    </tableColumn>
    <tableColumn id="20" xr3:uid="{EDF03ECF-4B1E-4362-9DFC-9054A40FB1D4}" uniqueName="20" name="ARC_u" queryTableFieldId="20" dataDxfId="11">
      <calculatedColumnFormula>(R3-Estimates_of_the_use_of_water__2000_2020[[#This Row],[wat_bas_u]])/(B3-Estimates_of_the_use_of_water__2000_2020[[#This Row],[year]])</calculatedColumnFormula>
    </tableColumn>
    <tableColumn id="26" xr3:uid="{BDFC4027-92D5-4A66-B3B6-463F57C29316}" uniqueName="26" name="ARC_diff" queryTableFieldId="26" dataDxfId="0">
      <calculatedColumnFormula>ABS(Estimates_of_the_use_of_water__2000_2020[[#This Row],[ARC_r]]-Estimates_of_the_use_of_water__2000_2020[[#This Row],[ARC_u]])</calculatedColumnFormula>
    </tableColumn>
    <tableColumn id="6" xr3:uid="{02FC731E-2005-45A2-80C9-B7E87ACE6A97}" uniqueName="6" name="wat_lim_n" queryTableFieldId="6"/>
    <tableColumn id="7" xr3:uid="{1B3EF7F3-7C3F-46C1-8B61-43C892895AEF}" uniqueName="7" name="wat_unimp_n" queryTableFieldId="7"/>
    <tableColumn id="8" xr3:uid="{2EBAC655-22D6-4610-9642-7EB0B654A7F8}" uniqueName="8" name="wat_sur_n" queryTableFieldId="8"/>
    <tableColumn id="9" xr3:uid="{45E0DAD0-3697-477D-A6A3-D3DA13ACB08D}" uniqueName="9" name="wat_bas_r" queryTableFieldId="9"/>
    <tableColumn id="10" xr3:uid="{3661FF53-E981-4755-BD7A-E27E35130FF4}" uniqueName="10" name="wat_lim_r" queryTableFieldId="10"/>
    <tableColumn id="11" xr3:uid="{B12F0C12-F309-49E2-82D4-04743582EE22}" uniqueName="11" name="wat_unimp_r" queryTableFieldId="11"/>
    <tableColumn id="12" xr3:uid="{A775AF71-C591-4286-BC26-AFB8BD050BB6}" uniqueName="12" name="wat_sur_r" queryTableFieldId="12"/>
    <tableColumn id="13" xr3:uid="{85902C37-8A3F-4E6E-AC96-F83C4401F785}" uniqueName="13" name="wat_bas_u" queryTableFieldId="13"/>
    <tableColumn id="14" xr3:uid="{72B68218-0851-4C86-9C7D-7B85453AEAD3}" uniqueName="14" name="wat_lim_u" queryTableFieldId="14"/>
    <tableColumn id="15" xr3:uid="{F2289844-5971-4A71-9AC4-1452D298E32E}" uniqueName="15" name="wat_unimp_u" queryTableFieldId="15"/>
    <tableColumn id="16" xr3:uid="{6F51360C-F969-441E-9FDB-D56AF712E74D}" uniqueName="16" name="wat_sur_u" queryTableField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3981B2-26E1-4C14-8BCF-A72215925A86}" name="Regions" displayName="Regions" ref="A1:B234" tableType="queryTable" totalsRowShown="0">
  <autoFilter ref="A1:B234" xr:uid="{D2978C23-287C-4517-979D-D8333F4BC8CE}"/>
  <tableColumns count="2">
    <tableColumn id="1" xr3:uid="{D8B87210-BFE0-476B-8587-1417B0E21BA0}" uniqueName="1" name="Column1" queryTableFieldId="1" dataDxfId="15"/>
    <tableColumn id="2" xr3:uid="{011A527B-B348-4D91-8A6F-F2670F3A902A}" uniqueName="2" name="Column2" queryTableFieldId="2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D7F5B2-9685-4BD6-BBEA-5BF9D57CB0F1}" name="Sheet1" displayName="Sheet1" ref="A1:AA463" tableType="queryTable" totalsRowShown="0">
  <autoFilter ref="A1:AA463" xr:uid="{9AD7F5B2-9685-4BD6-BBEA-5BF9D57CB0F1}">
    <filterColumn colId="24">
      <filters>
        <filter val="full access"/>
      </filters>
    </filterColumn>
  </autoFilter>
  <tableColumns count="27">
    <tableColumn id="1" xr3:uid="{D6B8359B-2E82-44FE-B312-C3FCB193979E}" uniqueName="1" name="name" queryTableFieldId="1" dataDxfId="8"/>
    <tableColumn id="2" xr3:uid="{190314CF-FEC2-443D-831A-19604297F260}" uniqueName="2" name="year" queryTableFieldId="2"/>
    <tableColumn id="3" xr3:uid="{9FEBC2B3-632D-43BC-8027-58CF60BF4F47}" uniqueName="3" name="pop_n" queryTableFieldId="3"/>
    <tableColumn id="4" xr3:uid="{867A4905-3105-4BE8-84C9-B65A9135BB85}" uniqueName="4" name="pop_u" queryTableFieldId="4"/>
    <tableColumn id="5" xr3:uid="{693AA47C-2E18-43F6-A516-2E4E74B58020}" uniqueName="5" name="wat_bas_n" queryTableFieldId="5"/>
    <tableColumn id="6" xr3:uid="{3322EBB5-B374-4C38-B8F5-037085B2D829}" uniqueName="6" name="wat_lim_n" queryTableFieldId="6"/>
    <tableColumn id="7" xr3:uid="{BC496319-842E-4623-A2A6-78D9EF1AF4CB}" uniqueName="7" name="wat_unimp_n" queryTableFieldId="7"/>
    <tableColumn id="8" xr3:uid="{22FAD5B8-7890-4250-857D-E3B63D48814B}" uniqueName="8" name="wat_sur_n" queryTableFieldId="8"/>
    <tableColumn id="9" xr3:uid="{32E21BB0-4680-40BF-B180-3237CB3B0EA3}" uniqueName="9" name="wat_bas_r" queryTableFieldId="9"/>
    <tableColumn id="10" xr3:uid="{9A37B8D0-0784-4602-B166-850712E49E4F}" uniqueName="10" name="wat_lim_r" queryTableFieldId="10"/>
    <tableColumn id="11" xr3:uid="{C9BAC627-C277-4975-9BF2-729AA1F22A12}" uniqueName="11" name="wat_unimp_r" queryTableFieldId="11"/>
    <tableColumn id="12" xr3:uid="{9B4786B2-8841-4FCC-B41B-6D5FD63022CE}" uniqueName="12" name="wat_sur_r" queryTableFieldId="12"/>
    <tableColumn id="13" xr3:uid="{3D6C691C-F8B4-4F9E-A630-5A078EC044BF}" uniqueName="13" name="wat_bas_u" queryTableFieldId="13"/>
    <tableColumn id="14" xr3:uid="{B0BA9A34-F75F-41BA-B46A-35C31FF369B0}" uniqueName="14" name="wat_lim_u" queryTableFieldId="14"/>
    <tableColumn id="15" xr3:uid="{D5FE829C-74DA-4EB4-8C9F-6465713A8B58}" uniqueName="15" name="wat_unimp_u" queryTableFieldId="15"/>
    <tableColumn id="16" xr3:uid="{841B10F1-226C-4FFA-8FF6-BA038921554B}" uniqueName="16" name="wat_sur_u" queryTableFieldId="16"/>
    <tableColumn id="17" xr3:uid="{06C3F729-BF7F-4B84-99F3-E1CB5404318E}" uniqueName="17" name="y_diff" queryTableFieldId="17"/>
    <tableColumn id="18" xr3:uid="{FEC372B1-3744-4A1B-A6C0-F21E5D2C383A}" uniqueName="18" name="ARC_n" queryTableFieldId="18"/>
    <tableColumn id="19" xr3:uid="{BFF1F9B3-5817-4F69-B367-778C817A923B}" uniqueName="19" name="ARC_r" queryTableFieldId="19"/>
    <tableColumn id="20" xr3:uid="{CC79022F-6736-4F28-828B-358DAD584D9D}" uniqueName="20" name="ARC_u" queryTableFieldId="20"/>
    <tableColumn id="28" xr3:uid="{B2CE0E99-4E92-437A-BD9D-9430C72F4ECB}" uniqueName="28" name="ARC_diff" queryTableFieldId="28" dataDxfId="1">
      <calculatedColumnFormula>ABS(Sheet1[[#This Row],[ARC_r]]-Sheet1[[#This Row],[ARC_u]])</calculatedColumnFormula>
    </tableColumn>
    <tableColumn id="21" xr3:uid="{C1E0B083-6171-4DCE-B17D-0A647DCA3D83}" uniqueName="21" name="wat_bas_n (rounded)" queryTableFieldId="21" dataDxfId="7">
      <calculatedColumnFormula>ROUND(Sheet1[[#This Row],[wat_bas_n]],0)</calculatedColumnFormula>
    </tableColumn>
    <tableColumn id="22" xr3:uid="{9E468609-F2ED-40D4-A6F9-55C5F457D3DC}" uniqueName="22" name="wat_bas_r (rounded)" queryTableFieldId="22" dataDxfId="6">
      <calculatedColumnFormula>ROUND(Sheet1[[#This Row],[wat_bas_r]],0)</calculatedColumnFormula>
    </tableColumn>
    <tableColumn id="23" xr3:uid="{32F2BC8F-FA25-4776-B3A7-C0390E14EFCA}" uniqueName="23" name="wat_bas_u (rounded)" queryTableFieldId="23" dataDxfId="5">
      <calculatedColumnFormula>ROUND(Sheet1[[#This Row],[wat_bas_u]],0)</calculatedColumnFormula>
    </tableColumn>
    <tableColumn id="24" xr3:uid="{E63F5B2D-E200-401C-93C3-262566BE74A6}" uniqueName="24" name="ARC_n_full" queryTableFieldId="24" dataDxfId="4">
      <calculatedColumnFormula>IF(AND(COUNTIFS($A:$A,A2)&gt;1, COUNTIFS($A:$A,A2,$E:$E,"&gt;99")=COUNTIFS($A:$A,A2)), "full access", "not full access")</calculatedColumnFormula>
    </tableColumn>
    <tableColumn id="26" xr3:uid="{45DCCDF3-E867-43AD-BE60-D2D9E37D38EB}" uniqueName="26" name="ARC_r_full" queryTableFieldId="26" dataDxfId="3">
      <calculatedColumnFormula>IF(AND(COUNTIFS($A:$A,A2)&gt;1, COUNTIFS($A:$A,A2,$I:$I,"&gt;99")=COUNTIFS($A:$A,A2)), "full access", "not full access")</calculatedColumnFormula>
    </tableColumn>
    <tableColumn id="27" xr3:uid="{3763AA68-8409-4041-9659-2F6EBF2D6CFA}" uniqueName="27" name="ARC_u_full" queryTableFieldId="27" dataDxfId="2">
      <calculatedColumnFormula>IF(AND(COUNTIFS($A:$A,A2)&gt;1, COUNTIFS($A:$A,A2,$M:$M,"&gt;99")=COUNTIFS($A:$A,A2)), "full access", "not full access")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82AC-1AAF-4F89-9331-DBE99AE46A5A}">
  <dimension ref="A1:U463"/>
  <sheetViews>
    <sheetView topLeftCell="A446" workbookViewId="0">
      <selection activeCell="A462" sqref="A462"/>
    </sheetView>
  </sheetViews>
  <sheetFormatPr defaultRowHeight="15" x14ac:dyDescent="0.25"/>
  <cols>
    <col min="1" max="1" width="35.7109375" bestFit="1" customWidth="1"/>
    <col min="2" max="2" width="7.140625" bestFit="1" customWidth="1"/>
    <col min="3" max="3" width="7.140625" customWidth="1"/>
    <col min="4" max="5" width="12" bestFit="1" customWidth="1"/>
    <col min="6" max="6" width="12.42578125" bestFit="1" customWidth="1"/>
    <col min="7" max="7" width="12.140625" bestFit="1" customWidth="1"/>
    <col min="8" max="10" width="12.140625" customWidth="1"/>
    <col min="11" max="11" width="12" customWidth="1"/>
    <col min="12" max="12" width="12.140625" bestFit="1" customWidth="1"/>
    <col min="13" max="13" width="15" bestFit="1" customWidth="1"/>
    <col min="14" max="14" width="12.140625" bestFit="1" customWidth="1"/>
    <col min="15" max="16" width="12" bestFit="1" customWidth="1"/>
    <col min="18" max="18" width="14.5703125" bestFit="1" customWidth="1"/>
    <col min="19" max="19" width="12" bestFit="1" customWidth="1"/>
    <col min="20" max="20" width="12.42578125" bestFit="1" customWidth="1"/>
    <col min="22" max="22" width="12.140625" customWidth="1"/>
    <col min="23" max="23" width="15" bestFit="1" customWidth="1"/>
    <col min="24" max="24" width="12.140625" bestFit="1" customWidth="1"/>
  </cols>
  <sheetData>
    <row r="1" spans="1:21" x14ac:dyDescent="0.25">
      <c r="A1" t="s">
        <v>0</v>
      </c>
      <c r="B1" t="s">
        <v>1</v>
      </c>
      <c r="C1" t="s">
        <v>258</v>
      </c>
      <c r="D1" t="s">
        <v>2</v>
      </c>
      <c r="E1" t="s">
        <v>3</v>
      </c>
      <c r="F1" t="s">
        <v>4</v>
      </c>
      <c r="G1" t="s">
        <v>269</v>
      </c>
      <c r="H1" t="s">
        <v>270</v>
      </c>
      <c r="I1" t="s">
        <v>271</v>
      </c>
      <c r="J1" t="s">
        <v>311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</row>
    <row r="2" spans="1:21" x14ac:dyDescent="0.25">
      <c r="A2" s="1" t="s">
        <v>208</v>
      </c>
      <c r="B2">
        <v>2015</v>
      </c>
      <c r="C2">
        <f>IF(A3=Estimates_of_the_use_of_water__2000_2020[[#This Row],[name]], B3-Estimates_of_the_use_of_water__2000_2020[[#This Row],[year]],"")</f>
        <v>5</v>
      </c>
      <c r="D2">
        <v>34413.601560000003</v>
      </c>
      <c r="E2">
        <v>24.802999499999999</v>
      </c>
      <c r="F2">
        <v>61.339780810000001</v>
      </c>
      <c r="G2">
        <f>((F3-Estimates_of_the_use_of_water__2000_2020[[#This Row],[wat_bas_n]])/(B3-Estimates_of_the_use_of_water__2000_2020[[#This Row],[year]]))</f>
        <v>2.7503264880000002</v>
      </c>
      <c r="H2">
        <f>((N3-Estimates_of_the_use_of_water__2000_2020[[#This Row],[wat_bas_r]])/(B3-Estimates_of_the_use_of_water__2000_2020[[#This Row],[year]]))</f>
        <v>2.6678826380000005</v>
      </c>
      <c r="I2">
        <f>(R3-Estimates_of_the_use_of_water__2000_2020[[#This Row],[wat_bas_u]])/(B3-Estimates_of_the_use_of_water__2000_2020[[#This Row],[year]])</f>
        <v>2.6682118559999992</v>
      </c>
      <c r="J2">
        <f>ABS(Estimates_of_the_use_of_water__2000_2020[[#This Row],[ARC_r]]-Estimates_of_the_use_of_water__2000_2020[[#This Row],[ARC_u]])</f>
        <v>3.2921799999874324E-4</v>
      </c>
      <c r="K2">
        <v>3.5111995139999999</v>
      </c>
      <c r="L2">
        <v>22.168783829999999</v>
      </c>
      <c r="M2">
        <v>12.98023585</v>
      </c>
      <c r="N2">
        <v>52.988502019999999</v>
      </c>
      <c r="O2">
        <v>3.8611366170000001</v>
      </c>
      <c r="P2">
        <v>26.553267569999999</v>
      </c>
      <c r="Q2">
        <v>16.597093789999999</v>
      </c>
      <c r="R2">
        <v>86.658940720000004</v>
      </c>
      <c r="S2">
        <v>2.450270561</v>
      </c>
      <c r="T2">
        <v>8.8760357320000001</v>
      </c>
      <c r="U2">
        <v>2.0147529870000001</v>
      </c>
    </row>
    <row r="3" spans="1:21" x14ac:dyDescent="0.25">
      <c r="A3" s="1" t="s">
        <v>208</v>
      </c>
      <c r="B3">
        <v>2020</v>
      </c>
      <c r="C3" t="str">
        <f>IF(A4=Estimates_of_the_use_of_water__2000_2020[[#This Row],[name]], B4-Estimates_of_the_use_of_water__2000_2020[[#This Row],[year]],"")</f>
        <v/>
      </c>
      <c r="D3">
        <v>38928.339840000001</v>
      </c>
      <c r="E3">
        <v>26.025999070000001</v>
      </c>
      <c r="F3">
        <v>75.091413250000002</v>
      </c>
      <c r="G3">
        <f>((F4-Estimates_of_the_use_of_water__2000_2020[[#This Row],[wat_bas_n]])/(B4-Estimates_of_the_use_of_water__2000_2020[[#This Row],[year]]))</f>
        <v>-3.6605824179999984</v>
      </c>
      <c r="H3">
        <f>((N4-Estimates_of_the_use_of_water__2000_2020[[#This Row],[wat_bas_r]])/(B4-Estimates_of_the_use_of_water__2000_2020[[#This Row],[year]]))</f>
        <v>-4.85987188</v>
      </c>
      <c r="I3">
        <f>(R4-Estimates_of_the_use_of_water__2000_2020[[#This Row],[wat_bas_u]])/(B4-Estimates_of_the_use_of_water__2000_2020[[#This Row],[year]])</f>
        <v>0.91098660799999887</v>
      </c>
      <c r="J3">
        <f>ABS(Estimates_of_the_use_of_water__2000_2020[[#This Row],[ARC_r]]-Estimates_of_the_use_of_water__2000_2020[[#This Row],[ARC_u]])</f>
        <v>5.7708584879999991</v>
      </c>
      <c r="K3">
        <v>1.447541688</v>
      </c>
      <c r="L3">
        <v>14.56026288</v>
      </c>
      <c r="M3">
        <v>8.9007821739999997</v>
      </c>
      <c r="N3">
        <v>66.32791521</v>
      </c>
      <c r="O3">
        <v>1.9568248509999999</v>
      </c>
      <c r="P3">
        <v>19.68294895</v>
      </c>
      <c r="Q3">
        <v>12.03231098</v>
      </c>
      <c r="R3">
        <v>100</v>
      </c>
      <c r="S3">
        <v>0</v>
      </c>
      <c r="T3">
        <v>0</v>
      </c>
      <c r="U3">
        <v>0</v>
      </c>
    </row>
    <row r="4" spans="1:21" x14ac:dyDescent="0.25">
      <c r="A4" s="1" t="s">
        <v>156</v>
      </c>
      <c r="B4">
        <v>2015</v>
      </c>
      <c r="C4">
        <f>IF(A5=Estimates_of_the_use_of_water__2000_2020[[#This Row],[name]], B5-Estimates_of_the_use_of_water__2000_2020[[#This Row],[year]],"")</f>
        <v>5</v>
      </c>
      <c r="D4">
        <v>2890.5239259999998</v>
      </c>
      <c r="E4">
        <v>57.433998109999997</v>
      </c>
      <c r="F4">
        <v>93.394325339999995</v>
      </c>
      <c r="G4">
        <f>((F5-Estimates_of_the_use_of_water__2000_2020[[#This Row],[wat_bas_n]])/(B5-Estimates_of_the_use_of_water__2000_2020[[#This Row],[year]]))</f>
        <v>0.33474269800000228</v>
      </c>
      <c r="H4">
        <f>((N5-Estimates_of_the_use_of_water__2000_2020[[#This Row],[wat_bas_r]])/(B5-Estimates_of_the_use_of_water__2000_2020[[#This Row],[year]]))</f>
        <v>0.69281669000000079</v>
      </c>
      <c r="I4">
        <f>(R5-Estimates_of_the_use_of_water__2000_2020[[#This Row],[wat_bas_u]])/(B5-Estimates_of_the_use_of_water__2000_2020[[#This Row],[year]])</f>
        <v>4.3748431999998158E-2</v>
      </c>
      <c r="J4">
        <f>ABS(Estimates_of_the_use_of_water__2000_2020[[#This Row],[ARC_r]]-Estimates_of_the_use_of_water__2000_2020[[#This Row],[ARC_u]])</f>
        <v>0.64906825800000267</v>
      </c>
      <c r="K4">
        <v>3.626383658</v>
      </c>
      <c r="L4">
        <v>2.9792910039999998</v>
      </c>
      <c r="M4">
        <v>0</v>
      </c>
      <c r="N4">
        <v>90.627274610000001</v>
      </c>
      <c r="O4">
        <v>5.2631726480000003</v>
      </c>
      <c r="P4">
        <v>4.1095527440000001</v>
      </c>
      <c r="Q4">
        <v>0</v>
      </c>
      <c r="R4">
        <v>95.445066960000005</v>
      </c>
      <c r="S4">
        <v>2.4133118200000001</v>
      </c>
      <c r="T4">
        <v>2.1416212159999999</v>
      </c>
      <c r="U4">
        <v>0</v>
      </c>
    </row>
    <row r="5" spans="1:21" x14ac:dyDescent="0.25">
      <c r="A5" s="1" t="s">
        <v>156</v>
      </c>
      <c r="B5">
        <v>2020</v>
      </c>
      <c r="C5" t="str">
        <f>IF(A6=Estimates_of_the_use_of_water__2000_2020[[#This Row],[name]], B6-Estimates_of_the_use_of_water__2000_2020[[#This Row],[year]],"")</f>
        <v/>
      </c>
      <c r="D5">
        <v>2877.8000489999999</v>
      </c>
      <c r="E5">
        <v>62.111999509999997</v>
      </c>
      <c r="F5">
        <v>95.068038830000006</v>
      </c>
      <c r="G5">
        <f>((F6-Estimates_of_the_use_of_water__2000_2020[[#This Row],[wat_bas_n]])/(B6-Estimates_of_the_use_of_water__2000_2020[[#This Row],[year]]))</f>
        <v>0.33169546000000028</v>
      </c>
      <c r="H5">
        <f>((N6-Estimates_of_the_use_of_water__2000_2020[[#This Row],[wat_bas_r]])/(B6-Estimates_of_the_use_of_water__2000_2020[[#This Row],[year]]))</f>
        <v>1.1477302400000013</v>
      </c>
      <c r="I5">
        <f>(R6-Estimates_of_the_use_of_water__2000_2020[[#This Row],[wat_bas_u]])/(B6-Estimates_of_the_use_of_water__2000_2020[[#This Row],[year]])</f>
        <v>3.4698883999999451E-2</v>
      </c>
      <c r="J5">
        <f>ABS(Estimates_of_the_use_of_water__2000_2020[[#This Row],[ARC_r]]-Estimates_of_the_use_of_water__2000_2020[[#This Row],[ARC_u]])</f>
        <v>1.1130313560000018</v>
      </c>
      <c r="K5">
        <v>1.8846560919999999</v>
      </c>
      <c r="L5">
        <v>3.0473050810000002</v>
      </c>
      <c r="M5">
        <v>0</v>
      </c>
      <c r="N5">
        <v>94.091358060000005</v>
      </c>
      <c r="O5">
        <v>2.3052649550000002</v>
      </c>
      <c r="P5">
        <v>3.6033769859999998</v>
      </c>
      <c r="Q5">
        <v>0</v>
      </c>
      <c r="R5">
        <v>95.663809119999996</v>
      </c>
      <c r="S5">
        <v>1.62808683</v>
      </c>
      <c r="T5">
        <v>2.7081040540000001</v>
      </c>
      <c r="U5">
        <v>0</v>
      </c>
    </row>
    <row r="6" spans="1:21" x14ac:dyDescent="0.25">
      <c r="A6" s="1" t="s">
        <v>158</v>
      </c>
      <c r="B6">
        <v>2015</v>
      </c>
      <c r="C6">
        <f>IF(A7=Estimates_of_the_use_of_water__2000_2020[[#This Row],[name]], B7-Estimates_of_the_use_of_water__2000_2020[[#This Row],[year]],"")</f>
        <v>5</v>
      </c>
      <c r="D6">
        <v>39728.019529999998</v>
      </c>
      <c r="E6">
        <v>70.847999569999999</v>
      </c>
      <c r="F6">
        <v>93.409561530000005</v>
      </c>
      <c r="G6">
        <f>((F7-Estimates_of_the_use_of_water__2000_2020[[#This Row],[wat_bas_n]])/(B7-Estimates_of_the_use_of_water__2000_2020[[#This Row],[year]]))</f>
        <v>0.20555368599999896</v>
      </c>
      <c r="H6">
        <f>((N7-Estimates_of_the_use_of_water__2000_2020[[#This Row],[wat_bas_r]])/(B7-Estimates_of_the_use_of_water__2000_2020[[#This Row],[year]]))</f>
        <v>0.33696620999999993</v>
      </c>
      <c r="I6">
        <f>(R7-Estimates_of_the_use_of_water__2000_2020[[#This Row],[wat_bas_u]])/(B7-Estimates_of_the_use_of_water__2000_2020[[#This Row],[year]])</f>
        <v>0.10288423199999955</v>
      </c>
      <c r="J6">
        <f>ABS(Estimates_of_the_use_of_water__2000_2020[[#This Row],[ARC_r]]-Estimates_of_the_use_of_water__2000_2020[[#This Row],[ARC_u]])</f>
        <v>0.23408197800000038</v>
      </c>
      <c r="K6">
        <v>5.157780893</v>
      </c>
      <c r="L6">
        <v>1.2754646839999999</v>
      </c>
      <c r="M6">
        <v>0.1571928913</v>
      </c>
      <c r="N6">
        <v>88.352706859999998</v>
      </c>
      <c r="O6">
        <v>8.6857531209999994</v>
      </c>
      <c r="P6">
        <v>2.580431801</v>
      </c>
      <c r="Q6">
        <v>0.38110821550000001</v>
      </c>
      <c r="R6">
        <v>95.490314699999999</v>
      </c>
      <c r="S6">
        <v>3.7061173169999999</v>
      </c>
      <c r="T6">
        <v>0.73851008510000005</v>
      </c>
      <c r="U6">
        <v>6.5057897530000006E-2</v>
      </c>
    </row>
    <row r="7" spans="1:21" x14ac:dyDescent="0.25">
      <c r="A7" s="1" t="s">
        <v>158</v>
      </c>
      <c r="B7">
        <v>2020</v>
      </c>
      <c r="C7" t="str">
        <f>IF(A8=Estimates_of_the_use_of_water__2000_2020[[#This Row],[name]], B8-Estimates_of_the_use_of_water__2000_2020[[#This Row],[year]],"")</f>
        <v/>
      </c>
      <c r="D7">
        <v>43851.042970000002</v>
      </c>
      <c r="E7">
        <v>73.733001709999996</v>
      </c>
      <c r="F7">
        <v>94.43732996</v>
      </c>
      <c r="G7">
        <f>((F8-Estimates_of_the_use_of_water__2000_2020[[#This Row],[wat_bas_n]])/(B8-Estimates_of_the_use_of_water__2000_2020[[#This Row],[year]]))</f>
        <v>-1.0363546380000002</v>
      </c>
      <c r="H7">
        <f>((N8-Estimates_of_the_use_of_water__2000_2020[[#This Row],[wat_bas_r]])/(B8-Estimates_of_the_use_of_water__2000_2020[[#This Row],[year]]))</f>
        <v>18.007507581999999</v>
      </c>
      <c r="I7">
        <f>(R8-Estimates_of_the_use_of_water__2000_2020[[#This Row],[wat_bas_u]])/(B8-Estimates_of_the_use_of_water__2000_2020[[#This Row],[year]])</f>
        <v>19.200947171999999</v>
      </c>
      <c r="J7">
        <f>ABS(Estimates_of_the_use_of_water__2000_2020[[#This Row],[ARC_r]]-Estimates_of_the_use_of_water__2000_2020[[#This Row],[ARC_u]])</f>
        <v>1.1934395900000005</v>
      </c>
      <c r="K7">
        <v>4.9858808420000003</v>
      </c>
      <c r="L7">
        <v>0.53183666380000005</v>
      </c>
      <c r="M7">
        <v>4.495253272E-2</v>
      </c>
      <c r="N7">
        <v>90.037537909999998</v>
      </c>
      <c r="O7">
        <v>8.79672214</v>
      </c>
      <c r="P7">
        <v>0.99460302810000001</v>
      </c>
      <c r="Q7">
        <v>0.17113692580000001</v>
      </c>
      <c r="R7">
        <v>96.004735859999997</v>
      </c>
      <c r="S7">
        <v>3.628288591</v>
      </c>
      <c r="T7">
        <v>0.36697554780000002</v>
      </c>
      <c r="U7">
        <v>0</v>
      </c>
    </row>
    <row r="8" spans="1:21" x14ac:dyDescent="0.25">
      <c r="A8" s="1" t="s">
        <v>82</v>
      </c>
      <c r="B8">
        <v>2015</v>
      </c>
      <c r="C8">
        <f>IF(A9=Estimates_of_the_use_of_water__2000_2020[[#This Row],[name]], B9-Estimates_of_the_use_of_water__2000_2020[[#This Row],[year]],"")</f>
        <v>5</v>
      </c>
      <c r="D8">
        <v>55.805999759999999</v>
      </c>
      <c r="E8">
        <v>87.238006589999998</v>
      </c>
      <c r="F8">
        <v>99.619103150000001</v>
      </c>
      <c r="G8">
        <f>((F9-Estimates_of_the_use_of_water__2000_2020[[#This Row],[wat_bas_n]])/(B9-Estimates_of_the_use_of_water__2000_2020[[#This Row],[year]]))</f>
        <v>3.0933701999998675E-2</v>
      </c>
      <c r="H8">
        <f>((N9-Estimates_of_the_use_of_water__2000_2020[[#This Row],[wat_bas_r]])/(B9-Estimates_of_the_use_of_water__2000_2020[[#This Row],[year]]))</f>
        <v>0</v>
      </c>
      <c r="I8">
        <f>(R9-Estimates_of_the_use_of_water__2000_2020[[#This Row],[wat_bas_u]])/(B9-Estimates_of_the_use_of_water__2000_2020[[#This Row],[year]])</f>
        <v>0</v>
      </c>
      <c r="J8">
        <f>ABS(Estimates_of_the_use_of_water__2000_2020[[#This Row],[ARC_r]]-Estimates_of_the_use_of_water__2000_2020[[#This Row],[ARC_u]])</f>
        <v>0</v>
      </c>
      <c r="K8">
        <v>0</v>
      </c>
      <c r="L8">
        <v>0.38089684610000002</v>
      </c>
      <c r="M8">
        <v>0</v>
      </c>
    </row>
    <row r="9" spans="1:21" x14ac:dyDescent="0.25">
      <c r="A9" s="1" t="s">
        <v>82</v>
      </c>
      <c r="B9">
        <v>2020</v>
      </c>
      <c r="C9" t="str">
        <f>IF(A10=Estimates_of_the_use_of_water__2000_2020[[#This Row],[name]], B10-Estimates_of_the_use_of_water__2000_2020[[#This Row],[year]],"")</f>
        <v/>
      </c>
      <c r="D9">
        <v>55.196998600000001</v>
      </c>
      <c r="E9">
        <v>87.152999879999996</v>
      </c>
      <c r="F9">
        <v>99.773771659999994</v>
      </c>
      <c r="G9">
        <f>((F10-Estimates_of_the_use_of_water__2000_2020[[#This Row],[wat_bas_n]])/(B10-Estimates_of_the_use_of_water__2000_2020[[#This Row],[year]]))</f>
        <v>-4.5245178000001829E-2</v>
      </c>
      <c r="H9">
        <f>((N10-Estimates_of_the_use_of_water__2000_2020[[#This Row],[wat_bas_r]])/(B10-Estimates_of_the_use_of_water__2000_2020[[#This Row],[year]]))</f>
        <v>-20</v>
      </c>
      <c r="I9">
        <f>(R10-Estimates_of_the_use_of_water__2000_2020[[#This Row],[wat_bas_u]])/(B10-Estimates_of_the_use_of_water__2000_2020[[#This Row],[year]])</f>
        <v>-20</v>
      </c>
      <c r="J9">
        <f>ABS(Estimates_of_the_use_of_water__2000_2020[[#This Row],[ARC_r]]-Estimates_of_the_use_of_water__2000_2020[[#This Row],[ARC_u]])</f>
        <v>0</v>
      </c>
      <c r="K9">
        <v>0</v>
      </c>
      <c r="L9">
        <v>0.22622834150000001</v>
      </c>
      <c r="M9">
        <v>0</v>
      </c>
    </row>
    <row r="10" spans="1:21" x14ac:dyDescent="0.25">
      <c r="A10" s="1" t="s">
        <v>19</v>
      </c>
      <c r="B10">
        <v>2015</v>
      </c>
      <c r="C10">
        <f>IF(A11=Estimates_of_the_use_of_water__2000_2020[[#This Row],[name]], B11-Estimates_of_the_use_of_water__2000_2020[[#This Row],[year]],"")</f>
        <v>5</v>
      </c>
      <c r="D10">
        <v>77.992996219999995</v>
      </c>
      <c r="E10">
        <v>88.344993590000001</v>
      </c>
      <c r="F10">
        <v>99.999997550000003</v>
      </c>
      <c r="G10">
        <f>((F11-Estimates_of_the_use_of_water__2000_2020[[#This Row],[wat_bas_n]])/(B11-Estimates_of_the_use_of_water__2000_2020[[#This Row],[year]]))</f>
        <v>1.229999998031417E-6</v>
      </c>
      <c r="H10">
        <f>((N11-Estimates_of_the_use_of_water__2000_2020[[#This Row],[wat_bas_r]])/(B11-Estimates_of_the_use_of_water__2000_2020[[#This Row],[year]]))</f>
        <v>0</v>
      </c>
      <c r="I10">
        <f>(R11-Estimates_of_the_use_of_water__2000_2020[[#This Row],[wat_bas_u]])/(B11-Estimates_of_the_use_of_water__2000_2020[[#This Row],[year]])</f>
        <v>0</v>
      </c>
      <c r="J10">
        <f>ABS(Estimates_of_the_use_of_water__2000_2020[[#This Row],[ARC_r]]-Estimates_of_the_use_of_water__2000_2020[[#This Row],[ARC_u]])</f>
        <v>0</v>
      </c>
      <c r="K10">
        <v>0</v>
      </c>
      <c r="L10">
        <v>2.4455383569999998E-6</v>
      </c>
      <c r="M10">
        <v>0</v>
      </c>
      <c r="N10">
        <v>100</v>
      </c>
      <c r="O10">
        <v>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</row>
    <row r="11" spans="1:21" x14ac:dyDescent="0.25">
      <c r="A11" s="1" t="s">
        <v>19</v>
      </c>
      <c r="B11">
        <v>2020</v>
      </c>
      <c r="C11" t="str">
        <f>IF(A12=Estimates_of_the_use_of_water__2000_2020[[#This Row],[name]], B12-Estimates_of_the_use_of_water__2000_2020[[#This Row],[year]],"")</f>
        <v/>
      </c>
      <c r="D11">
        <v>77.26499939</v>
      </c>
      <c r="E11">
        <v>87.916000370000006</v>
      </c>
      <c r="F11">
        <v>100.00000369999999</v>
      </c>
      <c r="G11">
        <f>((F12-Estimates_of_the_use_of_water__2000_2020[[#This Row],[wat_bas_n]])/(B12-Estimates_of_the_use_of_water__2000_2020[[#This Row],[year]]))</f>
        <v>9.1366150699999995</v>
      </c>
      <c r="H11">
        <f>((N12-Estimates_of_the_use_of_water__2000_2020[[#This Row],[wat_bas_r]])/(B12-Estimates_of_the_use_of_water__2000_2020[[#This Row],[year]]))</f>
        <v>14.657126120000001</v>
      </c>
      <c r="I11">
        <f>(R12-Estimates_of_the_use_of_water__2000_2020[[#This Row],[wat_bas_u]])/(B12-Estimates_of_the_use_of_water__2000_2020[[#This Row],[year]])</f>
        <v>5.9560069760000003</v>
      </c>
      <c r="J11">
        <f>ABS(Estimates_of_the_use_of_water__2000_2020[[#This Row],[ARC_r]]-Estimates_of_the_use_of_water__2000_2020[[#This Row],[ARC_u]])</f>
        <v>8.7011191439999997</v>
      </c>
      <c r="K11">
        <v>0</v>
      </c>
      <c r="L11">
        <v>0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</row>
    <row r="12" spans="1:21" x14ac:dyDescent="0.25">
      <c r="A12" s="1" t="s">
        <v>234</v>
      </c>
      <c r="B12">
        <v>2015</v>
      </c>
      <c r="C12">
        <f>IF(A13=Estimates_of_the_use_of_water__2000_2020[[#This Row],[name]], B13-Estimates_of_the_use_of_water__2000_2020[[#This Row],[year]],"")</f>
        <v>5</v>
      </c>
      <c r="D12">
        <v>27884.380860000001</v>
      </c>
      <c r="E12">
        <v>63.445995330000002</v>
      </c>
      <c r="F12">
        <v>54.316928349999998</v>
      </c>
      <c r="G12">
        <f>((F13-Estimates_of_the_use_of_water__2000_2020[[#This Row],[wat_bas_n]])/(B13-Estimates_of_the_use_of_water__2000_2020[[#This Row],[year]]))</f>
        <v>0.57016185399999986</v>
      </c>
      <c r="H12">
        <f>((N13-Estimates_of_the_use_of_water__2000_2020[[#This Row],[wat_bas_r]])/(B13-Estimates_of_the_use_of_water__2000_2020[[#This Row],[year]]))</f>
        <v>0.2187714419999999</v>
      </c>
      <c r="I12">
        <f>(R13-Estimates_of_the_use_of_water__2000_2020[[#This Row],[wat_bas_u]])/(B13-Estimates_of_the_use_of_water__2000_2020[[#This Row],[year]])</f>
        <v>0.30463670000000037</v>
      </c>
      <c r="J12">
        <f>ABS(Estimates_of_the_use_of_water__2000_2020[[#This Row],[ARC_r]]-Estimates_of_the_use_of_water__2000_2020[[#This Row],[ARC_u]])</f>
        <v>8.5865258000000472E-2</v>
      </c>
      <c r="K12">
        <v>11.368618659999999</v>
      </c>
      <c r="L12">
        <v>17.37235635</v>
      </c>
      <c r="M12">
        <v>16.942096639999999</v>
      </c>
      <c r="N12">
        <v>26.714369399999999</v>
      </c>
      <c r="O12">
        <v>9.9310692879999998</v>
      </c>
      <c r="P12">
        <v>21.725307619999999</v>
      </c>
      <c r="Q12">
        <v>41.629253689999999</v>
      </c>
      <c r="R12">
        <v>70.219965119999998</v>
      </c>
      <c r="S12">
        <v>12.196853490000001</v>
      </c>
      <c r="T12">
        <v>14.86443147</v>
      </c>
      <c r="U12">
        <v>2.7187499210000001</v>
      </c>
    </row>
    <row r="13" spans="1:21" x14ac:dyDescent="0.25">
      <c r="A13" s="1" t="s">
        <v>234</v>
      </c>
      <c r="B13">
        <v>2020</v>
      </c>
      <c r="C13" t="str">
        <f>IF(A14=Estimates_of_the_use_of_water__2000_2020[[#This Row],[name]], B14-Estimates_of_the_use_of_water__2000_2020[[#This Row],[year]],"")</f>
        <v/>
      </c>
      <c r="D13">
        <v>32866.269529999998</v>
      </c>
      <c r="E13">
        <v>66.824996949999999</v>
      </c>
      <c r="F13">
        <v>57.167737619999997</v>
      </c>
      <c r="G13">
        <f>((F14-Estimates_of_the_use_of_water__2000_2020[[#This Row],[wat_bas_n]])/(B14-Estimates_of_the_use_of_water__2000_2020[[#This Row],[year]]))</f>
        <v>-8.0629073260000013</v>
      </c>
      <c r="H13">
        <f>((N14-Estimates_of_the_use_of_water__2000_2020[[#This Row],[wat_bas_r]])/(B14-Estimates_of_the_use_of_water__2000_2020[[#This Row],[year]]))</f>
        <v>5.5616453219999995</v>
      </c>
      <c r="I13">
        <f>(R14-Estimates_of_the_use_of_water__2000_2020[[#This Row],[wat_bas_u]])/(B14-Estimates_of_the_use_of_water__2000_2020[[#This Row],[year]])</f>
        <v>-5.1478251260000008</v>
      </c>
      <c r="J13">
        <f>ABS(Estimates_of_the_use_of_water__2000_2020[[#This Row],[ARC_r]]-Estimates_of_the_use_of_water__2000_2020[[#This Row],[ARC_u]])</f>
        <v>10.709470448000001</v>
      </c>
      <c r="K13">
        <v>9.2873499190000004</v>
      </c>
      <c r="L13">
        <v>19.450825340000002</v>
      </c>
      <c r="M13">
        <v>14.094087119999999</v>
      </c>
      <c r="N13">
        <v>27.808226609999998</v>
      </c>
      <c r="O13">
        <v>8.7404883889999994</v>
      </c>
      <c r="P13">
        <v>22.933152580000002</v>
      </c>
      <c r="Q13">
        <v>40.518132420000001</v>
      </c>
      <c r="R13">
        <v>71.743148619999999</v>
      </c>
      <c r="S13">
        <v>9.5588374890000001</v>
      </c>
      <c r="T13">
        <v>17.722034730000001</v>
      </c>
      <c r="U13">
        <v>0.97597916289999997</v>
      </c>
    </row>
    <row r="14" spans="1:21" x14ac:dyDescent="0.25">
      <c r="A14" s="1" t="s">
        <v>127</v>
      </c>
      <c r="B14">
        <v>2015</v>
      </c>
      <c r="C14">
        <f>IF(A15=Estimates_of_the_use_of_water__2000_2020[[#This Row],[name]], B15-Estimates_of_the_use_of_water__2000_2020[[#This Row],[year]],"")</f>
        <v>2</v>
      </c>
      <c r="D14">
        <v>14.27900028</v>
      </c>
      <c r="E14">
        <v>100</v>
      </c>
      <c r="F14">
        <v>97.482274250000003</v>
      </c>
      <c r="G14">
        <f>((F15-Estimates_of_the_use_of_water__2000_2020[[#This Row],[wat_bas_n]])/(B15-Estimates_of_the_use_of_water__2000_2020[[#This Row],[year]]))</f>
        <v>0</v>
      </c>
      <c r="H14">
        <f>((N15-Estimates_of_the_use_of_water__2000_2020[[#This Row],[wat_bas_r]])/(B15-Estimates_of_the_use_of_water__2000_2020[[#This Row],[year]]))</f>
        <v>0</v>
      </c>
      <c r="I14">
        <f>(R15-Estimates_of_the_use_of_water__2000_2020[[#This Row],[wat_bas_u]])/(B15-Estimates_of_the_use_of_water__2000_2020[[#This Row],[year]])</f>
        <v>0</v>
      </c>
      <c r="J14">
        <f>ABS(Estimates_of_the_use_of_water__2000_2020[[#This Row],[ARC_r]]-Estimates_of_the_use_of_water__2000_2020[[#This Row],[ARC_u]])</f>
        <v>0</v>
      </c>
      <c r="K14">
        <v>0</v>
      </c>
      <c r="L14">
        <v>2.5177257530000001</v>
      </c>
      <c r="M14">
        <v>0</v>
      </c>
      <c r="R14">
        <v>97.482274250000003</v>
      </c>
      <c r="S14">
        <v>0</v>
      </c>
      <c r="T14">
        <v>2.5177257530000001</v>
      </c>
      <c r="U14">
        <v>0</v>
      </c>
    </row>
    <row r="15" spans="1:21" x14ac:dyDescent="0.25">
      <c r="A15" s="1" t="s">
        <v>127</v>
      </c>
      <c r="B15">
        <v>2017</v>
      </c>
      <c r="C15" t="str">
        <f>IF(A16=Estimates_of_the_use_of_water__2000_2020[[#This Row],[name]], B16-Estimates_of_the_use_of_water__2000_2020[[#This Row],[year]],"")</f>
        <v/>
      </c>
      <c r="D15">
        <v>14.588000299999999</v>
      </c>
      <c r="E15">
        <v>100</v>
      </c>
      <c r="F15">
        <v>97.482274250000003</v>
      </c>
      <c r="G15">
        <f>((F16-Estimates_of_the_use_of_water__2000_2020[[#This Row],[wat_bas_n]])/(B16-Estimates_of_the_use_of_water__2000_2020[[#This Row],[year]]))</f>
        <v>0.37154398500000241</v>
      </c>
      <c r="H15">
        <f>((N16-Estimates_of_the_use_of_water__2000_2020[[#This Row],[wat_bas_r]])/(B16-Estimates_of_the_use_of_water__2000_2020[[#This Row],[year]]))</f>
        <v>0</v>
      </c>
      <c r="I15">
        <f>(R16-Estimates_of_the_use_of_water__2000_2020[[#This Row],[wat_bas_u]])/(B16-Estimates_of_the_use_of_water__2000_2020[[#This Row],[year]])</f>
        <v>48.741137125000002</v>
      </c>
      <c r="J15">
        <f>ABS(Estimates_of_the_use_of_water__2000_2020[[#This Row],[ARC_r]]-Estimates_of_the_use_of_water__2000_2020[[#This Row],[ARC_u]])</f>
        <v>48.741137125000002</v>
      </c>
      <c r="K15">
        <v>0</v>
      </c>
      <c r="L15">
        <v>2.5177257530000001</v>
      </c>
      <c r="M15">
        <v>0</v>
      </c>
      <c r="R15">
        <v>97.482274250000003</v>
      </c>
      <c r="S15">
        <v>0</v>
      </c>
      <c r="T15">
        <v>2.5177257530000001</v>
      </c>
      <c r="U15">
        <v>0</v>
      </c>
    </row>
    <row r="16" spans="1:21" x14ac:dyDescent="0.25">
      <c r="A16" s="1" t="s">
        <v>139</v>
      </c>
      <c r="B16">
        <v>2015</v>
      </c>
      <c r="C16">
        <f>IF(A17=Estimates_of_the_use_of_water__2000_2020[[#This Row],[name]], B17-Estimates_of_the_use_of_water__2000_2020[[#This Row],[year]],"")</f>
        <v>2</v>
      </c>
      <c r="D16">
        <v>93.570999150000006</v>
      </c>
      <c r="E16">
        <v>25</v>
      </c>
      <c r="F16">
        <v>96.739186279999998</v>
      </c>
      <c r="G16">
        <f>((F17-Estimates_of_the_use_of_water__2000_2020[[#This Row],[wat_bas_n]])/(B17-Estimates_of_the_use_of_water__2000_2020[[#This Row],[year]]))</f>
        <v>0</v>
      </c>
      <c r="H16">
        <f>((N17-Estimates_of_the_use_of_water__2000_2020[[#This Row],[wat_bas_r]])/(B17-Estimates_of_the_use_of_water__2000_2020[[#This Row],[year]]))</f>
        <v>0</v>
      </c>
      <c r="I16">
        <f>(R17-Estimates_of_the_use_of_water__2000_2020[[#This Row],[wat_bas_u]])/(B17-Estimates_of_the_use_of_water__2000_2020[[#This Row],[year]])</f>
        <v>0</v>
      </c>
      <c r="J16">
        <f>ABS(Estimates_of_the_use_of_water__2000_2020[[#This Row],[ARC_r]]-Estimates_of_the_use_of_water__2000_2020[[#This Row],[ARC_u]])</f>
        <v>0</v>
      </c>
      <c r="K16">
        <v>0</v>
      </c>
      <c r="L16">
        <v>3.1663476099999999</v>
      </c>
      <c r="M16">
        <v>9.4466114089999997E-2</v>
      </c>
    </row>
    <row r="17" spans="1:21" x14ac:dyDescent="0.25">
      <c r="A17" s="1" t="s">
        <v>139</v>
      </c>
      <c r="B17">
        <v>2017</v>
      </c>
      <c r="C17" t="str">
        <f>IF(A18=Estimates_of_the_use_of_water__2000_2020[[#This Row],[name]], B18-Estimates_of_the_use_of_water__2000_2020[[#This Row],[year]],"")</f>
        <v/>
      </c>
      <c r="D17">
        <v>95.425003050000001</v>
      </c>
      <c r="E17">
        <v>24.713001250000001</v>
      </c>
      <c r="F17">
        <v>96.739186279999998</v>
      </c>
      <c r="G17">
        <f>((F18-Estimates_of_the_use_of_water__2000_2020[[#This Row],[wat_bas_n]])/(B18-Estimates_of_the_use_of_water__2000_2020[[#This Row],[year]]))</f>
        <v>-1.1137009350000042</v>
      </c>
      <c r="H17">
        <f>((N18-Estimates_of_the_use_of_water__2000_2020[[#This Row],[wat_bas_r]])/(B18-Estimates_of_the_use_of_water__2000_2020[[#This Row],[year]]))</f>
        <v>-46.491830024999999</v>
      </c>
      <c r="I17">
        <f>(R18-Estimates_of_the_use_of_water__2000_2020[[#This Row],[wat_bas_u]])/(B18-Estimates_of_the_use_of_water__2000_2020[[#This Row],[year]])</f>
        <v>-49.761081525000002</v>
      </c>
      <c r="J17">
        <f>ABS(Estimates_of_the_use_of_water__2000_2020[[#This Row],[ARC_r]]-Estimates_of_the_use_of_water__2000_2020[[#This Row],[ARC_u]])</f>
        <v>3.2692515000000029</v>
      </c>
      <c r="K17">
        <v>0</v>
      </c>
      <c r="L17">
        <v>3.1663476099999999</v>
      </c>
      <c r="M17">
        <v>9.4466114089999997E-2</v>
      </c>
    </row>
    <row r="18" spans="1:21" x14ac:dyDescent="0.25">
      <c r="A18" s="1" t="s">
        <v>17</v>
      </c>
      <c r="B18">
        <v>2015</v>
      </c>
      <c r="C18">
        <f>IF(A19=Estimates_of_the_use_of_water__2000_2020[[#This Row],[name]], B19-Estimates_of_the_use_of_water__2000_2020[[#This Row],[year]],"")</f>
        <v>5</v>
      </c>
      <c r="D18">
        <v>43075.414060000003</v>
      </c>
      <c r="E18">
        <v>91.502998349999999</v>
      </c>
      <c r="F18">
        <v>98.966588150000007</v>
      </c>
      <c r="G18">
        <f>((F19-Estimates_of_the_use_of_water__2000_2020[[#This Row],[wat_bas_n]])/(B19-Estimates_of_the_use_of_water__2000_2020[[#This Row],[year]]))</f>
        <v>-19.793317630000001</v>
      </c>
      <c r="H18">
        <f>((N19-Estimates_of_the_use_of_water__2000_2020[[#This Row],[wat_bas_r]])/(B19-Estimates_of_the_use_of_water__2000_2020[[#This Row],[year]]))</f>
        <v>-18.59673201</v>
      </c>
      <c r="I18">
        <f>(R19-Estimates_of_the_use_of_water__2000_2020[[#This Row],[wat_bas_u]])/(B19-Estimates_of_the_use_of_water__2000_2020[[#This Row],[year]])</f>
        <v>5.3651519999999661E-2</v>
      </c>
      <c r="J18">
        <f>ABS(Estimates_of_the_use_of_water__2000_2020[[#This Row],[ARC_r]]-Estimates_of_the_use_of_water__2000_2020[[#This Row],[ARC_u]])</f>
        <v>18.650383529999999</v>
      </c>
      <c r="K18">
        <v>0</v>
      </c>
      <c r="L18">
        <v>0.66491437909999995</v>
      </c>
      <c r="M18">
        <v>0.36849747420000001</v>
      </c>
      <c r="N18">
        <v>92.983660049999997</v>
      </c>
      <c r="O18">
        <v>0</v>
      </c>
      <c r="P18">
        <v>2.6795448990000001</v>
      </c>
      <c r="Q18">
        <v>4.3367950510000002</v>
      </c>
      <c r="R18">
        <v>99.522163050000003</v>
      </c>
      <c r="S18">
        <v>0</v>
      </c>
      <c r="T18">
        <v>0.47783694729999998</v>
      </c>
      <c r="U18">
        <v>0</v>
      </c>
    </row>
    <row r="19" spans="1:21" x14ac:dyDescent="0.25">
      <c r="A19" s="1" t="s">
        <v>17</v>
      </c>
      <c r="B19">
        <v>2020</v>
      </c>
      <c r="C19" t="str">
        <f>IF(A20=Estimates_of_the_use_of_water__2000_2020[[#This Row],[name]], B20-Estimates_of_the_use_of_water__2000_2020[[#This Row],[year]],"")</f>
        <v/>
      </c>
      <c r="D19">
        <v>45195.777340000001</v>
      </c>
      <c r="E19">
        <v>92.111000059999995</v>
      </c>
      <c r="G19">
        <f>((F20-Estimates_of_the_use_of_water__2000_2020[[#This Row],[wat_bas_n]])/(B20-Estimates_of_the_use_of_water__2000_2020[[#This Row],[year]]))</f>
        <v>-19.910513340000001</v>
      </c>
      <c r="H19">
        <f>((N20-Estimates_of_the_use_of_water__2000_2020[[#This Row],[wat_bas_r]])/(B20-Estimates_of_the_use_of_water__2000_2020[[#This Row],[year]]))</f>
        <v>-19.810955853999999</v>
      </c>
      <c r="I19">
        <f>(R20-Estimates_of_the_use_of_water__2000_2020[[#This Row],[wat_bas_u]])/(B20-Estimates_of_the_use_of_water__2000_2020[[#This Row],[year]])</f>
        <v>-1.0686549999999784E-2</v>
      </c>
      <c r="J19">
        <f>ABS(Estimates_of_the_use_of_water__2000_2020[[#This Row],[ARC_r]]-Estimates_of_the_use_of_water__2000_2020[[#This Row],[ARC_u]])</f>
        <v>19.800269304</v>
      </c>
      <c r="R19">
        <v>99.790420650000002</v>
      </c>
      <c r="S19">
        <v>0</v>
      </c>
      <c r="T19">
        <v>0.20957935010000001</v>
      </c>
      <c r="U19">
        <v>0</v>
      </c>
    </row>
    <row r="20" spans="1:21" x14ac:dyDescent="0.25">
      <c r="A20" s="1" t="s">
        <v>61</v>
      </c>
      <c r="B20">
        <v>2015</v>
      </c>
      <c r="C20">
        <f>IF(A21=Estimates_of_the_use_of_water__2000_2020[[#This Row],[name]], B21-Estimates_of_the_use_of_water__2000_2020[[#This Row],[year]],"")</f>
        <v>5</v>
      </c>
      <c r="D20">
        <v>2925.5590820000002</v>
      </c>
      <c r="E20">
        <v>63.085002899999999</v>
      </c>
      <c r="F20">
        <v>99.5525667</v>
      </c>
      <c r="G20">
        <f>((F21-Estimates_of_the_use_of_water__2000_2020[[#This Row],[wat_bas_n]])/(B21-Estimates_of_the_use_of_water__2000_2020[[#This Row],[year]]))</f>
        <v>8.3722797999999446E-2</v>
      </c>
      <c r="H20">
        <f>((N21-Estimates_of_the_use_of_water__2000_2020[[#This Row],[wat_bas_r]])/(B21-Estimates_of_the_use_of_water__2000_2020[[#This Row],[year]]))</f>
        <v>0.18904414600000052</v>
      </c>
      <c r="I20">
        <f>(R21-Estimates_of_the_use_of_water__2000_2020[[#This Row],[wat_bas_u]])/(B21-Estimates_of_the_use_of_water__2000_2020[[#This Row],[year]])</f>
        <v>2.2125564000000965E-2</v>
      </c>
      <c r="J20">
        <f>ABS(Estimates_of_the_use_of_water__2000_2020[[#This Row],[ARC_r]]-Estimates_of_the_use_of_water__2000_2020[[#This Row],[ARC_u]])</f>
        <v>0.16691858199999957</v>
      </c>
      <c r="K20">
        <v>0</v>
      </c>
      <c r="L20">
        <v>9.8505083660000006E-2</v>
      </c>
      <c r="M20">
        <v>0.3489282205</v>
      </c>
      <c r="N20">
        <v>99.054779269999997</v>
      </c>
      <c r="O20">
        <v>0</v>
      </c>
      <c r="P20">
        <v>0</v>
      </c>
      <c r="Q20">
        <v>0.94522073470000001</v>
      </c>
      <c r="R20">
        <v>99.8438534</v>
      </c>
      <c r="S20">
        <v>0</v>
      </c>
      <c r="T20">
        <v>0.15614659810000001</v>
      </c>
      <c r="U20">
        <v>0</v>
      </c>
    </row>
    <row r="21" spans="1:21" x14ac:dyDescent="0.25">
      <c r="A21" s="1" t="s">
        <v>61</v>
      </c>
      <c r="B21">
        <v>2020</v>
      </c>
      <c r="C21" t="str">
        <f>IF(A22=Estimates_of_the_use_of_water__2000_2020[[#This Row],[name]], B22-Estimates_of_the_use_of_water__2000_2020[[#This Row],[year]],"")</f>
        <v/>
      </c>
      <c r="D21">
        <v>2963.2338869999999</v>
      </c>
      <c r="E21">
        <v>63.312999730000001</v>
      </c>
      <c r="F21">
        <v>99.971180689999997</v>
      </c>
      <c r="G21">
        <f>((F22-Estimates_of_the_use_of_water__2000_2020[[#This Row],[wat_bas_n]])/(B22-Estimates_of_the_use_of_water__2000_2020[[#This Row],[year]]))</f>
        <v>0.42043146199999909</v>
      </c>
      <c r="H21">
        <f>((N22-Estimates_of_the_use_of_water__2000_2020[[#This Row],[wat_bas_r]])/(B22-Estimates_of_the_use_of_water__2000_2020[[#This Row],[year]]))</f>
        <v>20</v>
      </c>
      <c r="I21">
        <f>(R22-Estimates_of_the_use_of_water__2000_2020[[#This Row],[wat_bas_u]])/(B22-Estimates_of_the_use_of_water__2000_2020[[#This Row],[year]])</f>
        <v>19.990896244000002</v>
      </c>
      <c r="J21">
        <f>ABS(Estimates_of_the_use_of_water__2000_2020[[#This Row],[ARC_r]]-Estimates_of_the_use_of_water__2000_2020[[#This Row],[ARC_u]])</f>
        <v>9.103755999998242E-3</v>
      </c>
      <c r="K21">
        <v>0</v>
      </c>
      <c r="L21">
        <v>2.8819308009999999E-2</v>
      </c>
      <c r="M21">
        <v>0</v>
      </c>
      <c r="N21">
        <v>100</v>
      </c>
      <c r="O21">
        <v>0</v>
      </c>
      <c r="P21">
        <v>0</v>
      </c>
      <c r="Q21">
        <v>0</v>
      </c>
      <c r="R21">
        <v>99.954481220000005</v>
      </c>
      <c r="S21">
        <v>0</v>
      </c>
      <c r="T21">
        <v>4.5518783639999998E-2</v>
      </c>
      <c r="U21">
        <v>0</v>
      </c>
    </row>
    <row r="22" spans="1:21" x14ac:dyDescent="0.25">
      <c r="A22" s="1" t="s">
        <v>119</v>
      </c>
      <c r="B22">
        <v>2015</v>
      </c>
      <c r="C22">
        <f>IF(A23=Estimates_of_the_use_of_water__2000_2020[[#This Row],[name]], B23-Estimates_of_the_use_of_water__2000_2020[[#This Row],[year]],"")</f>
        <v>1</v>
      </c>
      <c r="D22">
        <v>104.3389969</v>
      </c>
      <c r="E22">
        <v>43.108001710000003</v>
      </c>
      <c r="F22">
        <v>97.869023380000002</v>
      </c>
      <c r="G22">
        <f>((F23-Estimates_of_the_use_of_water__2000_2020[[#This Row],[wat_bas_n]])/(B23-Estimates_of_the_use_of_water__2000_2020[[#This Row],[year]]))</f>
        <v>0</v>
      </c>
      <c r="H22">
        <f>((N23-Estimates_of_the_use_of_water__2000_2020[[#This Row],[wat_bas_r]])/(B23-Estimates_of_the_use_of_water__2000_2020[[#This Row],[year]]))</f>
        <v>0</v>
      </c>
      <c r="I22">
        <f>(R23-Estimates_of_the_use_of_water__2000_2020[[#This Row],[wat_bas_u]])/(B23-Estimates_of_the_use_of_water__2000_2020[[#This Row],[year]])</f>
        <v>0</v>
      </c>
      <c r="J22">
        <f>ABS(Estimates_of_the_use_of_water__2000_2020[[#This Row],[ARC_r]]-Estimates_of_the_use_of_water__2000_2020[[#This Row],[ARC_u]])</f>
        <v>0</v>
      </c>
      <c r="K22">
        <v>0</v>
      </c>
      <c r="L22">
        <v>1.95993621</v>
      </c>
      <c r="M22">
        <v>0.1710404089</v>
      </c>
    </row>
    <row r="23" spans="1:21" x14ac:dyDescent="0.25">
      <c r="A23" s="1" t="s">
        <v>119</v>
      </c>
      <c r="B23">
        <v>2016</v>
      </c>
      <c r="C23" t="str">
        <f>IF(A24=Estimates_of_the_use_of_water__2000_2020[[#This Row],[name]], B24-Estimates_of_the_use_of_water__2000_2020[[#This Row],[year]],"")</f>
        <v/>
      </c>
      <c r="D23">
        <v>104.86499790000001</v>
      </c>
      <c r="E23">
        <v>43.191997530000002</v>
      </c>
      <c r="F23">
        <v>97.869023380000002</v>
      </c>
      <c r="G23">
        <f>((F24-Estimates_of_the_use_of_water__2000_2020[[#This Row],[wat_bas_n]])/(B24-Estimates_of_the_use_of_water__2000_2020[[#This Row],[year]]))</f>
        <v>-2.1009822900000046</v>
      </c>
      <c r="H23">
        <f>((N24-Estimates_of_the_use_of_water__2000_2020[[#This Row],[wat_bas_r]])/(B24-Estimates_of_the_use_of_water__2000_2020[[#This Row],[year]]))</f>
        <v>-100</v>
      </c>
      <c r="I23">
        <f>(R24-Estimates_of_the_use_of_water__2000_2020[[#This Row],[wat_bas_u]])/(B24-Estimates_of_the_use_of_water__2000_2020[[#This Row],[year]])</f>
        <v>-99.965000000000003</v>
      </c>
      <c r="J23">
        <f>ABS(Estimates_of_the_use_of_water__2000_2020[[#This Row],[ARC_r]]-Estimates_of_the_use_of_water__2000_2020[[#This Row],[ARC_u]])</f>
        <v>3.4999999999996589E-2</v>
      </c>
      <c r="K23">
        <v>0</v>
      </c>
      <c r="L23">
        <v>1.95993621</v>
      </c>
      <c r="M23">
        <v>0.1710404089</v>
      </c>
    </row>
    <row r="24" spans="1:21" x14ac:dyDescent="0.25">
      <c r="A24" s="1" t="s">
        <v>62</v>
      </c>
      <c r="B24">
        <v>2015</v>
      </c>
      <c r="C24">
        <f>IF(A25=Estimates_of_the_use_of_water__2000_2020[[#This Row],[name]], B25-Estimates_of_the_use_of_water__2000_2020[[#This Row],[year]],"")</f>
        <v>5</v>
      </c>
      <c r="D24">
        <v>23932.498049999998</v>
      </c>
      <c r="E24">
        <v>85.701004030000007</v>
      </c>
      <c r="F24">
        <v>99.970005670000006</v>
      </c>
      <c r="G24">
        <f>((F25-Estimates_of_the_use_of_water__2000_2020[[#This Row],[wat_bas_n]])/(B25-Estimates_of_the_use_of_water__2000_2020[[#This Row],[year]]))</f>
        <v>-3.8770000000454277E-5</v>
      </c>
      <c r="H24">
        <f>((N25-Estimates_of_the_use_of_water__2000_2020[[#This Row],[wat_bas_r]])/(B25-Estimates_of_the_use_of_water__2000_2020[[#This Row],[year]]))</f>
        <v>0</v>
      </c>
      <c r="I24">
        <f>(R25-Estimates_of_the_use_of_water__2000_2020[[#This Row],[wat_bas_u]])/(B25-Estimates_of_the_use_of_water__2000_2020[[#This Row],[year]])</f>
        <v>0</v>
      </c>
      <c r="J24">
        <f>ABS(Estimates_of_the_use_of_water__2000_2020[[#This Row],[ARC_r]]-Estimates_of_the_use_of_water__2000_2020[[#This Row],[ARC_u]])</f>
        <v>0</v>
      </c>
      <c r="K24">
        <v>0</v>
      </c>
      <c r="L24">
        <v>2.9994330570000002E-2</v>
      </c>
      <c r="M24">
        <v>0</v>
      </c>
      <c r="N24">
        <v>100</v>
      </c>
      <c r="O24">
        <v>0</v>
      </c>
      <c r="P24">
        <v>0</v>
      </c>
      <c r="Q24">
        <v>0</v>
      </c>
      <c r="R24">
        <v>99.965000000000003</v>
      </c>
      <c r="S24">
        <v>0</v>
      </c>
      <c r="T24">
        <v>3.5000000000000003E-2</v>
      </c>
      <c r="U24">
        <v>0</v>
      </c>
    </row>
    <row r="25" spans="1:21" x14ac:dyDescent="0.25">
      <c r="A25" s="1" t="s">
        <v>62</v>
      </c>
      <c r="B25">
        <v>2020</v>
      </c>
      <c r="C25" t="str">
        <f>IF(A26=Estimates_of_the_use_of_water__2000_2020[[#This Row],[name]], B26-Estimates_of_the_use_of_water__2000_2020[[#This Row],[year]],"")</f>
        <v/>
      </c>
      <c r="D25">
        <v>25499.880860000001</v>
      </c>
      <c r="E25">
        <v>86.240997309999997</v>
      </c>
      <c r="F25">
        <v>99.969811820000004</v>
      </c>
      <c r="G25">
        <f>((F26-Estimates_of_the_use_of_water__2000_2020[[#This Row],[wat_bas_n]])/(B26-Estimates_of_the_use_of_water__2000_2020[[#This Row],[year]]))</f>
        <v>-6.0376359999992244E-3</v>
      </c>
      <c r="H25">
        <f>((N26-Estimates_of_the_use_of_water__2000_2020[[#This Row],[wat_bas_r]])/(B26-Estimates_of_the_use_of_water__2000_2020[[#This Row],[year]]))</f>
        <v>0</v>
      </c>
      <c r="I25">
        <f>(R26-Estimates_of_the_use_of_water__2000_2020[[#This Row],[wat_bas_u]])/(B26-Estimates_of_the_use_of_water__2000_2020[[#This Row],[year]])</f>
        <v>-6.9999999999993175E-3</v>
      </c>
      <c r="J25">
        <f>ABS(Estimates_of_the_use_of_water__2000_2020[[#This Row],[ARC_r]]-Estimates_of_the_use_of_water__2000_2020[[#This Row],[ARC_u]])</f>
        <v>6.9999999999993175E-3</v>
      </c>
      <c r="K25">
        <v>0</v>
      </c>
      <c r="L25">
        <v>3.0188178730000001E-2</v>
      </c>
      <c r="M25">
        <v>0</v>
      </c>
      <c r="N25">
        <v>100</v>
      </c>
      <c r="O25">
        <v>0</v>
      </c>
      <c r="P25">
        <v>0</v>
      </c>
      <c r="Q25">
        <v>0</v>
      </c>
      <c r="R25">
        <v>99.965000000000003</v>
      </c>
      <c r="S25">
        <v>0</v>
      </c>
      <c r="T25">
        <v>3.5000000000000003E-2</v>
      </c>
      <c r="U25">
        <v>0</v>
      </c>
    </row>
    <row r="26" spans="1:21" x14ac:dyDescent="0.25">
      <c r="A26" s="1" t="s">
        <v>49</v>
      </c>
      <c r="B26">
        <v>2015</v>
      </c>
      <c r="C26">
        <f>IF(A27=Estimates_of_the_use_of_water__2000_2020[[#This Row],[name]], B27-Estimates_of_the_use_of_water__2000_2020[[#This Row],[year]],"")</f>
        <v>5</v>
      </c>
      <c r="D26">
        <v>8678.6669920000004</v>
      </c>
      <c r="E26">
        <v>57.715000150000002</v>
      </c>
      <c r="F26">
        <v>100</v>
      </c>
      <c r="G26">
        <f>((F27-Estimates_of_the_use_of_water__2000_2020[[#This Row],[wat_bas_n]])/(B27-Estimates_of_the_use_of_water__2000_2020[[#This Row],[year]]))</f>
        <v>0</v>
      </c>
      <c r="H26">
        <f>((N27-Estimates_of_the_use_of_water__2000_2020[[#This Row],[wat_bas_r]])/(B27-Estimates_of_the_use_of_water__2000_2020[[#This Row],[year]]))</f>
        <v>0</v>
      </c>
      <c r="I26">
        <f>(R27-Estimates_of_the_use_of_water__2000_2020[[#This Row],[wat_bas_u]])/(B27-Estimates_of_the_use_of_water__2000_2020[[#This Row],[year]])</f>
        <v>0</v>
      </c>
      <c r="J26">
        <f>ABS(Estimates_of_the_use_of_water__2000_2020[[#This Row],[ARC_r]]-Estimates_of_the_use_of_water__2000_2020[[#This Row],[ARC_u]])</f>
        <v>0</v>
      </c>
      <c r="K26">
        <v>0</v>
      </c>
      <c r="L26">
        <v>0</v>
      </c>
      <c r="M26">
        <v>0</v>
      </c>
      <c r="N26">
        <v>100</v>
      </c>
      <c r="O26">
        <v>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</row>
    <row r="27" spans="1:21" x14ac:dyDescent="0.25">
      <c r="A27" s="1" t="s">
        <v>49</v>
      </c>
      <c r="B27">
        <v>2020</v>
      </c>
      <c r="C27" t="str">
        <f>IF(A28=Estimates_of_the_use_of_water__2000_2020[[#This Row],[name]], B28-Estimates_of_the_use_of_water__2000_2020[[#This Row],[year]],"")</f>
        <v/>
      </c>
      <c r="D27">
        <v>9006.4003909999992</v>
      </c>
      <c r="E27">
        <v>58.748001100000003</v>
      </c>
      <c r="F27">
        <v>100</v>
      </c>
      <c r="G27">
        <f>((F28-Estimates_of_the_use_of_water__2000_2020[[#This Row],[wat_bas_n]])/(B28-Estimates_of_the_use_of_water__2000_2020[[#This Row],[year]]))</f>
        <v>1.5159372039999994</v>
      </c>
      <c r="H27">
        <f>((N28-Estimates_of_the_use_of_water__2000_2020[[#This Row],[wat_bas_r]])/(B28-Estimates_of_the_use_of_water__2000_2020[[#This Row],[year]]))</f>
        <v>3.1713573459999993</v>
      </c>
      <c r="I27">
        <f>(R28-Estimates_of_the_use_of_water__2000_2020[[#This Row],[wat_bas_u]])/(B28-Estimates_of_the_use_of_water__2000_2020[[#This Row],[year]])</f>
        <v>0.14576959400000078</v>
      </c>
      <c r="J27">
        <f>ABS(Estimates_of_the_use_of_water__2000_2020[[#This Row],[ARC_r]]-Estimates_of_the_use_of_water__2000_2020[[#This Row],[ARC_u]])</f>
        <v>3.0255877519999985</v>
      </c>
      <c r="K27">
        <v>0</v>
      </c>
      <c r="L27">
        <v>0</v>
      </c>
      <c r="M27">
        <v>0</v>
      </c>
      <c r="N27">
        <v>100</v>
      </c>
      <c r="O27">
        <v>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</row>
    <row r="28" spans="1:21" x14ac:dyDescent="0.25">
      <c r="A28" s="1" t="s">
        <v>144</v>
      </c>
      <c r="B28">
        <v>2015</v>
      </c>
      <c r="C28">
        <f>IF(A29=Estimates_of_the_use_of_water__2000_2020[[#This Row],[name]], B29-Estimates_of_the_use_of_water__2000_2020[[#This Row],[year]],"")</f>
        <v>5</v>
      </c>
      <c r="D28">
        <v>9622.7412110000005</v>
      </c>
      <c r="E28">
        <v>54.7140007</v>
      </c>
      <c r="F28">
        <v>92.420313980000003</v>
      </c>
      <c r="G28">
        <f>((F29-Estimates_of_the_use_of_water__2000_2020[[#This Row],[wat_bas_n]])/(B29-Estimates_of_the_use_of_water__2000_2020[[#This Row],[year]]))</f>
        <v>0.72461242999999909</v>
      </c>
      <c r="H28">
        <f>((N29-Estimates_of_the_use_of_water__2000_2020[[#This Row],[wat_bas_r]])/(B29-Estimates_of_the_use_of_water__2000_2020[[#This Row],[year]]))</f>
        <v>1.3565169359999998</v>
      </c>
      <c r="I28">
        <f>(R29-Estimates_of_the_use_of_water__2000_2020[[#This Row],[wat_bas_u]])/(B29-Estimates_of_the_use_of_water__2000_2020[[#This Row],[year]])</f>
        <v>0.14576959400000078</v>
      </c>
      <c r="J28">
        <f>ABS(Estimates_of_the_use_of_water__2000_2020[[#This Row],[ARC_r]]-Estimates_of_the_use_of_water__2000_2020[[#This Row],[ARC_u]])</f>
        <v>1.210747341999999</v>
      </c>
      <c r="K28">
        <v>1.002242415</v>
      </c>
      <c r="L28">
        <v>4.3650895219999999</v>
      </c>
      <c r="M28">
        <v>2.2123540799999999</v>
      </c>
      <c r="N28">
        <v>84.143213270000004</v>
      </c>
      <c r="O28">
        <v>2.2131397310000001</v>
      </c>
      <c r="P28">
        <v>8.9882060060000004</v>
      </c>
      <c r="Q28">
        <v>4.6554409919999999</v>
      </c>
      <c r="R28">
        <v>99.271152029999996</v>
      </c>
      <c r="S28">
        <v>0</v>
      </c>
      <c r="T28">
        <v>0.53860203449999999</v>
      </c>
      <c r="U28">
        <v>0.1902459339</v>
      </c>
    </row>
    <row r="29" spans="1:21" x14ac:dyDescent="0.25">
      <c r="A29" s="1" t="s">
        <v>144</v>
      </c>
      <c r="B29">
        <v>2020</v>
      </c>
      <c r="C29" t="str">
        <f>IF(A30=Estimates_of_the_use_of_water__2000_2020[[#This Row],[name]], B30-Estimates_of_the_use_of_water__2000_2020[[#This Row],[year]],"")</f>
        <v/>
      </c>
      <c r="D29">
        <v>10139.174800000001</v>
      </c>
      <c r="E29">
        <v>56.397003169999998</v>
      </c>
      <c r="F29">
        <v>96.043376129999999</v>
      </c>
      <c r="G29">
        <f>((F30-Estimates_of_the_use_of_water__2000_2020[[#This Row],[wat_bas_n]])/(B30-Estimates_of_the_use_of_water__2000_2020[[#This Row],[year]]))</f>
        <v>-0.56871687400000037</v>
      </c>
      <c r="H29">
        <f>((N30-Estimates_of_the_use_of_water__2000_2020[[#This Row],[wat_bas_r]])/(B30-Estimates_of_the_use_of_water__2000_2020[[#This Row],[year]]))</f>
        <v>18.185159590000001</v>
      </c>
      <c r="I29">
        <f>(R30-Estimates_of_the_use_of_water__2000_2020[[#This Row],[wat_bas_u]])/(B30-Estimates_of_the_use_of_water__2000_2020[[#This Row],[year]])</f>
        <v>20</v>
      </c>
      <c r="J29">
        <f>ABS(Estimates_of_the_use_of_water__2000_2020[[#This Row],[ARC_r]]-Estimates_of_the_use_of_water__2000_2020[[#This Row],[ARC_u]])</f>
        <v>1.8148404099999986</v>
      </c>
      <c r="K29">
        <v>1.04278118</v>
      </c>
      <c r="L29">
        <v>2.9138426879999999</v>
      </c>
      <c r="M29">
        <v>0</v>
      </c>
      <c r="N29">
        <v>90.925797950000003</v>
      </c>
      <c r="O29">
        <v>2.3915356710000002</v>
      </c>
      <c r="P29">
        <v>6.6826663770000003</v>
      </c>
      <c r="Q29">
        <v>0</v>
      </c>
      <c r="R29">
        <v>100</v>
      </c>
      <c r="S29">
        <v>0</v>
      </c>
      <c r="T29">
        <v>0</v>
      </c>
      <c r="U29">
        <v>0</v>
      </c>
    </row>
    <row r="30" spans="1:21" x14ac:dyDescent="0.25">
      <c r="A30" s="1" t="s">
        <v>104</v>
      </c>
      <c r="B30">
        <v>2015</v>
      </c>
      <c r="C30">
        <f>IF(A31=Estimates_of_the_use_of_water__2000_2020[[#This Row],[name]], B31-Estimates_of_the_use_of_water__2000_2020[[#This Row],[year]],"")</f>
        <v>4</v>
      </c>
      <c r="D30">
        <v>374.2000122</v>
      </c>
      <c r="E30">
        <v>82.745994569999993</v>
      </c>
      <c r="F30">
        <v>98.886960500000001</v>
      </c>
      <c r="G30">
        <f>((F31-Estimates_of_the_use_of_water__2000_2020[[#This Row],[wat_bas_n]])/(B31-Estimates_of_the_use_of_water__2000_2020[[#This Row],[year]]))</f>
        <v>0</v>
      </c>
      <c r="H30">
        <f>((N31-Estimates_of_the_use_of_water__2000_2020[[#This Row],[wat_bas_r]])/(B31-Estimates_of_the_use_of_water__2000_2020[[#This Row],[year]]))</f>
        <v>0</v>
      </c>
      <c r="I30">
        <f>(R31-Estimates_of_the_use_of_water__2000_2020[[#This Row],[wat_bas_u]])/(B31-Estimates_of_the_use_of_water__2000_2020[[#This Row],[year]])</f>
        <v>0</v>
      </c>
      <c r="J30">
        <f>ABS(Estimates_of_the_use_of_water__2000_2020[[#This Row],[ARC_r]]-Estimates_of_the_use_of_water__2000_2020[[#This Row],[ARC_u]])</f>
        <v>0</v>
      </c>
      <c r="K30">
        <v>0</v>
      </c>
      <c r="L30">
        <v>1.113039503</v>
      </c>
      <c r="M30">
        <v>0</v>
      </c>
    </row>
    <row r="31" spans="1:21" x14ac:dyDescent="0.25">
      <c r="A31" s="1" t="s">
        <v>104</v>
      </c>
      <c r="B31">
        <v>2019</v>
      </c>
      <c r="C31" t="str">
        <f>IF(A32=Estimates_of_the_use_of_water__2000_2020[[#This Row],[name]], B32-Estimates_of_the_use_of_water__2000_2020[[#This Row],[year]],"")</f>
        <v/>
      </c>
      <c r="D31">
        <v>389.48599239999999</v>
      </c>
      <c r="E31">
        <v>83.131996150000006</v>
      </c>
      <c r="F31">
        <v>98.886960500000001</v>
      </c>
      <c r="G31">
        <f>((F32-Estimates_of_the_use_of_water__2000_2020[[#This Row],[wat_bas_n]])/(B32-Estimates_of_the_use_of_water__2000_2020[[#This Row],[year]]))</f>
        <v>-0.27825987499999982</v>
      </c>
      <c r="H31">
        <f>((N32-Estimates_of_the_use_of_water__2000_2020[[#This Row],[wat_bas_r]])/(B32-Estimates_of_the_use_of_water__2000_2020[[#This Row],[year]]))</f>
        <v>0</v>
      </c>
      <c r="I31">
        <f>(R32-Estimates_of_the_use_of_water__2000_2020[[#This Row],[wat_bas_u]])/(B32-Estimates_of_the_use_of_water__2000_2020[[#This Row],[year]])</f>
        <v>0</v>
      </c>
      <c r="J31">
        <f>ABS(Estimates_of_the_use_of_water__2000_2020[[#This Row],[ARC_r]]-Estimates_of_the_use_of_water__2000_2020[[#This Row],[ARC_u]])</f>
        <v>0</v>
      </c>
      <c r="K31">
        <v>0</v>
      </c>
      <c r="L31">
        <v>1.113039503</v>
      </c>
      <c r="M31">
        <v>0</v>
      </c>
    </row>
    <row r="32" spans="1:21" x14ac:dyDescent="0.25">
      <c r="A32" s="1" t="s">
        <v>43</v>
      </c>
      <c r="B32">
        <v>2015</v>
      </c>
      <c r="C32">
        <f>IF(A33=Estimates_of_the_use_of_water__2000_2020[[#This Row],[name]], B33-Estimates_of_the_use_of_water__2000_2020[[#This Row],[year]],"")</f>
        <v>5</v>
      </c>
      <c r="D32">
        <v>1371.8530270000001</v>
      </c>
      <c r="E32">
        <v>88.998992920000006</v>
      </c>
      <c r="F32">
        <v>100</v>
      </c>
      <c r="G32">
        <f>((F33-Estimates_of_the_use_of_water__2000_2020[[#This Row],[wat_bas_n]])/(B33-Estimates_of_the_use_of_water__2000_2020[[#This Row],[year]]))</f>
        <v>0</v>
      </c>
      <c r="H32">
        <f>((N33-Estimates_of_the_use_of_water__2000_2020[[#This Row],[wat_bas_r]])/(B33-Estimates_of_the_use_of_water__2000_2020[[#This Row],[year]]))</f>
        <v>0</v>
      </c>
      <c r="I32">
        <f>(R33-Estimates_of_the_use_of_water__2000_2020[[#This Row],[wat_bas_u]])/(B33-Estimates_of_the_use_of_water__2000_2020[[#This Row],[year]])</f>
        <v>0</v>
      </c>
      <c r="J32">
        <f>ABS(Estimates_of_the_use_of_water__2000_2020[[#This Row],[ARC_r]]-Estimates_of_the_use_of_water__2000_2020[[#This Row],[ARC_u]])</f>
        <v>0</v>
      </c>
      <c r="K32">
        <v>0</v>
      </c>
      <c r="L32">
        <v>0</v>
      </c>
      <c r="M32">
        <v>0</v>
      </c>
    </row>
    <row r="33" spans="1:21" x14ac:dyDescent="0.25">
      <c r="A33" s="1" t="s">
        <v>43</v>
      </c>
      <c r="B33">
        <v>2020</v>
      </c>
      <c r="C33" t="str">
        <f>IF(A34=Estimates_of_the_use_of_water__2000_2020[[#This Row],[name]], B34-Estimates_of_the_use_of_water__2000_2020[[#This Row],[year]],"")</f>
        <v/>
      </c>
      <c r="D33">
        <v>1701.5830080000001</v>
      </c>
      <c r="E33">
        <v>89.506004329999996</v>
      </c>
      <c r="F33">
        <v>100</v>
      </c>
      <c r="G33">
        <f>((F34-Estimates_of_the_use_of_water__2000_2020[[#This Row],[wat_bas_n]])/(B34-Estimates_of_the_use_of_water__2000_2020[[#This Row],[year]]))</f>
        <v>0.5796795059999994</v>
      </c>
      <c r="H33">
        <f>((N34-Estimates_of_the_use_of_water__2000_2020[[#This Row],[wat_bas_r]])/(B34-Estimates_of_the_use_of_water__2000_2020[[#This Row],[year]]))</f>
        <v>-19.354602256</v>
      </c>
      <c r="I33">
        <f>(R34-Estimates_of_the_use_of_water__2000_2020[[#This Row],[wat_bas_u]])/(B34-Estimates_of_the_use_of_water__2000_2020[[#This Row],[year]])</f>
        <v>-19.546155935999998</v>
      </c>
      <c r="J33">
        <f>ABS(Estimates_of_the_use_of_water__2000_2020[[#This Row],[ARC_r]]-Estimates_of_the_use_of_water__2000_2020[[#This Row],[ARC_u]])</f>
        <v>0.19155367999999839</v>
      </c>
      <c r="K33">
        <v>0</v>
      </c>
      <c r="L33">
        <v>0</v>
      </c>
      <c r="M33">
        <v>0</v>
      </c>
    </row>
    <row r="34" spans="1:21" x14ac:dyDescent="0.25">
      <c r="A34" s="1" t="s">
        <v>122</v>
      </c>
      <c r="B34">
        <v>2015</v>
      </c>
      <c r="C34">
        <f>IF(A35=Estimates_of_the_use_of_water__2000_2020[[#This Row],[name]], B35-Estimates_of_the_use_of_water__2000_2020[[#This Row],[year]],"")</f>
        <v>5</v>
      </c>
      <c r="D34">
        <v>156256.2813</v>
      </c>
      <c r="E34">
        <v>34.308002469999998</v>
      </c>
      <c r="F34">
        <v>97.101602470000003</v>
      </c>
      <c r="G34">
        <f>((F35-Estimates_of_the_use_of_water__2000_2020[[#This Row],[wat_bas_n]])/(B35-Estimates_of_the_use_of_water__2000_2020[[#This Row],[year]]))</f>
        <v>0.11927155599999821</v>
      </c>
      <c r="H34">
        <f>((N35-Estimates_of_the_use_of_water__2000_2020[[#This Row],[wat_bas_r]])/(B35-Estimates_of_the_use_of_water__2000_2020[[#This Row],[year]]))</f>
        <v>0.22144529599999885</v>
      </c>
      <c r="I34">
        <f>(R35-Estimates_of_the_use_of_water__2000_2020[[#This Row],[wat_bas_u]])/(B35-Estimates_of_the_use_of_water__2000_2020[[#This Row],[year]])</f>
        <v>-6.5600341999999048E-2</v>
      </c>
      <c r="J34">
        <f>ABS(Estimates_of_the_use_of_water__2000_2020[[#This Row],[ARC_r]]-Estimates_of_the_use_of_water__2000_2020[[#This Row],[ARC_u]])</f>
        <v>0.28704563799999788</v>
      </c>
      <c r="K34">
        <v>1.087988961</v>
      </c>
      <c r="L34">
        <v>0.72156165819999996</v>
      </c>
      <c r="M34">
        <v>1.08884691</v>
      </c>
      <c r="N34">
        <v>96.773011280000006</v>
      </c>
      <c r="O34">
        <v>1.0462141620000001</v>
      </c>
      <c r="P34">
        <v>0.73174732170000001</v>
      </c>
      <c r="Q34">
        <v>1.4490272369999999</v>
      </c>
      <c r="R34">
        <v>97.730779679999998</v>
      </c>
      <c r="S34">
        <v>1.167978177</v>
      </c>
      <c r="T34">
        <v>0.70205843499999998</v>
      </c>
      <c r="U34">
        <v>0.39918370739999998</v>
      </c>
    </row>
    <row r="35" spans="1:21" x14ac:dyDescent="0.25">
      <c r="A35" s="1" t="s">
        <v>122</v>
      </c>
      <c r="B35">
        <v>2020</v>
      </c>
      <c r="C35" t="str">
        <f>IF(A36=Estimates_of_the_use_of_water__2000_2020[[#This Row],[name]], B36-Estimates_of_the_use_of_water__2000_2020[[#This Row],[year]],"")</f>
        <v/>
      </c>
      <c r="D35">
        <v>164689.39060000001</v>
      </c>
      <c r="E35">
        <v>38.177001949999998</v>
      </c>
      <c r="F35">
        <v>97.697960249999994</v>
      </c>
      <c r="G35">
        <f>((F36-Estimates_of_the_use_of_water__2000_2020[[#This Row],[wat_bas_n]])/(B36-Estimates_of_the_use_of_water__2000_2020[[#This Row],[year]]))</f>
        <v>-0.15529689800000029</v>
      </c>
      <c r="H35">
        <f>((N36-Estimates_of_the_use_of_water__2000_2020[[#This Row],[wat_bas_r]])/(B36-Estimates_of_the_use_of_water__2000_2020[[#This Row],[year]]))</f>
        <v>19.576047551999999</v>
      </c>
      <c r="I35">
        <f>(R36-Estimates_of_the_use_of_water__2000_2020[[#This Row],[wat_bas_u]])/(B36-Estimates_of_the_use_of_water__2000_2020[[#This Row],[year]])</f>
        <v>19.480555594000002</v>
      </c>
      <c r="J35">
        <f>ABS(Estimates_of_the_use_of_water__2000_2020[[#This Row],[ARC_r]]-Estimates_of_the_use_of_water__2000_2020[[#This Row],[ARC_u]])</f>
        <v>9.5491957999996657E-2</v>
      </c>
      <c r="K35">
        <v>1.1564258780000001</v>
      </c>
      <c r="L35">
        <v>0.46265570020000002</v>
      </c>
      <c r="M35">
        <v>0.68295817349999999</v>
      </c>
      <c r="N35">
        <v>97.88023776</v>
      </c>
      <c r="O35">
        <v>0.85810498040000005</v>
      </c>
      <c r="P35">
        <v>0.31648024139999997</v>
      </c>
      <c r="Q35">
        <v>0.94517701509999996</v>
      </c>
      <c r="R35">
        <v>97.402777970000002</v>
      </c>
      <c r="S35">
        <v>1.6395201210000001</v>
      </c>
      <c r="T35">
        <v>0.69937521469999997</v>
      </c>
      <c r="U35">
        <v>0.25832669339999997</v>
      </c>
    </row>
    <row r="36" spans="1:21" x14ac:dyDescent="0.25">
      <c r="A36" s="1" t="s">
        <v>111</v>
      </c>
      <c r="B36">
        <v>2015</v>
      </c>
      <c r="C36">
        <f>IF(A37=Estimates_of_the_use_of_water__2000_2020[[#This Row],[name]], B37-Estimates_of_the_use_of_water__2000_2020[[#This Row],[year]],"")</f>
        <v>5</v>
      </c>
      <c r="D36">
        <v>285.32699580000002</v>
      </c>
      <c r="E36">
        <v>31.24899864</v>
      </c>
      <c r="F36">
        <v>98.474444739999996</v>
      </c>
      <c r="G36">
        <f>((F37-Estimates_of_the_use_of_water__2000_2020[[#This Row],[wat_bas_n]])/(B37-Estimates_of_the_use_of_water__2000_2020[[#This Row],[year]]))</f>
        <v>8.0011360000014527E-3</v>
      </c>
      <c r="H36">
        <f>((N37-Estimates_of_the_use_of_water__2000_2020[[#This Row],[wat_bas_r]])/(B37-Estimates_of_the_use_of_water__2000_2020[[#This Row],[year]]))</f>
        <v>0</v>
      </c>
      <c r="I36">
        <f>(R37-Estimates_of_the_use_of_water__2000_2020[[#This Row],[wat_bas_u]])/(B37-Estimates_of_the_use_of_water__2000_2020[[#This Row],[year]])</f>
        <v>0</v>
      </c>
      <c r="J36">
        <f>ABS(Estimates_of_the_use_of_water__2000_2020[[#This Row],[ARC_r]]-Estimates_of_the_use_of_water__2000_2020[[#This Row],[ARC_u]])</f>
        <v>0</v>
      </c>
      <c r="K36">
        <v>0.26749190639999998</v>
      </c>
      <c r="L36">
        <v>1.2580633510000001</v>
      </c>
      <c r="M36">
        <v>0</v>
      </c>
    </row>
    <row r="37" spans="1:21" x14ac:dyDescent="0.25">
      <c r="A37" s="1" t="s">
        <v>111</v>
      </c>
      <c r="B37">
        <v>2020</v>
      </c>
      <c r="C37" t="str">
        <f>IF(A38=Estimates_of_the_use_of_water__2000_2020[[#This Row],[name]], B38-Estimates_of_the_use_of_water__2000_2020[[#This Row],[year]],"")</f>
        <v/>
      </c>
      <c r="D37">
        <v>287.37100220000002</v>
      </c>
      <c r="E37">
        <v>31.190999980000001</v>
      </c>
      <c r="F37">
        <v>98.514450420000003</v>
      </c>
      <c r="G37">
        <f>((F38-Estimates_of_the_use_of_water__2000_2020[[#This Row],[wat_bas_n]])/(B38-Estimates_of_the_use_of_water__2000_2020[[#This Row],[year]]))</f>
        <v>0.40747666599999943</v>
      </c>
      <c r="H37">
        <f>((N38-Estimates_of_the_use_of_water__2000_2020[[#This Row],[wat_bas_r]])/(B38-Estimates_of_the_use_of_water__2000_2020[[#This Row],[year]]))</f>
        <v>-19.666134320000001</v>
      </c>
      <c r="I37">
        <f>(R38-Estimates_of_the_use_of_water__2000_2020[[#This Row],[wat_bas_u]])/(B38-Estimates_of_the_use_of_water__2000_2020[[#This Row],[year]])</f>
        <v>-19.185807036</v>
      </c>
      <c r="J37">
        <f>ABS(Estimates_of_the_use_of_water__2000_2020[[#This Row],[ARC_r]]-Estimates_of_the_use_of_water__2000_2020[[#This Row],[ARC_u]])</f>
        <v>0.48032728400000124</v>
      </c>
      <c r="K37">
        <v>0.26760057609999999</v>
      </c>
      <c r="L37">
        <v>1.2179490049999999</v>
      </c>
      <c r="M37">
        <v>0</v>
      </c>
    </row>
    <row r="38" spans="1:21" x14ac:dyDescent="0.25">
      <c r="A38" s="1" t="s">
        <v>141</v>
      </c>
      <c r="B38">
        <v>2015</v>
      </c>
      <c r="C38">
        <f>IF(A39=Estimates_of_the_use_of_water__2000_2020[[#This Row],[name]], B39-Estimates_of_the_use_of_water__2000_2020[[#This Row],[year]],"")</f>
        <v>5</v>
      </c>
      <c r="D38">
        <v>9439.4238280000009</v>
      </c>
      <c r="E38">
        <v>77.180999760000006</v>
      </c>
      <c r="F38">
        <v>96.477067090000006</v>
      </c>
      <c r="G38">
        <f>((F39-Estimates_of_the_use_of_water__2000_2020[[#This Row],[wat_bas_n]])/(B39-Estimates_of_the_use_of_water__2000_2020[[#This Row],[year]]))</f>
        <v>1.1531797999998617E-2</v>
      </c>
      <c r="H38">
        <f>((N39-Estimates_of_the_use_of_water__2000_2020[[#This Row],[wat_bas_r]])/(B39-Estimates_of_the_use_of_water__2000_2020[[#This Row],[year]]))</f>
        <v>4.6690141999999921E-2</v>
      </c>
      <c r="I38">
        <f>(R39-Estimates_of_the_use_of_water__2000_2020[[#This Row],[wat_bas_u]])/(B39-Estimates_of_the_use_of_water__2000_2020[[#This Row],[year]])</f>
        <v>1.6367687999999703E-2</v>
      </c>
      <c r="J38">
        <f>ABS(Estimates_of_the_use_of_water__2000_2020[[#This Row],[ARC_r]]-Estimates_of_the_use_of_water__2000_2020[[#This Row],[ARC_u]])</f>
        <v>3.0322454000000217E-2</v>
      </c>
      <c r="K38">
        <v>3.3001301079999998</v>
      </c>
      <c r="L38">
        <v>0.22280279950000001</v>
      </c>
      <c r="M38">
        <v>0</v>
      </c>
      <c r="N38">
        <v>98.330671600000002</v>
      </c>
      <c r="O38">
        <v>0.99323910709999996</v>
      </c>
      <c r="P38">
        <v>0.67608928950000002</v>
      </c>
      <c r="Q38">
        <v>0</v>
      </c>
      <c r="R38">
        <v>95.92903518</v>
      </c>
      <c r="S38">
        <v>3.9821753929999999</v>
      </c>
      <c r="T38">
        <v>8.8789423830000005E-2</v>
      </c>
      <c r="U38">
        <v>0</v>
      </c>
    </row>
    <row r="39" spans="1:21" x14ac:dyDescent="0.25">
      <c r="A39" s="1" t="s">
        <v>141</v>
      </c>
      <c r="B39">
        <v>2020</v>
      </c>
      <c r="C39" t="str">
        <f>IF(A40=Estimates_of_the_use_of_water__2000_2020[[#This Row],[name]], B40-Estimates_of_the_use_of_water__2000_2020[[#This Row],[year]],"")</f>
        <v/>
      </c>
      <c r="D39">
        <v>9449.3212889999995</v>
      </c>
      <c r="E39">
        <v>79.483001709999996</v>
      </c>
      <c r="F39">
        <v>96.534726079999999</v>
      </c>
      <c r="G39">
        <f>((F40-Estimates_of_the_use_of_water__2000_2020[[#This Row],[wat_bas_n]])/(B40-Estimates_of_the_use_of_water__2000_2020[[#This Row],[year]]))</f>
        <v>-0.69305432399999911</v>
      </c>
      <c r="H39">
        <f>((N40-Estimates_of_the_use_of_water__2000_2020[[#This Row],[wat_bas_r]])/(B40-Estimates_of_the_use_of_water__2000_2020[[#This Row],[year]]))</f>
        <v>-0.28717553799999962</v>
      </c>
      <c r="I39">
        <f>(R40-Estimates_of_the_use_of_water__2000_2020[[#This Row],[wat_bas_u]])/(B40-Estimates_of_the_use_of_water__2000_2020[[#This Row],[year]])</f>
        <v>-0.79782527600000042</v>
      </c>
      <c r="J39">
        <f>ABS(Estimates_of_the_use_of_water__2000_2020[[#This Row],[ARC_r]]-Estimates_of_the_use_of_water__2000_2020[[#This Row],[ARC_u]])</f>
        <v>0.5106497380000008</v>
      </c>
      <c r="K39">
        <v>3.3721195499999999</v>
      </c>
      <c r="L39">
        <v>9.3154368370000004E-2</v>
      </c>
      <c r="M39">
        <v>0</v>
      </c>
      <c r="N39">
        <v>98.564122310000002</v>
      </c>
      <c r="O39">
        <v>0.9955971951</v>
      </c>
      <c r="P39">
        <v>0.4402804931</v>
      </c>
      <c r="Q39">
        <v>0</v>
      </c>
      <c r="R39">
        <v>96.010873619999998</v>
      </c>
      <c r="S39">
        <v>3.9855726439999999</v>
      </c>
      <c r="T39">
        <v>3.5537319770000001E-3</v>
      </c>
      <c r="U39">
        <v>0</v>
      </c>
    </row>
    <row r="40" spans="1:21" x14ac:dyDescent="0.25">
      <c r="A40" s="1" t="s">
        <v>56</v>
      </c>
      <c r="B40">
        <v>2015</v>
      </c>
      <c r="C40">
        <f>IF(A41=Estimates_of_the_use_of_water__2000_2020[[#This Row],[name]], B41-Estimates_of_the_use_of_water__2000_2020[[#This Row],[year]],"")</f>
        <v>5</v>
      </c>
      <c r="D40">
        <v>11287.93066</v>
      </c>
      <c r="E40">
        <v>97.875999449999995</v>
      </c>
      <c r="F40">
        <v>99.999997699999994</v>
      </c>
      <c r="G40">
        <f>((F41-Estimates_of_the_use_of_water__2000_2020[[#This Row],[wat_bas_n]])/(B41-Estimates_of_the_use_of_water__2000_2020[[#This Row],[year]]))</f>
        <v>-2.4999999936881068E-7</v>
      </c>
      <c r="H40">
        <f>((N41-Estimates_of_the_use_of_water__2000_2020[[#This Row],[wat_bas_r]])/(B41-Estimates_of_the_use_of_water__2000_2020[[#This Row],[year]]))</f>
        <v>0</v>
      </c>
      <c r="I40">
        <f>(R41-Estimates_of_the_use_of_water__2000_2020[[#This Row],[wat_bas_u]])/(B41-Estimates_of_the_use_of_water__2000_2020[[#This Row],[year]])</f>
        <v>0</v>
      </c>
      <c r="J40">
        <f>ABS(Estimates_of_the_use_of_water__2000_2020[[#This Row],[ARC_r]]-Estimates_of_the_use_of_water__2000_2020[[#This Row],[ARC_u]])</f>
        <v>0</v>
      </c>
      <c r="K40">
        <v>0</v>
      </c>
      <c r="L40">
        <v>2.2980245119999998E-6</v>
      </c>
      <c r="M40">
        <v>0</v>
      </c>
      <c r="N40">
        <v>100</v>
      </c>
      <c r="O40">
        <v>0</v>
      </c>
      <c r="P40">
        <v>0</v>
      </c>
      <c r="Q40">
        <v>0</v>
      </c>
      <c r="R40">
        <v>100</v>
      </c>
      <c r="S40">
        <v>0</v>
      </c>
      <c r="T40">
        <v>0</v>
      </c>
      <c r="U40">
        <v>0</v>
      </c>
    </row>
    <row r="41" spans="1:21" x14ac:dyDescent="0.25">
      <c r="A41" s="1" t="s">
        <v>56</v>
      </c>
      <c r="B41">
        <v>2020</v>
      </c>
      <c r="C41" t="str">
        <f>IF(A42=Estimates_of_the_use_of_water__2000_2020[[#This Row],[name]], B42-Estimates_of_the_use_of_water__2000_2020[[#This Row],[year]],"")</f>
        <v/>
      </c>
      <c r="D41">
        <v>11589.61621</v>
      </c>
      <c r="E41">
        <v>98.078994750000007</v>
      </c>
      <c r="F41">
        <v>99.999996449999998</v>
      </c>
      <c r="G41">
        <f>((F42-Estimates_of_the_use_of_water__2000_2020[[#This Row],[wat_bas_n]])/(B42-Estimates_of_the_use_of_water__2000_2020[[#This Row],[year]]))</f>
        <v>0.56488029399999962</v>
      </c>
      <c r="H41">
        <f>((N42-Estimates_of_the_use_of_water__2000_2020[[#This Row],[wat_bas_r]])/(B42-Estimates_of_the_use_of_water__2000_2020[[#This Row],[year]]))</f>
        <v>0.86923358800000017</v>
      </c>
      <c r="I41">
        <f>(R42-Estimates_of_the_use_of_water__2000_2020[[#This Row],[wat_bas_u]])/(B42-Estimates_of_the_use_of_water__2000_2020[[#This Row],[year]])</f>
        <v>0.19894199999999956</v>
      </c>
      <c r="J41">
        <f>ABS(Estimates_of_the_use_of_water__2000_2020[[#This Row],[ARC_r]]-Estimates_of_the_use_of_water__2000_2020[[#This Row],[ARC_u]])</f>
        <v>0.67029158800000066</v>
      </c>
      <c r="K41">
        <v>0</v>
      </c>
      <c r="L41">
        <v>3.5547967910000002E-6</v>
      </c>
      <c r="M41">
        <v>0</v>
      </c>
      <c r="N41">
        <v>100</v>
      </c>
      <c r="O41">
        <v>0</v>
      </c>
      <c r="P41">
        <v>0</v>
      </c>
      <c r="Q41">
        <v>0</v>
      </c>
      <c r="R41">
        <v>100</v>
      </c>
      <c r="S41">
        <v>0</v>
      </c>
      <c r="T41">
        <v>0</v>
      </c>
      <c r="U41">
        <v>0</v>
      </c>
    </row>
    <row r="42" spans="1:21" x14ac:dyDescent="0.25">
      <c r="A42" s="1" t="s">
        <v>112</v>
      </c>
      <c r="B42">
        <v>2015</v>
      </c>
      <c r="C42">
        <f>IF(A43=Estimates_of_the_use_of_water__2000_2020[[#This Row],[name]], B43-Estimates_of_the_use_of_water__2000_2020[[#This Row],[year]],"")</f>
        <v>5</v>
      </c>
      <c r="D42">
        <v>360.92599489999998</v>
      </c>
      <c r="E42">
        <v>45.405998230000002</v>
      </c>
      <c r="F42">
        <v>97.17559498</v>
      </c>
      <c r="G42">
        <f>((F43-Estimates_of_the_use_of_water__2000_2020[[#This Row],[wat_bas_n]])/(B43-Estimates_of_the_use_of_water__2000_2020[[#This Row],[year]]))</f>
        <v>0.24527193000000125</v>
      </c>
      <c r="H42">
        <f>((N43-Estimates_of_the_use_of_water__2000_2020[[#This Row],[wat_bas_r]])/(B43-Estimates_of_the_use_of_water__2000_2020[[#This Row],[year]]))</f>
        <v>0.46827510399999994</v>
      </c>
      <c r="I42">
        <f>(R43-Estimates_of_the_use_of_water__2000_2020[[#This Row],[wat_bas_u]])/(B43-Estimates_of_the_use_of_water__2000_2020[[#This Row],[year]])</f>
        <v>-2.5265999999999168E-2</v>
      </c>
      <c r="J42">
        <f>ABS(Estimates_of_the_use_of_water__2000_2020[[#This Row],[ARC_r]]-Estimates_of_the_use_of_water__2000_2020[[#This Row],[ARC_u]])</f>
        <v>0.49354110399999912</v>
      </c>
      <c r="K42">
        <v>1.227940493</v>
      </c>
      <c r="L42">
        <v>1.5682225350000001</v>
      </c>
      <c r="M42">
        <v>2.8241988169999999E-2</v>
      </c>
      <c r="N42">
        <v>95.653832059999999</v>
      </c>
      <c r="O42">
        <v>1.4219190049999999</v>
      </c>
      <c r="P42">
        <v>2.8725179939999999</v>
      </c>
      <c r="Q42">
        <v>5.1730935759999999E-2</v>
      </c>
      <c r="R42">
        <v>99.005290000000002</v>
      </c>
      <c r="S42">
        <v>0.99470999999999998</v>
      </c>
      <c r="T42">
        <v>0</v>
      </c>
      <c r="U42">
        <v>0</v>
      </c>
    </row>
    <row r="43" spans="1:21" x14ac:dyDescent="0.25">
      <c r="A43" s="1" t="s">
        <v>112</v>
      </c>
      <c r="B43">
        <v>2020</v>
      </c>
      <c r="C43" t="str">
        <f>IF(A44=Estimates_of_the_use_of_water__2000_2020[[#This Row],[name]], B44-Estimates_of_the_use_of_water__2000_2020[[#This Row],[year]],"")</f>
        <v/>
      </c>
      <c r="D43">
        <v>397.62100220000002</v>
      </c>
      <c r="E43">
        <v>46.025001529999997</v>
      </c>
      <c r="F43">
        <v>98.401954630000006</v>
      </c>
      <c r="G43">
        <f>((F44-Estimates_of_the_use_of_water__2000_2020[[#This Row],[wat_bas_n]])/(B44-Estimates_of_the_use_of_water__2000_2020[[#This Row],[year]]))</f>
        <v>6.7230264660000021</v>
      </c>
      <c r="H43">
        <f>((N44-Estimates_of_the_use_of_water__2000_2020[[#This Row],[wat_bas_r]])/(B44-Estimates_of_the_use_of_water__2000_2020[[#This Row],[year]]))</f>
        <v>8.2421710219999991</v>
      </c>
      <c r="I43">
        <f>(R44-Estimates_of_the_use_of_water__2000_2020[[#This Row],[wat_bas_u]])/(B44-Estimates_of_the_use_of_water__2000_2020[[#This Row],[year]])</f>
        <v>4.9163634880000018</v>
      </c>
      <c r="J43">
        <f>ABS(Estimates_of_the_use_of_water__2000_2020[[#This Row],[ARC_r]]-Estimates_of_the_use_of_water__2000_2020[[#This Row],[ARC_u]])</f>
        <v>3.3258075339999973</v>
      </c>
      <c r="K43">
        <v>1.249110629</v>
      </c>
      <c r="L43">
        <v>0.3489347411</v>
      </c>
      <c r="M43">
        <v>0</v>
      </c>
      <c r="N43">
        <v>97.995207579999999</v>
      </c>
      <c r="O43">
        <v>1.358317682</v>
      </c>
      <c r="P43">
        <v>0.64647473929999999</v>
      </c>
      <c r="Q43">
        <v>0</v>
      </c>
      <c r="R43">
        <v>98.878960000000006</v>
      </c>
      <c r="S43">
        <v>1.12104</v>
      </c>
      <c r="T43">
        <v>0</v>
      </c>
      <c r="U43">
        <v>0</v>
      </c>
    </row>
    <row r="44" spans="1:21" x14ac:dyDescent="0.25">
      <c r="A44" s="1" t="s">
        <v>220</v>
      </c>
      <c r="B44">
        <v>2015</v>
      </c>
      <c r="C44">
        <f>IF(A45=Estimates_of_the_use_of_water__2000_2020[[#This Row],[name]], B45-Estimates_of_the_use_of_water__2000_2020[[#This Row],[year]],"")</f>
        <v>5</v>
      </c>
      <c r="D44">
        <v>10575.96191</v>
      </c>
      <c r="E44">
        <v>45.695003509999999</v>
      </c>
      <c r="F44">
        <v>64.786822299999997</v>
      </c>
      <c r="G44">
        <f>((F45-Estimates_of_the_use_of_water__2000_2020[[#This Row],[wat_bas_n]])/(B45-Estimates_of_the_use_of_water__2000_2020[[#This Row],[year]]))</f>
        <v>0.12546013799999969</v>
      </c>
      <c r="H44">
        <f>((N45-Estimates_of_the_use_of_water__2000_2020[[#This Row],[wat_bas_r]])/(B45-Estimates_of_the_use_of_water__2000_2020[[#This Row],[year]]))</f>
        <v>0.25358310399999906</v>
      </c>
      <c r="I44">
        <f>(R45-Estimates_of_the_use_of_water__2000_2020[[#This Row],[wat_bas_u]])/(B45-Estimates_of_the_use_of_water__2000_2020[[#This Row],[year]])</f>
        <v>-0.20782850399999972</v>
      </c>
      <c r="J44">
        <f>ABS(Estimates_of_the_use_of_water__2000_2020[[#This Row],[ARC_r]]-Estimates_of_the_use_of_water__2000_2020[[#This Row],[ARC_u]])</f>
        <v>0.46141160799999881</v>
      </c>
      <c r="K44">
        <v>8.7154706540000006</v>
      </c>
      <c r="L44">
        <v>21.298464339999999</v>
      </c>
      <c r="M44">
        <v>5.1992427130000003</v>
      </c>
      <c r="N44">
        <v>56.784352470000002</v>
      </c>
      <c r="O44">
        <v>11.70337067</v>
      </c>
      <c r="P44">
        <v>23.774978569999998</v>
      </c>
      <c r="Q44">
        <v>7.7372982859999997</v>
      </c>
      <c r="R44">
        <v>74.297142559999998</v>
      </c>
      <c r="S44">
        <v>5.1645811540000004</v>
      </c>
      <c r="T44">
        <v>18.355317530000001</v>
      </c>
      <c r="U44">
        <v>2.1829587560000001</v>
      </c>
    </row>
    <row r="45" spans="1:21" x14ac:dyDescent="0.25">
      <c r="A45" s="1" t="s">
        <v>220</v>
      </c>
      <c r="B45">
        <v>2020</v>
      </c>
      <c r="C45" t="str">
        <f>IF(A46=Estimates_of_the_use_of_water__2000_2020[[#This Row],[name]], B46-Estimates_of_the_use_of_water__2000_2020[[#This Row],[year]],"")</f>
        <v/>
      </c>
      <c r="D45">
        <v>12123.19824</v>
      </c>
      <c r="E45">
        <v>48.414997100000001</v>
      </c>
      <c r="F45">
        <v>65.414122989999996</v>
      </c>
      <c r="G45">
        <f>((F46-Estimates_of_the_use_of_water__2000_2020[[#This Row],[wat_bas_n]])/(B46-Estimates_of_the_use_of_water__2000_2020[[#This Row],[year]]))</f>
        <v>-6.8978034059999995</v>
      </c>
      <c r="H45">
        <f>((N46-Estimates_of_the_use_of_water__2000_2020[[#This Row],[wat_bas_r]])/(B46-Estimates_of_the_use_of_water__2000_2020[[#This Row],[year]]))</f>
        <v>11.610453597999999</v>
      </c>
      <c r="I45">
        <f>(R46-Estimates_of_the_use_of_water__2000_2020[[#This Row],[wat_bas_u]])/(B46-Estimates_of_the_use_of_water__2000_2020[[#This Row],[year]])</f>
        <v>-5.3290279959999989</v>
      </c>
      <c r="J45">
        <f>ABS(Estimates_of_the_use_of_water__2000_2020[[#This Row],[ARC_r]]-Estimates_of_the_use_of_water__2000_2020[[#This Row],[ARC_u]])</f>
        <v>16.939481594</v>
      </c>
      <c r="K45">
        <v>9.317535586</v>
      </c>
      <c r="L45">
        <v>21.97254088</v>
      </c>
      <c r="M45">
        <v>3.2958005469999998</v>
      </c>
      <c r="N45">
        <v>58.052267989999997</v>
      </c>
      <c r="O45">
        <v>12.705205039999999</v>
      </c>
      <c r="P45">
        <v>23.977968329999999</v>
      </c>
      <c r="Q45">
        <v>5.2645586340000001</v>
      </c>
      <c r="R45">
        <v>73.258000039999999</v>
      </c>
      <c r="S45">
        <v>5.7080563529999999</v>
      </c>
      <c r="T45">
        <v>19.835806810000001</v>
      </c>
      <c r="U45">
        <v>1.1981367940000001</v>
      </c>
    </row>
    <row r="46" spans="1:21" x14ac:dyDescent="0.25">
      <c r="A46" s="1" t="s">
        <v>69</v>
      </c>
      <c r="B46">
        <v>2015</v>
      </c>
      <c r="C46">
        <f>IF(A47=Estimates_of_the_use_of_water__2000_2020[[#This Row],[name]], B47-Estimates_of_the_use_of_water__2000_2020[[#This Row],[year]],"")</f>
        <v>5</v>
      </c>
      <c r="D46">
        <v>63.694999690000003</v>
      </c>
      <c r="E46">
        <v>100</v>
      </c>
      <c r="F46">
        <v>99.903140019999995</v>
      </c>
      <c r="G46">
        <f>((F47-Estimates_of_the_use_of_water__2000_2020[[#This Row],[wat_bas_n]])/(B47-Estimates_of_the_use_of_water__2000_2020[[#This Row],[year]]))</f>
        <v>0</v>
      </c>
      <c r="H46">
        <f>((N47-Estimates_of_the_use_of_water__2000_2020[[#This Row],[wat_bas_r]])/(B47-Estimates_of_the_use_of_water__2000_2020[[#This Row],[year]]))</f>
        <v>0</v>
      </c>
      <c r="I46">
        <f>(R47-Estimates_of_the_use_of_water__2000_2020[[#This Row],[wat_bas_u]])/(B47-Estimates_of_the_use_of_water__2000_2020[[#This Row],[year]])</f>
        <v>0</v>
      </c>
      <c r="J46">
        <f>ABS(Estimates_of_the_use_of_water__2000_2020[[#This Row],[ARC_r]]-Estimates_of_the_use_of_water__2000_2020[[#This Row],[ARC_u]])</f>
        <v>0</v>
      </c>
      <c r="K46">
        <v>0</v>
      </c>
      <c r="L46">
        <v>9.6859982940000006E-2</v>
      </c>
      <c r="M46">
        <v>0</v>
      </c>
      <c r="R46">
        <v>99.903140019999995</v>
      </c>
      <c r="S46">
        <v>0</v>
      </c>
      <c r="T46">
        <v>9.6859982940000006E-2</v>
      </c>
      <c r="U46">
        <v>0</v>
      </c>
    </row>
    <row r="47" spans="1:21" x14ac:dyDescent="0.25">
      <c r="A47" s="1" t="s">
        <v>69</v>
      </c>
      <c r="B47">
        <v>2020</v>
      </c>
      <c r="C47" t="str">
        <f>IF(A48=Estimates_of_the_use_of_water__2000_2020[[#This Row],[name]], B48-Estimates_of_the_use_of_water__2000_2020[[#This Row],[year]],"")</f>
        <v/>
      </c>
      <c r="D47">
        <v>62.272998809999997</v>
      </c>
      <c r="E47">
        <v>100</v>
      </c>
      <c r="F47">
        <v>99.903140019999995</v>
      </c>
      <c r="G47">
        <f>((F48-Estimates_of_the_use_of_water__2000_2020[[#This Row],[wat_bas_n]])/(B48-Estimates_of_the_use_of_water__2000_2020[[#This Row],[year]]))</f>
        <v>0.73634348599999844</v>
      </c>
      <c r="H47">
        <f>((N48-Estimates_of_the_use_of_water__2000_2020[[#This Row],[wat_bas_r]])/(B48-Estimates_of_the_use_of_water__2000_2020[[#This Row],[year]]))</f>
        <v>-19.03287259</v>
      </c>
      <c r="I47">
        <f>(R48-Estimates_of_the_use_of_water__2000_2020[[#This Row],[wat_bas_u]])/(B48-Estimates_of_the_use_of_water__2000_2020[[#This Row],[year]])</f>
        <v>0.40116064799999834</v>
      </c>
      <c r="J47">
        <f>ABS(Estimates_of_the_use_of_water__2000_2020[[#This Row],[ARC_r]]-Estimates_of_the_use_of_water__2000_2020[[#This Row],[ARC_u]])</f>
        <v>19.434033237999998</v>
      </c>
      <c r="K47">
        <v>0</v>
      </c>
      <c r="L47">
        <v>9.6859982940000006E-2</v>
      </c>
      <c r="M47">
        <v>0</v>
      </c>
      <c r="R47">
        <v>99.903140019999995</v>
      </c>
      <c r="S47">
        <v>0</v>
      </c>
      <c r="T47">
        <v>9.6859982940000006E-2</v>
      </c>
      <c r="U47">
        <v>0</v>
      </c>
    </row>
    <row r="48" spans="1:21" x14ac:dyDescent="0.25">
      <c r="A48" s="1" t="s">
        <v>130</v>
      </c>
      <c r="B48">
        <v>2015</v>
      </c>
      <c r="C48">
        <f>IF(A49=Estimates_of_the_use_of_water__2000_2020[[#This Row],[name]], B49-Estimates_of_the_use_of_water__2000_2020[[#This Row],[year]],"")</f>
        <v>5</v>
      </c>
      <c r="D48">
        <v>727.88500980000003</v>
      </c>
      <c r="E48">
        <v>38.678001399999999</v>
      </c>
      <c r="F48">
        <v>96.221422590000003</v>
      </c>
      <c r="G48">
        <f>((F49-Estimates_of_the_use_of_water__2000_2020[[#This Row],[wat_bas_n]])/(B49-Estimates_of_the_use_of_water__2000_2020[[#This Row],[year]]))</f>
        <v>0.21836000799999908</v>
      </c>
      <c r="H48">
        <f>((N49-Estimates_of_the_use_of_water__2000_2020[[#This Row],[wat_bas_r]])/(B49-Estimates_of_the_use_of_water__2000_2020[[#This Row],[year]]))</f>
        <v>0.3133661399999994</v>
      </c>
      <c r="I48">
        <f>(R49-Estimates_of_the_use_of_water__2000_2020[[#This Row],[wat_bas_u]])/(B49-Estimates_of_the_use_of_water__2000_2020[[#This Row],[year]])</f>
        <v>4.1858342000000451E-2</v>
      </c>
      <c r="J48">
        <f>ABS(Estimates_of_the_use_of_water__2000_2020[[#This Row],[ARC_r]]-Estimates_of_the_use_of_water__2000_2020[[#This Row],[ARC_u]])</f>
        <v>0.27150779799999897</v>
      </c>
      <c r="K48">
        <v>2.496596292</v>
      </c>
      <c r="L48">
        <v>0.29618737509999998</v>
      </c>
      <c r="M48">
        <v>0.98579373770000001</v>
      </c>
      <c r="N48">
        <v>95.164362949999997</v>
      </c>
      <c r="O48">
        <v>3.215858941</v>
      </c>
      <c r="P48">
        <v>0.1935987005</v>
      </c>
      <c r="Q48">
        <v>1.4261794109999999</v>
      </c>
      <c r="R48">
        <v>97.897336780000003</v>
      </c>
      <c r="S48">
        <v>1.3562420319999999</v>
      </c>
      <c r="T48">
        <v>0.45883648849999997</v>
      </c>
      <c r="U48">
        <v>0.28758470349999998</v>
      </c>
    </row>
    <row r="49" spans="1:21" x14ac:dyDescent="0.25">
      <c r="A49" s="1" t="s">
        <v>130</v>
      </c>
      <c r="B49">
        <v>2020</v>
      </c>
      <c r="C49" t="str">
        <f>IF(A50=Estimates_of_the_use_of_water__2000_2020[[#This Row],[name]], B50-Estimates_of_the_use_of_water__2000_2020[[#This Row],[year]],"")</f>
        <v/>
      </c>
      <c r="D49">
        <v>771.61199950000002</v>
      </c>
      <c r="E49">
        <v>42.31599808</v>
      </c>
      <c r="F49">
        <v>97.313222629999999</v>
      </c>
      <c r="G49">
        <f>((F50-Estimates_of_the_use_of_water__2000_2020[[#This Row],[wat_bas_n]])/(B50-Estimates_of_the_use_of_water__2000_2020[[#This Row],[year]]))</f>
        <v>1.3702163240000005</v>
      </c>
      <c r="H49">
        <f>((N50-Estimates_of_the_use_of_water__2000_2020[[#This Row],[wat_bas_r]])/(B50-Estimates_of_the_use_of_water__2000_2020[[#This Row],[year]]))</f>
        <v>4.598202689999999</v>
      </c>
      <c r="I49">
        <f>(R50-Estimates_of_the_use_of_water__2000_2020[[#This Row],[wat_bas_u]])/(B50-Estimates_of_the_use_of_water__2000_2020[[#This Row],[year]])</f>
        <v>-1.6673717999998415E-2</v>
      </c>
      <c r="J49">
        <f>ABS(Estimates_of_the_use_of_water__2000_2020[[#This Row],[ARC_r]]-Estimates_of_the_use_of_water__2000_2020[[#This Row],[ARC_u]])</f>
        <v>4.6148764079999971</v>
      </c>
      <c r="K49">
        <v>2.4607126070000001</v>
      </c>
      <c r="L49">
        <v>0.17642421829999999</v>
      </c>
      <c r="M49">
        <v>4.9640541420000003E-2</v>
      </c>
      <c r="N49">
        <v>96.731193649999994</v>
      </c>
      <c r="O49">
        <v>3.2688063509999998</v>
      </c>
      <c r="P49">
        <v>0</v>
      </c>
      <c r="Q49">
        <v>0</v>
      </c>
      <c r="R49">
        <v>98.106628490000006</v>
      </c>
      <c r="S49">
        <v>1.3591415</v>
      </c>
      <c r="T49">
        <v>0.41692084750000002</v>
      </c>
      <c r="U49">
        <v>0.1173091586</v>
      </c>
    </row>
    <row r="50" spans="1:21" x14ac:dyDescent="0.25">
      <c r="A50" s="1" t="s">
        <v>170</v>
      </c>
      <c r="B50">
        <v>2015</v>
      </c>
      <c r="C50">
        <f>IF(A51=Estimates_of_the_use_of_water__2000_2020[[#This Row],[name]], B51-Estimates_of_the_use_of_water__2000_2020[[#This Row],[year]],"")</f>
        <v>5</v>
      </c>
      <c r="D50">
        <v>10869.73242</v>
      </c>
      <c r="E50">
        <v>68.392997739999998</v>
      </c>
      <c r="F50">
        <v>90.462141009999996</v>
      </c>
      <c r="G50">
        <f>((F51-Estimates_of_the_use_of_water__2000_2020[[#This Row],[wat_bas_n]])/(B51-Estimates_of_the_use_of_water__2000_2020[[#This Row],[year]]))</f>
        <v>0.58558612399999954</v>
      </c>
      <c r="H50">
        <f>((N51-Estimates_of_the_use_of_water__2000_2020[[#This Row],[wat_bas_r]])/(B51-Estimates_of_the_use_of_water__2000_2020[[#This Row],[year]]))</f>
        <v>1.2392925259999998</v>
      </c>
      <c r="I50">
        <f>(R51-Estimates_of_the_use_of_water__2000_2020[[#This Row],[wat_bas_u]])/(B51-Estimates_of_the_use_of_water__2000_2020[[#This Row],[year]])</f>
        <v>0.18642424800000015</v>
      </c>
      <c r="J50">
        <f>ABS(Estimates_of_the_use_of_water__2000_2020[[#This Row],[ARC_r]]-Estimates_of_the_use_of_water__2000_2020[[#This Row],[ARC_u]])</f>
        <v>1.0528682779999996</v>
      </c>
      <c r="K50">
        <v>0.17289839809999999</v>
      </c>
      <c r="L50">
        <v>2.832457169</v>
      </c>
      <c r="M50">
        <v>6.5325034249999998</v>
      </c>
      <c r="N50">
        <v>73.740180199999998</v>
      </c>
      <c r="O50">
        <v>0.33996878380000001</v>
      </c>
      <c r="P50">
        <v>5.9118005360000003</v>
      </c>
      <c r="Q50">
        <v>20.008050480000001</v>
      </c>
      <c r="R50">
        <v>98.189997079999998</v>
      </c>
      <c r="S50">
        <v>9.5688834099999995E-2</v>
      </c>
      <c r="T50">
        <v>1.4093724700000001</v>
      </c>
      <c r="U50">
        <v>0.304941615</v>
      </c>
    </row>
    <row r="51" spans="1:21" x14ac:dyDescent="0.25">
      <c r="A51" s="1" t="s">
        <v>170</v>
      </c>
      <c r="B51">
        <v>2020</v>
      </c>
      <c r="C51" t="str">
        <f>IF(A52=Estimates_of_the_use_of_water__2000_2020[[#This Row],[name]], B52-Estimates_of_the_use_of_water__2000_2020[[#This Row],[year]],"")</f>
        <v/>
      </c>
      <c r="D51">
        <v>11673.0293</v>
      </c>
      <c r="E51">
        <v>70.123001099999996</v>
      </c>
      <c r="F51">
        <v>93.390071629999994</v>
      </c>
      <c r="G51">
        <f>((F52-Estimates_of_the_use_of_water__2000_2020[[#This Row],[wat_bas_n]])/(B52-Estimates_of_the_use_of_water__2000_2020[[#This Row],[year]]))</f>
        <v>-0.55395450999999984</v>
      </c>
      <c r="H51">
        <f>((N52-Estimates_of_the_use_of_water__2000_2020[[#This Row],[wat_bas_r]])/(B52-Estimates_of_the_use_of_water__2000_2020[[#This Row],[year]]))</f>
        <v>-3.479338100000001</v>
      </c>
      <c r="I51">
        <f>(R52-Estimates_of_the_use_of_water__2000_2020[[#This Row],[wat_bas_u]])/(B52-Estimates_of_the_use_of_water__2000_2020[[#This Row],[year]])</f>
        <v>0.85528278399999924</v>
      </c>
      <c r="J51">
        <f>ABS(Estimates_of_the_use_of_water__2000_2020[[#This Row],[ARC_r]]-Estimates_of_the_use_of_water__2000_2020[[#This Row],[ARC_u]])</f>
        <v>4.3346208840000005</v>
      </c>
      <c r="K51">
        <v>0.13659052960000001</v>
      </c>
      <c r="L51">
        <v>1.575010843</v>
      </c>
      <c r="M51">
        <v>4.8983269969999998</v>
      </c>
      <c r="N51">
        <v>79.936642829999997</v>
      </c>
      <c r="O51">
        <v>0.24473640820000001</v>
      </c>
      <c r="P51">
        <v>3.9541336930000002</v>
      </c>
      <c r="Q51">
        <v>15.864487069999999</v>
      </c>
      <c r="R51">
        <v>99.122118319999998</v>
      </c>
      <c r="S51">
        <v>9.0513289469999994E-2</v>
      </c>
      <c r="T51">
        <v>0.56134538079999996</v>
      </c>
      <c r="U51">
        <v>0.22602301120000001</v>
      </c>
    </row>
    <row r="52" spans="1:21" x14ac:dyDescent="0.25">
      <c r="A52" s="1" t="s">
        <v>142</v>
      </c>
      <c r="B52">
        <v>2015</v>
      </c>
      <c r="C52">
        <f>IF(A53=Estimates_of_the_use_of_water__2000_2020[[#This Row],[name]], B53-Estimates_of_the_use_of_water__2000_2020[[#This Row],[year]],"")</f>
        <v>5</v>
      </c>
      <c r="D52">
        <v>3429.3620609999998</v>
      </c>
      <c r="E52">
        <v>47.172996519999998</v>
      </c>
      <c r="F52">
        <v>96.159844179999993</v>
      </c>
      <c r="G52">
        <f>((F53-Estimates_of_the_use_of_water__2000_2020[[#This Row],[wat_bas_n]])/(B53-Estimates_of_the_use_of_water__2000_2020[[#This Row],[year]]))</f>
        <v>-9.1893119999980396E-3</v>
      </c>
      <c r="H52">
        <f>((N53-Estimates_of_the_use_of_water__2000_2020[[#This Row],[wat_bas_r]])/(B53-Estimates_of_the_use_of_water__2000_2020[[#This Row],[year]]))</f>
        <v>0</v>
      </c>
      <c r="I52">
        <f>(R53-Estimates_of_the_use_of_water__2000_2020[[#This Row],[wat_bas_u]])/(B53-Estimates_of_the_use_of_water__2000_2020[[#This Row],[year]])</f>
        <v>0</v>
      </c>
      <c r="J52">
        <f>ABS(Estimates_of_the_use_of_water__2000_2020[[#This Row],[ARC_r]]-Estimates_of_the_use_of_water__2000_2020[[#This Row],[ARC_u]])</f>
        <v>0</v>
      </c>
      <c r="K52">
        <v>3.780069975</v>
      </c>
      <c r="L52">
        <v>6.0085848570000003E-2</v>
      </c>
      <c r="M52">
        <v>0</v>
      </c>
      <c r="N52">
        <v>97.333333330000002</v>
      </c>
      <c r="O52">
        <v>2.6666666669999999</v>
      </c>
      <c r="P52">
        <v>0</v>
      </c>
      <c r="Q52">
        <v>0</v>
      </c>
      <c r="R52">
        <v>94.845704400000002</v>
      </c>
      <c r="S52">
        <v>5.0269222060000001</v>
      </c>
      <c r="T52">
        <v>0.12737339280000001</v>
      </c>
      <c r="U52">
        <v>0</v>
      </c>
    </row>
    <row r="53" spans="1:21" x14ac:dyDescent="0.25">
      <c r="A53" s="1" t="s">
        <v>142</v>
      </c>
      <c r="B53">
        <v>2020</v>
      </c>
      <c r="C53" t="str">
        <f>IF(A54=Estimates_of_the_use_of_water__2000_2020[[#This Row],[name]], B54-Estimates_of_the_use_of_water__2000_2020[[#This Row],[year]],"")</f>
        <v/>
      </c>
      <c r="D53">
        <v>3280.8149410000001</v>
      </c>
      <c r="E53">
        <v>49.020000459999999</v>
      </c>
      <c r="F53">
        <v>96.113897620000003</v>
      </c>
      <c r="G53">
        <f>((F54-Estimates_of_the_use_of_water__2000_2020[[#This Row],[wat_bas_n]])/(B54-Estimates_of_the_use_of_water__2000_2020[[#This Row],[year]]))</f>
        <v>1.5335216180000004</v>
      </c>
      <c r="H53">
        <f>((N54-Estimates_of_the_use_of_water__2000_2020[[#This Row],[wat_bas_r]])/(B54-Estimates_of_the_use_of_water__2000_2020[[#This Row],[year]]))</f>
        <v>5.0881598999999991</v>
      </c>
      <c r="I53">
        <f>(R54-Estimates_of_the_use_of_water__2000_2020[[#This Row],[wat_bas_u]])/(B54-Estimates_of_the_use_of_water__2000_2020[[#This Row],[year]])</f>
        <v>-0.33937963599999821</v>
      </c>
      <c r="J53">
        <f>ABS(Estimates_of_the_use_of_water__2000_2020[[#This Row],[ARC_r]]-Estimates_of_the_use_of_water__2000_2020[[#This Row],[ARC_u]])</f>
        <v>5.4275395359999976</v>
      </c>
      <c r="K53">
        <v>3.8236639380000002</v>
      </c>
      <c r="L53">
        <v>6.2438437520000001E-2</v>
      </c>
      <c r="M53">
        <v>0</v>
      </c>
      <c r="N53">
        <v>97.333333330000002</v>
      </c>
      <c r="O53">
        <v>2.6666666669999999</v>
      </c>
      <c r="P53">
        <v>0</v>
      </c>
      <c r="Q53">
        <v>0</v>
      </c>
      <c r="R53">
        <v>94.845704400000002</v>
      </c>
      <c r="S53">
        <v>5.0269222060000001</v>
      </c>
      <c r="T53">
        <v>0.12737339280000001</v>
      </c>
      <c r="U53">
        <v>0</v>
      </c>
    </row>
    <row r="54" spans="1:21" x14ac:dyDescent="0.25">
      <c r="A54" s="1" t="s">
        <v>175</v>
      </c>
      <c r="B54">
        <v>2015</v>
      </c>
      <c r="C54">
        <f>IF(A55=Estimates_of_the_use_of_water__2000_2020[[#This Row],[name]], B55-Estimates_of_the_use_of_water__2000_2020[[#This Row],[year]],"")</f>
        <v>5</v>
      </c>
      <c r="D54">
        <v>2120.7160640000002</v>
      </c>
      <c r="E54">
        <v>67.15499878</v>
      </c>
      <c r="F54">
        <v>88.446289530000001</v>
      </c>
      <c r="G54">
        <f>((F55-Estimates_of_the_use_of_water__2000_2020[[#This Row],[wat_bas_n]])/(B55-Estimates_of_the_use_of_water__2000_2020[[#This Row],[year]]))</f>
        <v>0.75345470800000103</v>
      </c>
      <c r="H54">
        <f>((N55-Estimates_of_the_use_of_water__2000_2020[[#This Row],[wat_bas_r]])/(B55-Estimates_of_the_use_of_water__2000_2020[[#This Row],[year]]))</f>
        <v>1.4302380059999991</v>
      </c>
      <c r="I54">
        <f>(R55-Estimates_of_the_use_of_water__2000_2020[[#This Row],[wat_bas_u]])/(B55-Estimates_of_the_use_of_water__2000_2020[[#This Row],[year]])</f>
        <v>0.21647560000000113</v>
      </c>
      <c r="J54">
        <f>ABS(Estimates_of_the_use_of_water__2000_2020[[#This Row],[ARC_r]]-Estimates_of_the_use_of_water__2000_2020[[#This Row],[ARC_u]])</f>
        <v>1.2137624059999979</v>
      </c>
      <c r="K54">
        <v>8.4106141599999997</v>
      </c>
      <c r="L54">
        <v>1.578349601</v>
      </c>
      <c r="M54">
        <v>1.5647467079999999</v>
      </c>
      <c r="N54">
        <v>71.892533830000005</v>
      </c>
      <c r="O54">
        <v>21.789327549999999</v>
      </c>
      <c r="P54">
        <v>1.854197906</v>
      </c>
      <c r="Q54">
        <v>4.4639407090000001</v>
      </c>
      <c r="R54">
        <v>96.542602579999993</v>
      </c>
      <c r="S54">
        <v>1.867186166</v>
      </c>
      <c r="T54">
        <v>1.443438497</v>
      </c>
      <c r="U54">
        <v>0.1467727616</v>
      </c>
    </row>
    <row r="55" spans="1:21" x14ac:dyDescent="0.25">
      <c r="A55" s="1" t="s">
        <v>175</v>
      </c>
      <c r="B55">
        <v>2020</v>
      </c>
      <c r="C55" t="str">
        <f>IF(A56=Estimates_of_the_use_of_water__2000_2020[[#This Row],[name]], B56-Estimates_of_the_use_of_water__2000_2020[[#This Row],[year]],"")</f>
        <v/>
      </c>
      <c r="D55">
        <v>2351.625</v>
      </c>
      <c r="E55">
        <v>70.876998900000004</v>
      </c>
      <c r="F55">
        <v>92.213563070000006</v>
      </c>
      <c r="G55">
        <f>((F56-Estimates_of_the_use_of_water__2000_2020[[#This Row],[wat_bas_n]])/(B56-Estimates_of_the_use_of_water__2000_2020[[#This Row],[year]]))</f>
        <v>-1.1180009039999987</v>
      </c>
      <c r="H55">
        <f>((N56-Estimates_of_the_use_of_water__2000_2020[[#This Row],[wat_bas_r]])/(B56-Estimates_of_the_use_of_water__2000_2020[[#This Row],[year]]))</f>
        <v>-1.9424608640000003</v>
      </c>
      <c r="I55">
        <f>(R56-Estimates_of_the_use_of_water__2000_2020[[#This Row],[wat_bas_u]])/(B56-Estimates_of_the_use_of_water__2000_2020[[#This Row],[year]])</f>
        <v>-0.33593008800000063</v>
      </c>
      <c r="J55">
        <f>ABS(Estimates_of_the_use_of_water__2000_2020[[#This Row],[ARC_r]]-Estimates_of_the_use_of_water__2000_2020[[#This Row],[ARC_u]])</f>
        <v>1.6065307759999996</v>
      </c>
      <c r="K55">
        <v>4.7230389700000002</v>
      </c>
      <c r="L55">
        <v>1.7325264760000001</v>
      </c>
      <c r="M55">
        <v>1.330871481</v>
      </c>
      <c r="N55">
        <v>79.04372386</v>
      </c>
      <c r="O55">
        <v>15.154947180000001</v>
      </c>
      <c r="P55">
        <v>1.5961191560000001</v>
      </c>
      <c r="Q55">
        <v>4.2052098100000004</v>
      </c>
      <c r="R55">
        <v>97.624980579999999</v>
      </c>
      <c r="S55">
        <v>0.43662003220000001</v>
      </c>
      <c r="T55">
        <v>1.788579159</v>
      </c>
      <c r="U55">
        <v>0.14982022810000001</v>
      </c>
    </row>
    <row r="56" spans="1:21" x14ac:dyDescent="0.25">
      <c r="A56" s="1" t="s">
        <v>96</v>
      </c>
      <c r="B56">
        <v>2015</v>
      </c>
      <c r="C56">
        <f>IF(A57=Estimates_of_the_use_of_water__2000_2020[[#This Row],[name]], B57-Estimates_of_the_use_of_water__2000_2020[[#This Row],[year]],"")</f>
        <v>5</v>
      </c>
      <c r="D56">
        <v>204471.76560000001</v>
      </c>
      <c r="E56">
        <v>85.770004270000001</v>
      </c>
      <c r="F56">
        <v>97.80356759</v>
      </c>
      <c r="G56">
        <f>((F57-Estimates_of_the_use_of_water__2000_2020[[#This Row],[wat_bas_n]])/(B57-Estimates_of_the_use_of_water__2000_2020[[#This Row],[year]]))</f>
        <v>0.30345708000000116</v>
      </c>
      <c r="H56">
        <f>((N57-Estimates_of_the_use_of_water__2000_2020[[#This Row],[wat_bas_r]])/(B57-Estimates_of_the_use_of_water__2000_2020[[#This Row],[year]]))</f>
        <v>1.4378462700000001</v>
      </c>
      <c r="I56">
        <f>(R57-Estimates_of_the_use_of_water__2000_2020[[#This Row],[wat_bas_u]])/(B57-Estimates_of_the_use_of_water__2000_2020[[#This Row],[year]])</f>
        <v>0.10347405800000047</v>
      </c>
      <c r="J56">
        <f>ABS(Estimates_of_the_use_of_water__2000_2020[[#This Row],[ARC_r]]-Estimates_of_the_use_of_water__2000_2020[[#This Row],[ARC_u]])</f>
        <v>1.3343722119999997</v>
      </c>
      <c r="K56">
        <v>0.57950002290000002</v>
      </c>
      <c r="L56">
        <v>0.47496570910000002</v>
      </c>
      <c r="M56">
        <v>1.141966676</v>
      </c>
      <c r="N56">
        <v>88.756028180000001</v>
      </c>
      <c r="O56">
        <v>2.8537735780000002</v>
      </c>
      <c r="P56">
        <v>0.36513423810000001</v>
      </c>
      <c r="Q56">
        <v>8.0250640079999993</v>
      </c>
      <c r="R56">
        <v>99.304631020000002</v>
      </c>
      <c r="S56">
        <v>0.20217793440000001</v>
      </c>
      <c r="T56">
        <v>0.49319104540000003</v>
      </c>
      <c r="U56">
        <v>0</v>
      </c>
    </row>
    <row r="57" spans="1:21" x14ac:dyDescent="0.25">
      <c r="A57" s="1" t="s">
        <v>96</v>
      </c>
      <c r="B57">
        <v>2020</v>
      </c>
      <c r="C57" t="str">
        <f>IF(A58=Estimates_of_the_use_of_water__2000_2020[[#This Row],[name]], B58-Estimates_of_the_use_of_water__2000_2020[[#This Row],[year]],"")</f>
        <v/>
      </c>
      <c r="D57">
        <v>212559.4063</v>
      </c>
      <c r="E57">
        <v>87.072998049999995</v>
      </c>
      <c r="F57">
        <v>99.320852990000006</v>
      </c>
      <c r="G57">
        <f>((F58-Estimates_of_the_use_of_water__2000_2020[[#This Row],[wat_bas_n]])/(B58-Estimates_of_the_use_of_water__2000_2020[[#This Row],[year]]))</f>
        <v>-0.10870611399999745</v>
      </c>
      <c r="H57">
        <f>((N58-Estimates_of_the_use_of_water__2000_2020[[#This Row],[wat_bas_r]])/(B58-Estimates_of_the_use_of_water__2000_2020[[#This Row],[year]]))</f>
        <v>19.189051906</v>
      </c>
      <c r="I57">
        <f>(R58-Estimates_of_the_use_of_water__2000_2020[[#This Row],[wat_bas_u]])/(B58-Estimates_of_the_use_of_water__2000_2020[[#This Row],[year]])</f>
        <v>19.964400262000002</v>
      </c>
      <c r="J57">
        <f>ABS(Estimates_of_the_use_of_water__2000_2020[[#This Row],[ARC_r]]-Estimates_of_the_use_of_water__2000_2020[[#This Row],[ARC_u]])</f>
        <v>0.77534835600000207</v>
      </c>
      <c r="K57">
        <v>0.12654900390000001</v>
      </c>
      <c r="L57">
        <v>0.55259800989999996</v>
      </c>
      <c r="N57">
        <v>95.945259530000001</v>
      </c>
      <c r="O57">
        <v>0.97895091540000001</v>
      </c>
      <c r="P57">
        <v>3.0757895510000002</v>
      </c>
      <c r="R57">
        <v>99.822001310000005</v>
      </c>
      <c r="S57">
        <v>0</v>
      </c>
      <c r="T57">
        <v>0.1779986949</v>
      </c>
      <c r="U57">
        <v>0</v>
      </c>
    </row>
    <row r="58" spans="1:21" x14ac:dyDescent="0.25">
      <c r="A58" s="1" t="s">
        <v>75</v>
      </c>
      <c r="B58">
        <v>2015</v>
      </c>
      <c r="C58">
        <f>IF(A59=Estimates_of_the_use_of_water__2000_2020[[#This Row],[name]], B59-Estimates_of_the_use_of_water__2000_2020[[#This Row],[year]],"")</f>
        <v>5</v>
      </c>
      <c r="D58">
        <v>29.148000719999999</v>
      </c>
      <c r="E58">
        <v>46.583000179999999</v>
      </c>
      <c r="F58">
        <v>99.864383559999993</v>
      </c>
      <c r="G58">
        <f>((F59-Estimates_of_the_use_of_water__2000_2020[[#This Row],[wat_bas_n]])/(B59-Estimates_of_the_use_of_water__2000_2020[[#This Row],[year]]))</f>
        <v>0</v>
      </c>
      <c r="H58">
        <f>((N59-Estimates_of_the_use_of_water__2000_2020[[#This Row],[wat_bas_r]])/(B59-Estimates_of_the_use_of_water__2000_2020[[#This Row],[year]]))</f>
        <v>0</v>
      </c>
      <c r="I58">
        <f>(R59-Estimates_of_the_use_of_water__2000_2020[[#This Row],[wat_bas_u]])/(B59-Estimates_of_the_use_of_water__2000_2020[[#This Row],[year]])</f>
        <v>0</v>
      </c>
      <c r="J58">
        <f>ABS(Estimates_of_the_use_of_water__2000_2020[[#This Row],[ARC_r]]-Estimates_of_the_use_of_water__2000_2020[[#This Row],[ARC_u]])</f>
        <v>0</v>
      </c>
      <c r="K58">
        <v>0</v>
      </c>
      <c r="L58">
        <v>0.13561643840000001</v>
      </c>
      <c r="M58">
        <v>0</v>
      </c>
    </row>
    <row r="59" spans="1:21" x14ac:dyDescent="0.25">
      <c r="A59" s="1" t="s">
        <v>75</v>
      </c>
      <c r="B59">
        <v>2020</v>
      </c>
      <c r="C59" t="str">
        <f>IF(A60=Estimates_of_the_use_of_water__2000_2020[[#This Row],[name]], B60-Estimates_of_the_use_of_water__2000_2020[[#This Row],[year]],"")</f>
        <v/>
      </c>
      <c r="D59">
        <v>30.23699951</v>
      </c>
      <c r="E59">
        <v>48.51499939</v>
      </c>
      <c r="F59">
        <v>99.864383559999993</v>
      </c>
      <c r="G59">
        <f>((F60-Estimates_of_the_use_of_water__2000_2020[[#This Row],[wat_bas_n]])/(B60-Estimates_of_the_use_of_water__2000_2020[[#This Row],[year]]))</f>
        <v>7.08814799999999E-2</v>
      </c>
      <c r="H59">
        <f>((N60-Estimates_of_the_use_of_water__2000_2020[[#This Row],[wat_bas_r]])/(B60-Estimates_of_the_use_of_water__2000_2020[[#This Row],[year]]))</f>
        <v>-19.809999999999999</v>
      </c>
      <c r="I59">
        <f>(R60-Estimates_of_the_use_of_water__2000_2020[[#This Row],[wat_bas_u]])/(B60-Estimates_of_the_use_of_water__2000_2020[[#This Row],[year]])</f>
        <v>-19.93</v>
      </c>
      <c r="J59">
        <f>ABS(Estimates_of_the_use_of_water__2000_2020[[#This Row],[ARC_r]]-Estimates_of_the_use_of_water__2000_2020[[#This Row],[ARC_u]])</f>
        <v>0.12000000000000099</v>
      </c>
      <c r="K59">
        <v>0</v>
      </c>
      <c r="L59">
        <v>0.13561643840000001</v>
      </c>
      <c r="M59">
        <v>0</v>
      </c>
    </row>
    <row r="60" spans="1:21" x14ac:dyDescent="0.25">
      <c r="A60" s="1" t="s">
        <v>70</v>
      </c>
      <c r="B60">
        <v>2015</v>
      </c>
      <c r="C60">
        <f>IF(A61=Estimates_of_the_use_of_water__2000_2020[[#This Row],[name]], B61-Estimates_of_the_use_of_water__2000_2020[[#This Row],[year]],"")</f>
        <v>5</v>
      </c>
      <c r="D60">
        <v>414.91400149999998</v>
      </c>
      <c r="E60">
        <v>76.662994380000001</v>
      </c>
      <c r="F60">
        <v>99.509976159999994</v>
      </c>
      <c r="G60">
        <f>((F61-Estimates_of_the_use_of_water__2000_2020[[#This Row],[wat_bas_n]])/(B61-Estimates_of_the_use_of_water__2000_2020[[#This Row],[year]]))</f>
        <v>7.8012128000000305E-2</v>
      </c>
      <c r="H60">
        <f>((N61-Estimates_of_the_use_of_water__2000_2020[[#This Row],[wat_bas_r]])/(B61-Estimates_of_the_use_of_water__2000_2020[[#This Row],[year]]))</f>
        <v>-19.809999999999999</v>
      </c>
      <c r="I60">
        <f>(R61-Estimates_of_the_use_of_water__2000_2020[[#This Row],[wat_bas_u]])/(B61-Estimates_of_the_use_of_water__2000_2020[[#This Row],[year]])</f>
        <v>0</v>
      </c>
      <c r="J60">
        <f>ABS(Estimates_of_the_use_of_water__2000_2020[[#This Row],[ARC_r]]-Estimates_of_the_use_of_water__2000_2020[[#This Row],[ARC_u]])</f>
        <v>19.809999999999999</v>
      </c>
      <c r="K60">
        <v>0</v>
      </c>
      <c r="L60">
        <v>0.39667583379999999</v>
      </c>
      <c r="M60">
        <v>9.3348002949999995E-2</v>
      </c>
      <c r="N60">
        <v>99.05</v>
      </c>
      <c r="O60">
        <v>0</v>
      </c>
      <c r="P60">
        <v>0.55000000000000004</v>
      </c>
      <c r="Q60">
        <v>0.4</v>
      </c>
      <c r="R60">
        <v>99.65</v>
      </c>
      <c r="S60">
        <v>0</v>
      </c>
      <c r="T60">
        <v>0.35</v>
      </c>
      <c r="U60">
        <v>0</v>
      </c>
    </row>
    <row r="61" spans="1:21" x14ac:dyDescent="0.25">
      <c r="A61" s="1" t="s">
        <v>70</v>
      </c>
      <c r="B61">
        <v>2020</v>
      </c>
      <c r="C61" t="str">
        <f>IF(A62=Estimates_of_the_use_of_water__2000_2020[[#This Row],[name]], B62-Estimates_of_the_use_of_water__2000_2020[[#This Row],[year]],"")</f>
        <v/>
      </c>
      <c r="D61">
        <v>437.48300169999999</v>
      </c>
      <c r="E61">
        <v>78.250007629999999</v>
      </c>
      <c r="F61">
        <v>99.900036799999995</v>
      </c>
      <c r="G61">
        <f>((F62-Estimates_of_the_use_of_water__2000_2020[[#This Row],[wat_bas_n]])/(B62-Estimates_of_the_use_of_water__2000_2020[[#This Row],[year]]))</f>
        <v>0.14074189799999887</v>
      </c>
      <c r="H61">
        <f>((N62-Estimates_of_the_use_of_water__2000_2020[[#This Row],[wat_bas_r]])/(B62-Estimates_of_the_use_of_water__2000_2020[[#This Row],[year]]))</f>
        <v>-19.603228068</v>
      </c>
      <c r="I61">
        <f>(R62-Estimates_of_the_use_of_water__2000_2020[[#This Row],[wat_bas_u]])/(B62-Estimates_of_the_use_of_water__2000_2020[[#This Row],[year]])</f>
        <v>7.7584560000019563E-3</v>
      </c>
      <c r="J61">
        <f>ABS(Estimates_of_the_use_of_water__2000_2020[[#This Row],[ARC_r]]-Estimates_of_the_use_of_water__2000_2020[[#This Row],[ARC_u]])</f>
        <v>19.610986524000001</v>
      </c>
      <c r="K61">
        <v>0</v>
      </c>
      <c r="L61">
        <v>9.9963200360000004E-2</v>
      </c>
      <c r="M61">
        <v>0</v>
      </c>
      <c r="R61">
        <v>99.65</v>
      </c>
      <c r="S61">
        <v>0</v>
      </c>
      <c r="T61">
        <v>0.35</v>
      </c>
      <c r="U61">
        <v>0</v>
      </c>
    </row>
    <row r="62" spans="1:21" x14ac:dyDescent="0.25">
      <c r="A62" s="1" t="s">
        <v>99</v>
      </c>
      <c r="B62">
        <v>2015</v>
      </c>
      <c r="C62">
        <f>IF(A63=Estimates_of_the_use_of_water__2000_2020[[#This Row],[name]], B63-Estimates_of_the_use_of_water__2000_2020[[#This Row],[year]],"")</f>
        <v>5</v>
      </c>
      <c r="D62">
        <v>7199.7387699999999</v>
      </c>
      <c r="E62">
        <v>73.989997860000003</v>
      </c>
      <c r="F62">
        <v>99.196327310000001</v>
      </c>
      <c r="G62">
        <f>((F63-Estimates_of_the_use_of_water__2000_2020[[#This Row],[wat_bas_n]])/(B63-Estimates_of_the_use_of_water__2000_2020[[#This Row],[year]]))</f>
        <v>-3.6982073999999442E-2</v>
      </c>
      <c r="H62">
        <f>((N63-Estimates_of_the_use_of_water__2000_2020[[#This Row],[wat_bas_r]])/(B63-Estimates_of_the_use_of_water__2000_2020[[#This Row],[year]]))</f>
        <v>-0.12297047400000168</v>
      </c>
      <c r="I62">
        <f>(R63-Estimates_of_the_use_of_water__2000_2020[[#This Row],[wat_bas_u]])/(B63-Estimates_of_the_use_of_water__2000_2020[[#This Row],[year]])</f>
        <v>-1.6507464000000027E-2</v>
      </c>
      <c r="J62">
        <f>ABS(Estimates_of_the_use_of_water__2000_2020[[#This Row],[ARC_r]]-Estimates_of_the_use_of_water__2000_2020[[#This Row],[ARC_u]])</f>
        <v>0.10646301000000165</v>
      </c>
      <c r="K62">
        <v>0</v>
      </c>
      <c r="L62">
        <v>0.80367269050000001</v>
      </c>
      <c r="M62">
        <v>0</v>
      </c>
      <c r="N62">
        <v>98.016140340000007</v>
      </c>
      <c r="O62">
        <v>0</v>
      </c>
      <c r="P62">
        <v>1.98385966</v>
      </c>
      <c r="Q62">
        <v>0</v>
      </c>
      <c r="R62">
        <v>99.611207719999996</v>
      </c>
      <c r="S62">
        <v>0</v>
      </c>
      <c r="T62">
        <v>0.3887922761</v>
      </c>
      <c r="U62">
        <v>0</v>
      </c>
    </row>
    <row r="63" spans="1:21" x14ac:dyDescent="0.25">
      <c r="A63" s="1" t="s">
        <v>99</v>
      </c>
      <c r="B63">
        <v>2020</v>
      </c>
      <c r="C63" t="str">
        <f>IF(A64=Estimates_of_the_use_of_water__2000_2020[[#This Row],[name]], B64-Estimates_of_the_use_of_water__2000_2020[[#This Row],[year]],"")</f>
        <v/>
      </c>
      <c r="D63">
        <v>6948.4448240000002</v>
      </c>
      <c r="E63">
        <v>75.685997009999994</v>
      </c>
      <c r="F63">
        <v>99.011416940000004</v>
      </c>
      <c r="G63">
        <f>((F64-Estimates_of_the_use_of_water__2000_2020[[#This Row],[wat_bas_n]])/(B64-Estimates_of_the_use_of_water__2000_2020[[#This Row],[year]]))</f>
        <v>9.7748571700000007</v>
      </c>
      <c r="H63">
        <f>((N64-Estimates_of_the_use_of_water__2000_2020[[#This Row],[wat_bas_r]])/(B64-Estimates_of_the_use_of_water__2000_2020[[#This Row],[year]]))</f>
        <v>11.709224854</v>
      </c>
      <c r="I63">
        <f>(R64-Estimates_of_the_use_of_water__2000_2020[[#This Row],[wat_bas_u]])/(B64-Estimates_of_the_use_of_water__2000_2020[[#This Row],[year]])</f>
        <v>3.9385756479999996</v>
      </c>
      <c r="J63">
        <f>ABS(Estimates_of_the_use_of_water__2000_2020[[#This Row],[ARC_r]]-Estimates_of_the_use_of_water__2000_2020[[#This Row],[ARC_u]])</f>
        <v>7.7706492060000008</v>
      </c>
      <c r="K63">
        <v>0</v>
      </c>
      <c r="L63">
        <v>0.98858306070000002</v>
      </c>
      <c r="M63">
        <v>0</v>
      </c>
      <c r="N63">
        <v>97.401287969999998</v>
      </c>
      <c r="O63">
        <v>0</v>
      </c>
      <c r="P63">
        <v>2.5987120309999998</v>
      </c>
      <c r="Q63">
        <v>0</v>
      </c>
      <c r="R63">
        <v>99.528670399999996</v>
      </c>
      <c r="S63">
        <v>0</v>
      </c>
      <c r="T63">
        <v>0.47132960070000002</v>
      </c>
      <c r="U63">
        <v>0</v>
      </c>
    </row>
    <row r="64" spans="1:21" x14ac:dyDescent="0.25">
      <c r="A64" s="1" t="s">
        <v>239</v>
      </c>
      <c r="B64">
        <v>2015</v>
      </c>
      <c r="C64">
        <f>IF(A65=Estimates_of_the_use_of_water__2000_2020[[#This Row],[name]], B65-Estimates_of_the_use_of_water__2000_2020[[#This Row],[year]],"")</f>
        <v>5</v>
      </c>
      <c r="D64">
        <v>18110.615229999999</v>
      </c>
      <c r="E64">
        <v>27.530000690000001</v>
      </c>
      <c r="F64">
        <v>50.137131089999997</v>
      </c>
      <c r="G64">
        <f>((F65-Estimates_of_the_use_of_water__2000_2020[[#This Row],[wat_bas_n]])/(B65-Estimates_of_the_use_of_water__2000_2020[[#This Row],[year]]))</f>
        <v>-0.58445532599999983</v>
      </c>
      <c r="H64">
        <f>((N65-Estimates_of_the_use_of_water__2000_2020[[#This Row],[wat_bas_r]])/(B65-Estimates_of_the_use_of_water__2000_2020[[#This Row],[year]]))</f>
        <v>-1.2273809599999992</v>
      </c>
      <c r="I64">
        <f>(R65-Estimates_of_the_use_of_water__2000_2020[[#This Row],[wat_bas_u]])/(B65-Estimates_of_the_use_of_water__2000_2020[[#This Row],[year]])</f>
        <v>4.9225276000001372E-2</v>
      </c>
      <c r="J64">
        <f>ABS(Estimates_of_the_use_of_water__2000_2020[[#This Row],[ARC_r]]-Estimates_of_the_use_of_water__2000_2020[[#This Row],[ARC_u]])</f>
        <v>1.2766062360000006</v>
      </c>
      <c r="K64">
        <v>25.67354095</v>
      </c>
      <c r="L64">
        <v>22.430178909999999</v>
      </c>
      <c r="M64">
        <v>1.7591490430000001</v>
      </c>
      <c r="N64">
        <v>38.855163699999999</v>
      </c>
      <c r="O64">
        <v>30.202184890000002</v>
      </c>
      <c r="P64">
        <v>28.648694299999999</v>
      </c>
      <c r="Q64">
        <v>2.2939571060000001</v>
      </c>
      <c r="R64">
        <v>79.835792159999997</v>
      </c>
      <c r="S64">
        <v>13.75233459</v>
      </c>
      <c r="T64">
        <v>6.0605534319999999</v>
      </c>
      <c r="U64">
        <v>0.35131981779999999</v>
      </c>
    </row>
    <row r="65" spans="1:21" x14ac:dyDescent="0.25">
      <c r="A65" s="1" t="s">
        <v>239</v>
      </c>
      <c r="B65">
        <v>2020</v>
      </c>
      <c r="C65" t="str">
        <f>IF(A66=Estimates_of_the_use_of_water__2000_2020[[#This Row],[name]], B66-Estimates_of_the_use_of_water__2000_2020[[#This Row],[year]],"")</f>
        <v/>
      </c>
      <c r="D65">
        <v>20903.277340000001</v>
      </c>
      <c r="E65">
        <v>30.60700035</v>
      </c>
      <c r="F65">
        <v>47.214854459999998</v>
      </c>
      <c r="G65">
        <f>((F66-Estimates_of_the_use_of_water__2000_2020[[#This Row],[wat_bas_n]])/(B66-Estimates_of_the_use_of_water__2000_2020[[#This Row],[year]]))</f>
        <v>-2.4733229579999998</v>
      </c>
      <c r="H65">
        <f>((N66-Estimates_of_the_use_of_water__2000_2020[[#This Row],[wat_bas_r]])/(B66-Estimates_of_the_use_of_water__2000_2020[[#This Row],[year]]))</f>
        <v>-4.5680016019999998</v>
      </c>
      <c r="I65">
        <f>(R66-Estimates_of_the_use_of_water__2000_2020[[#This Row],[wat_bas_u]])/(B66-Estimates_of_the_use_of_water__2000_2020[[#This Row],[year]])</f>
        <v>-1.7573038099999991</v>
      </c>
      <c r="J65">
        <f>ABS(Estimates_of_the_use_of_water__2000_2020[[#This Row],[ARC_r]]-Estimates_of_the_use_of_water__2000_2020[[#This Row],[ARC_u]])</f>
        <v>2.8106977920000009</v>
      </c>
      <c r="K65">
        <v>31.2730034</v>
      </c>
      <c r="L65">
        <v>21.15863263</v>
      </c>
      <c r="M65">
        <v>0.35350950240000001</v>
      </c>
      <c r="N65">
        <v>32.718258900000002</v>
      </c>
      <c r="O65">
        <v>38.626902540000003</v>
      </c>
      <c r="P65">
        <v>28.3404457</v>
      </c>
      <c r="Q65">
        <v>0.31439286259999999</v>
      </c>
      <c r="R65">
        <v>80.081918540000004</v>
      </c>
      <c r="S65">
        <v>14.60004919</v>
      </c>
      <c r="T65">
        <v>4.8758364869999999</v>
      </c>
      <c r="U65">
        <v>0.44219578050000002</v>
      </c>
    </row>
    <row r="66" spans="1:21" x14ac:dyDescent="0.25">
      <c r="A66" s="1" t="s">
        <v>227</v>
      </c>
      <c r="B66">
        <v>2015</v>
      </c>
      <c r="C66">
        <f>IF(A67=Estimates_of_the_use_of_water__2000_2020[[#This Row],[name]], B67-Estimates_of_the_use_of_water__2000_2020[[#This Row],[year]],"")</f>
        <v>5</v>
      </c>
      <c r="D66">
        <v>10160.034180000001</v>
      </c>
      <c r="E66">
        <v>12.07800007</v>
      </c>
      <c r="F66">
        <v>59.581469249999998</v>
      </c>
      <c r="G66">
        <f>((F67-Estimates_of_the_use_of_water__2000_2020[[#This Row],[wat_bas_n]])/(B67-Estimates_of_the_use_of_water__2000_2020[[#This Row],[year]]))</f>
        <v>0.5251306</v>
      </c>
      <c r="H66">
        <f>((N67-Estimates_of_the_use_of_water__2000_2020[[#This Row],[wat_bas_r]])/(B67-Estimates_of_the_use_of_water__2000_2020[[#This Row],[year]]))</f>
        <v>0.42549967199999938</v>
      </c>
      <c r="I66">
        <f>(R67-Estimates_of_the_use_of_water__2000_2020[[#This Row],[wat_bas_u]])/(B67-Estimates_of_the_use_of_water__2000_2020[[#This Row],[year]])</f>
        <v>0.36013465400000089</v>
      </c>
      <c r="J66">
        <f>ABS(Estimates_of_the_use_of_water__2000_2020[[#This Row],[ARC_r]]-Estimates_of_the_use_of_water__2000_2020[[#This Row],[ARC_u]])</f>
        <v>6.5365017999998498E-2</v>
      </c>
      <c r="K66">
        <v>19.538891840000002</v>
      </c>
      <c r="L66">
        <v>14.864992579999999</v>
      </c>
      <c r="M66">
        <v>6.0146463399999996</v>
      </c>
      <c r="N66">
        <v>55.55826691</v>
      </c>
      <c r="O66">
        <v>21.166795570000001</v>
      </c>
      <c r="P66">
        <v>16.594144570000001</v>
      </c>
      <c r="Q66">
        <v>6.6807929509999999</v>
      </c>
      <c r="R66">
        <v>88.868437589999999</v>
      </c>
      <c r="S66">
        <v>7.6885395340000002</v>
      </c>
      <c r="T66">
        <v>2.2776018659999999</v>
      </c>
      <c r="U66">
        <v>1.1654210119999999</v>
      </c>
    </row>
    <row r="67" spans="1:21" x14ac:dyDescent="0.25">
      <c r="A67" s="1" t="s">
        <v>227</v>
      </c>
      <c r="B67">
        <v>2020</v>
      </c>
      <c r="C67" t="str">
        <f>IF(A68=Estimates_of_the_use_of_water__2000_2020[[#This Row],[name]], B68-Estimates_of_the_use_of_water__2000_2020[[#This Row],[year]],"")</f>
        <v/>
      </c>
      <c r="D67">
        <v>11890.78125</v>
      </c>
      <c r="E67">
        <v>13.708000180000001</v>
      </c>
      <c r="F67">
        <v>62.207122249999998</v>
      </c>
      <c r="G67">
        <f>((F68-Estimates_of_the_use_of_water__2000_2020[[#This Row],[wat_bas_n]])/(B68-Estimates_of_the_use_of_water__2000_2020[[#This Row],[year]]))</f>
        <v>-4.6472440239999999</v>
      </c>
      <c r="H67">
        <f>((N68-Estimates_of_the_use_of_water__2000_2020[[#This Row],[wat_bas_r]])/(B68-Estimates_of_the_use_of_water__2000_2020[[#This Row],[year]]))</f>
        <v>-3.0293097680000001</v>
      </c>
      <c r="I67">
        <f>(R68-Estimates_of_the_use_of_water__2000_2020[[#This Row],[wat_bas_u]])/(B68-Estimates_of_the_use_of_water__2000_2020[[#This Row],[year]])</f>
        <v>-0.35520072999999852</v>
      </c>
      <c r="J67">
        <f>ABS(Estimates_of_the_use_of_water__2000_2020[[#This Row],[ARC_r]]-Estimates_of_the_use_of_water__2000_2020[[#This Row],[ARC_u]])</f>
        <v>2.6741090380000014</v>
      </c>
      <c r="K67">
        <v>19.439693139999999</v>
      </c>
      <c r="L67">
        <v>14.758259689999999</v>
      </c>
      <c r="M67">
        <v>3.5949249129999998</v>
      </c>
      <c r="N67">
        <v>57.685765269999997</v>
      </c>
      <c r="O67">
        <v>21.251482129999999</v>
      </c>
      <c r="P67">
        <v>16.896752379999999</v>
      </c>
      <c r="Q67">
        <v>4.1660002189999998</v>
      </c>
      <c r="R67">
        <v>90.669110860000004</v>
      </c>
      <c r="S67">
        <v>8.0344628690000004</v>
      </c>
      <c r="T67">
        <v>1.2964262689999999</v>
      </c>
      <c r="U67">
        <v>0</v>
      </c>
    </row>
    <row r="68" spans="1:21" x14ac:dyDescent="0.25">
      <c r="A68" s="1" t="s">
        <v>187</v>
      </c>
      <c r="B68">
        <v>2015</v>
      </c>
      <c r="C68">
        <f>IF(A69=Estimates_of_the_use_of_water__2000_2020[[#This Row],[name]], B69-Estimates_of_the_use_of_water__2000_2020[[#This Row],[year]],"")</f>
        <v>5</v>
      </c>
      <c r="D68">
        <v>524.73999019999997</v>
      </c>
      <c r="E68">
        <v>64.299995420000002</v>
      </c>
      <c r="F68">
        <v>85.443342369999996</v>
      </c>
      <c r="G68">
        <f>((F69-Estimates_of_the_use_of_water__2000_2020[[#This Row],[wat_bas_n]])/(B69-Estimates_of_the_use_of_water__2000_2020[[#This Row],[year]]))</f>
        <v>0.66525281000000125</v>
      </c>
      <c r="H68">
        <f>((N69-Estimates_of_the_use_of_water__2000_2020[[#This Row],[wat_bas_r]])/(B69-Estimates_of_the_use_of_water__2000_2020[[#This Row],[year]]))</f>
        <v>1.4564422659999992</v>
      </c>
      <c r="I68">
        <f>(R69-Estimates_of_the_use_of_water__2000_2020[[#This Row],[wat_bas_u]])/(B69-Estimates_of_the_use_of_water__2000_2020[[#This Row],[year]])</f>
        <v>0.13097709799999963</v>
      </c>
      <c r="J68">
        <f>ABS(Estimates_of_the_use_of_water__2000_2020[[#This Row],[ARC_r]]-Estimates_of_the_use_of_water__2000_2020[[#This Row],[ARC_u]])</f>
        <v>1.3254651679999996</v>
      </c>
      <c r="K68">
        <v>10.253077619999999</v>
      </c>
      <c r="L68">
        <v>4.1519483189999997</v>
      </c>
      <c r="M68">
        <v>0.15163169109999999</v>
      </c>
      <c r="N68">
        <v>72.832314109999999</v>
      </c>
      <c r="O68">
        <v>16.379794579999999</v>
      </c>
      <c r="P68">
        <v>10.436760769999999</v>
      </c>
      <c r="Q68">
        <v>0.35113053970000002</v>
      </c>
      <c r="R68">
        <v>92.445114509999996</v>
      </c>
      <c r="S68">
        <v>6.8514639109999997</v>
      </c>
      <c r="T68">
        <v>0.66255362809999996</v>
      </c>
      <c r="U68">
        <v>4.0867953800000002E-2</v>
      </c>
    </row>
    <row r="69" spans="1:21" x14ac:dyDescent="0.25">
      <c r="A69" s="1" t="s">
        <v>187</v>
      </c>
      <c r="B69">
        <v>2020</v>
      </c>
      <c r="C69" t="str">
        <f>IF(A70=Estimates_of_the_use_of_water__2000_2020[[#This Row],[name]], B70-Estimates_of_the_use_of_water__2000_2020[[#This Row],[year]],"")</f>
        <v/>
      </c>
      <c r="D69">
        <v>555.98797609999997</v>
      </c>
      <c r="E69">
        <v>66.652000430000001</v>
      </c>
      <c r="F69">
        <v>88.769606420000002</v>
      </c>
      <c r="G69">
        <f>((F70-Estimates_of_the_use_of_water__2000_2020[[#This Row],[wat_bas_n]])/(B70-Estimates_of_the_use_of_water__2000_2020[[#This Row],[year]]))</f>
        <v>4.0651514920000009</v>
      </c>
      <c r="H69">
        <f>((N70-Estimates_of_the_use_of_water__2000_2020[[#This Row],[wat_bas_r]])/(B70-Estimates_of_the_use_of_water__2000_2020[[#This Row],[year]]))</f>
        <v>3.480681751999998</v>
      </c>
      <c r="I69">
        <f>(R70-Estimates_of_the_use_of_water__2000_2020[[#This Row],[wat_bas_u]])/(B70-Estimates_of_the_use_of_water__2000_2020[[#This Row],[year]])</f>
        <v>0.9103617119999996</v>
      </c>
      <c r="J69">
        <f>ABS(Estimates_of_the_use_of_water__2000_2020[[#This Row],[ARC_r]]-Estimates_of_the_use_of_water__2000_2020[[#This Row],[ARC_u]])</f>
        <v>2.5703200399999986</v>
      </c>
      <c r="K69">
        <v>7.9041508460000003</v>
      </c>
      <c r="L69">
        <v>3.2091477159999999</v>
      </c>
      <c r="M69">
        <v>0.1170950144</v>
      </c>
      <c r="N69">
        <v>80.114525439999994</v>
      </c>
      <c r="O69">
        <v>9.9111270220000005</v>
      </c>
      <c r="P69">
        <v>9.6232170030000006</v>
      </c>
      <c r="Q69">
        <v>0.35113053970000002</v>
      </c>
      <c r="R69">
        <v>93.1</v>
      </c>
      <c r="S69">
        <v>6.9</v>
      </c>
      <c r="T69">
        <v>0</v>
      </c>
      <c r="U69">
        <v>0</v>
      </c>
    </row>
    <row r="70" spans="1:21" x14ac:dyDescent="0.25">
      <c r="A70" s="1" t="s">
        <v>212</v>
      </c>
      <c r="B70">
        <v>2015</v>
      </c>
      <c r="C70">
        <f>IF(A71=Estimates_of_the_use_of_water__2000_2020[[#This Row],[name]], B71-Estimates_of_the_use_of_water__2000_2020[[#This Row],[year]],"")</f>
        <v>5</v>
      </c>
      <c r="D70">
        <v>15521.434569999999</v>
      </c>
      <c r="E70">
        <v>22.187999730000001</v>
      </c>
      <c r="F70">
        <v>68.443848959999997</v>
      </c>
      <c r="G70">
        <f>((F71-Estimates_of_the_use_of_water__2000_2020[[#This Row],[wat_bas_n]])/(B71-Estimates_of_the_use_of_water__2000_2020[[#This Row],[year]]))</f>
        <v>0.55520720199999973</v>
      </c>
      <c r="H70">
        <f>((N71-Estimates_of_the_use_of_water__2000_2020[[#This Row],[wat_bas_r]])/(B71-Estimates_of_the_use_of_water__2000_2020[[#This Row],[year]]))</f>
        <v>0.47120783000000016</v>
      </c>
      <c r="I70">
        <f>(R71-Estimates_of_the_use_of_water__2000_2020[[#This Row],[wat_bas_u]])/(B71-Estimates_of_the_use_of_water__2000_2020[[#This Row],[year]])</f>
        <v>0.38197714599999982</v>
      </c>
      <c r="J70">
        <f>ABS(Estimates_of_the_use_of_water__2000_2020[[#This Row],[ARC_r]]-Estimates_of_the_use_of_water__2000_2020[[#This Row],[ARC_u]])</f>
        <v>8.9230684000000338E-2</v>
      </c>
      <c r="K70">
        <v>8.6032481930000007</v>
      </c>
      <c r="L70">
        <v>9.6029948170000008</v>
      </c>
      <c r="M70">
        <v>13.34990803</v>
      </c>
      <c r="N70">
        <v>62.711116680000003</v>
      </c>
      <c r="O70">
        <v>9.432045638</v>
      </c>
      <c r="P70">
        <v>11.750895959999999</v>
      </c>
      <c r="Q70">
        <v>16.105941720000001</v>
      </c>
      <c r="R70">
        <v>88.548191439999997</v>
      </c>
      <c r="S70">
        <v>5.6967034720000003</v>
      </c>
      <c r="T70">
        <v>2.0704456869999999</v>
      </c>
      <c r="U70">
        <v>3.6846594000000001</v>
      </c>
    </row>
    <row r="71" spans="1:21" x14ac:dyDescent="0.25">
      <c r="A71" s="1" t="s">
        <v>212</v>
      </c>
      <c r="B71">
        <v>2020</v>
      </c>
      <c r="C71" t="str">
        <f>IF(A72=Estimates_of_the_use_of_water__2000_2020[[#This Row],[name]], B72-Estimates_of_the_use_of_water__2000_2020[[#This Row],[year]],"")</f>
        <v/>
      </c>
      <c r="D71">
        <v>16718.970700000002</v>
      </c>
      <c r="E71">
        <v>24.23200035</v>
      </c>
      <c r="F71">
        <v>71.219884969999995</v>
      </c>
      <c r="G71">
        <f>((F72-Estimates_of_the_use_of_water__2000_2020[[#This Row],[wat_bas_n]])/(B72-Estimates_of_the_use_of_water__2000_2020[[#This Row],[year]]))</f>
        <v>1.4491789699999984</v>
      </c>
      <c r="H71">
        <f>((N72-Estimates_of_the_use_of_water__2000_2020[[#This Row],[wat_bas_r]])/(B72-Estimates_of_the_use_of_water__2000_2020[[#This Row],[year]]))</f>
        <v>4.6122973240000009</v>
      </c>
      <c r="I71">
        <f>(R72-Estimates_of_the_use_of_water__2000_2020[[#This Row],[wat_bas_u]])/(B72-Estimates_of_the_use_of_water__2000_2020[[#This Row],[year]])</f>
        <v>1.6402338520000002</v>
      </c>
      <c r="J71">
        <f>ABS(Estimates_of_the_use_of_water__2000_2020[[#This Row],[ARC_r]]-Estimates_of_the_use_of_water__2000_2020[[#This Row],[ARC_u]])</f>
        <v>2.9720634720000008</v>
      </c>
      <c r="K71">
        <v>13.90222204</v>
      </c>
      <c r="L71">
        <v>5.6772185579999999</v>
      </c>
      <c r="M71">
        <v>9.2006744339999997</v>
      </c>
      <c r="N71">
        <v>65.067155830000004</v>
      </c>
      <c r="O71">
        <v>15.51772278</v>
      </c>
      <c r="P71">
        <v>7.4928993070000001</v>
      </c>
      <c r="Q71">
        <v>11.92222209</v>
      </c>
      <c r="R71">
        <v>90.458077169999996</v>
      </c>
      <c r="S71">
        <v>8.8509147200000005</v>
      </c>
      <c r="T71">
        <v>0</v>
      </c>
      <c r="U71">
        <v>0.69100811439999998</v>
      </c>
    </row>
    <row r="72" spans="1:21" x14ac:dyDescent="0.25">
      <c r="A72" s="1" t="s">
        <v>219</v>
      </c>
      <c r="B72">
        <v>2015</v>
      </c>
      <c r="C72">
        <f>IF(A73=Estimates_of_the_use_of_water__2000_2020[[#This Row],[name]], B73-Estimates_of_the_use_of_water__2000_2020[[#This Row],[year]],"")</f>
        <v>5</v>
      </c>
      <c r="D72">
        <v>23298.376950000002</v>
      </c>
      <c r="E72">
        <v>54.57799911</v>
      </c>
      <c r="F72">
        <v>63.973990120000003</v>
      </c>
      <c r="G72">
        <f>((F73-Estimates_of_the_use_of_water__2000_2020[[#This Row],[wat_bas_n]])/(B73-Estimates_of_the_use_of_water__2000_2020[[#This Row],[year]]))</f>
        <v>0.34928561199999847</v>
      </c>
      <c r="H72">
        <f>((N73-Estimates_of_the_use_of_water__2000_2020[[#This Row],[wat_bas_r]])/(B73-Estimates_of_the_use_of_water__2000_2020[[#This Row],[year]]))</f>
        <v>0.30438238200000001</v>
      </c>
      <c r="I72">
        <f>(R73-Estimates_of_the_use_of_water__2000_2020[[#This Row],[wat_bas_u]])/(B73-Estimates_of_the_use_of_water__2000_2020[[#This Row],[year]])</f>
        <v>-3.4664609999998673E-2</v>
      </c>
      <c r="J72">
        <f>ABS(Estimates_of_the_use_of_water__2000_2020[[#This Row],[ARC_r]]-Estimates_of_the_use_of_water__2000_2020[[#This Row],[ARC_u]])</f>
        <v>0.33904699199999866</v>
      </c>
      <c r="K72">
        <v>11.23827056</v>
      </c>
      <c r="L72">
        <v>17.651358330000001</v>
      </c>
      <c r="M72">
        <v>7.1363809839999996</v>
      </c>
      <c r="N72">
        <v>42.005669210000001</v>
      </c>
      <c r="O72">
        <v>11.073386409999999</v>
      </c>
      <c r="P72">
        <v>32.39404459</v>
      </c>
      <c r="Q72">
        <v>14.52689979</v>
      </c>
      <c r="R72">
        <v>82.256907909999995</v>
      </c>
      <c r="S72">
        <v>11.37549377</v>
      </c>
      <c r="T72">
        <v>5.3819035130000001</v>
      </c>
      <c r="U72">
        <v>0.98569480279999999</v>
      </c>
    </row>
    <row r="73" spans="1:21" x14ac:dyDescent="0.25">
      <c r="A73" s="1" t="s">
        <v>219</v>
      </c>
      <c r="B73">
        <v>2020</v>
      </c>
      <c r="C73" t="str">
        <f>IF(A74=Estimates_of_the_use_of_water__2000_2020[[#This Row],[name]], B74-Estimates_of_the_use_of_water__2000_2020[[#This Row],[year]],"")</f>
        <v/>
      </c>
      <c r="D73">
        <v>26545.863280000001</v>
      </c>
      <c r="E73">
        <v>57.560005189999998</v>
      </c>
      <c r="F73">
        <v>65.720418179999996</v>
      </c>
      <c r="G73">
        <f>((F74-Estimates_of_the_use_of_water__2000_2020[[#This Row],[wat_bas_n]])/(B74-Estimates_of_the_use_of_water__2000_2020[[#This Row],[year]]))</f>
        <v>-6.7017606420000018</v>
      </c>
      <c r="H73">
        <f>((N74-Estimates_of_the_use_of_water__2000_2020[[#This Row],[wat_bas_r]])/(B74-Estimates_of_the_use_of_water__2000_2020[[#This Row],[year]]))</f>
        <v>-11.057722792</v>
      </c>
      <c r="I73">
        <f>(R74-Estimates_of_the_use_of_water__2000_2020[[#This Row],[wat_bas_u]])/(B74-Estimates_of_the_use_of_water__2000_2020[[#This Row],[year]])</f>
        <v>-3.4481787980000007</v>
      </c>
      <c r="J73">
        <f>ABS(Estimates_of_the_use_of_water__2000_2020[[#This Row],[ARC_r]]-Estimates_of_the_use_of_water__2000_2020[[#This Row],[ARC_u]])</f>
        <v>7.6095439939999991</v>
      </c>
      <c r="K73">
        <v>12.874748629999999</v>
      </c>
      <c r="L73">
        <v>15.00100626</v>
      </c>
      <c r="M73">
        <v>6.4038269269999999</v>
      </c>
      <c r="N73">
        <v>43.527581120000001</v>
      </c>
      <c r="O73">
        <v>12.67259943</v>
      </c>
      <c r="P73">
        <v>30.12380645</v>
      </c>
      <c r="Q73">
        <v>13.676012999999999</v>
      </c>
      <c r="R73">
        <v>82.083584860000002</v>
      </c>
      <c r="S73">
        <v>13.023796770000001</v>
      </c>
      <c r="T73">
        <v>3.8507013510000001</v>
      </c>
      <c r="U73">
        <v>1.041917019</v>
      </c>
    </row>
    <row r="74" spans="1:21" x14ac:dyDescent="0.25">
      <c r="A74" s="1" t="s">
        <v>98</v>
      </c>
      <c r="B74">
        <v>2015</v>
      </c>
      <c r="C74">
        <f>IF(A75=Estimates_of_the_use_of_water__2000_2020[[#This Row],[name]], B75-Estimates_of_the_use_of_water__2000_2020[[#This Row],[year]],"")</f>
        <v>5</v>
      </c>
      <c r="D74">
        <v>36026.667970000002</v>
      </c>
      <c r="E74">
        <v>81.259002690000003</v>
      </c>
      <c r="F74">
        <v>99.229221390000006</v>
      </c>
      <c r="G74">
        <f>((F75-Estimates_of_the_use_of_water__2000_2020[[#This Row],[wat_bas_n]])/(B75-Estimates_of_the_use_of_water__2000_2020[[#This Row],[year]]))</f>
        <v>-1.4821460000007391E-3</v>
      </c>
      <c r="H74">
        <f>((N75-Estimates_of_the_use_of_water__2000_2020[[#This Row],[wat_bas_r]])/(B75-Estimates_of_the_use_of_water__2000_2020[[#This Row],[year]]))</f>
        <v>4.8860164000001302E-2</v>
      </c>
      <c r="I74">
        <f>(R75-Estimates_of_the_use_of_water__2000_2020[[#This Row],[wat_bas_u]])/(B75-Estimates_of_the_use_of_water__2000_2020[[#This Row],[year]])</f>
        <v>-1.3240238000000204E-2</v>
      </c>
      <c r="J74">
        <f>ABS(Estimates_of_the_use_of_water__2000_2020[[#This Row],[ARC_r]]-Estimates_of_the_use_of_water__2000_2020[[#This Row],[ARC_u]])</f>
        <v>6.2100402000001505E-2</v>
      </c>
      <c r="K74">
        <v>0</v>
      </c>
      <c r="L74">
        <v>0.77077860909999996</v>
      </c>
      <c r="M74">
        <v>0</v>
      </c>
      <c r="N74">
        <v>98.81619508</v>
      </c>
      <c r="O74">
        <v>0</v>
      </c>
      <c r="P74">
        <v>1.183804922</v>
      </c>
      <c r="Q74">
        <v>0</v>
      </c>
      <c r="R74">
        <v>99.324478850000006</v>
      </c>
      <c r="S74">
        <v>0</v>
      </c>
      <c r="T74">
        <v>0.67552114730000001</v>
      </c>
      <c r="U74">
        <v>0</v>
      </c>
    </row>
    <row r="75" spans="1:21" x14ac:dyDescent="0.25">
      <c r="A75" s="1" t="s">
        <v>98</v>
      </c>
      <c r="B75">
        <v>2020</v>
      </c>
      <c r="C75" t="str">
        <f>IF(A76=Estimates_of_the_use_of_water__2000_2020[[#This Row],[name]], B76-Estimates_of_the_use_of_water__2000_2020[[#This Row],[year]],"")</f>
        <v/>
      </c>
      <c r="D75">
        <v>37742.15625</v>
      </c>
      <c r="E75">
        <v>81.562004090000002</v>
      </c>
      <c r="F75">
        <v>99.221810660000003</v>
      </c>
      <c r="G75">
        <f>((F76-Estimates_of_the_use_of_water__2000_2020[[#This Row],[wat_bas_n]])/(B76-Estimates_of_the_use_of_water__2000_2020[[#This Row],[year]]))</f>
        <v>0.61936213200000056</v>
      </c>
      <c r="H75">
        <f>((N76-Estimates_of_the_use_of_water__2000_2020[[#This Row],[wat_bas_r]])/(B76-Estimates_of_the_use_of_water__2000_2020[[#This Row],[year]]))</f>
        <v>19.812099180000001</v>
      </c>
      <c r="I75">
        <f>(R76-Estimates_of_the_use_of_water__2000_2020[[#This Row],[wat_bas_u]])/(B76-Estimates_of_the_use_of_water__2000_2020[[#This Row],[year]])</f>
        <v>0.6266555320000009</v>
      </c>
      <c r="J75">
        <f>ABS(Estimates_of_the_use_of_water__2000_2020[[#This Row],[ARC_r]]-Estimates_of_the_use_of_water__2000_2020[[#This Row],[ARC_u]])</f>
        <v>19.185443648</v>
      </c>
      <c r="K75">
        <v>0</v>
      </c>
      <c r="L75">
        <v>0.77818933690000003</v>
      </c>
      <c r="M75">
        <v>0</v>
      </c>
      <c r="N75">
        <v>99.060495900000006</v>
      </c>
      <c r="O75">
        <v>0</v>
      </c>
      <c r="P75">
        <v>0.9395041006</v>
      </c>
      <c r="Q75">
        <v>0</v>
      </c>
      <c r="R75">
        <v>99.258277660000005</v>
      </c>
      <c r="S75">
        <v>0</v>
      </c>
      <c r="T75">
        <v>0.74172233710000002</v>
      </c>
      <c r="U75">
        <v>0</v>
      </c>
    </row>
    <row r="76" spans="1:21" x14ac:dyDescent="0.25">
      <c r="A76" s="1" t="s">
        <v>143</v>
      </c>
      <c r="B76">
        <v>2015</v>
      </c>
      <c r="C76">
        <f>IF(A77=Estimates_of_the_use_of_water__2000_2020[[#This Row],[name]], B77-Estimates_of_the_use_of_water__2000_2020[[#This Row],[year]],"")</f>
        <v>1</v>
      </c>
      <c r="D76">
        <v>61.721000670000002</v>
      </c>
      <c r="E76">
        <v>100</v>
      </c>
      <c r="F76">
        <v>96.125</v>
      </c>
      <c r="G76">
        <f>((F77-Estimates_of_the_use_of_water__2000_2020[[#This Row],[wat_bas_n]])/(B77-Estimates_of_the_use_of_water__2000_2020[[#This Row],[year]]))</f>
        <v>0</v>
      </c>
      <c r="H76">
        <f>((N77-Estimates_of_the_use_of_water__2000_2020[[#This Row],[wat_bas_r]])/(B77-Estimates_of_the_use_of_water__2000_2020[[#This Row],[year]]))</f>
        <v>0</v>
      </c>
      <c r="I76">
        <f>(R77-Estimates_of_the_use_of_water__2000_2020[[#This Row],[wat_bas_u]])/(B77-Estimates_of_the_use_of_water__2000_2020[[#This Row],[year]])</f>
        <v>0</v>
      </c>
      <c r="J76">
        <f>ABS(Estimates_of_the_use_of_water__2000_2020[[#This Row],[ARC_r]]-Estimates_of_the_use_of_water__2000_2020[[#This Row],[ARC_u]])</f>
        <v>0</v>
      </c>
      <c r="K76">
        <v>0</v>
      </c>
      <c r="L76">
        <v>3.875</v>
      </c>
      <c r="M76">
        <v>0</v>
      </c>
      <c r="R76">
        <v>96.125</v>
      </c>
      <c r="S76">
        <v>0</v>
      </c>
      <c r="T76">
        <v>3.875</v>
      </c>
      <c r="U76">
        <v>0</v>
      </c>
    </row>
    <row r="77" spans="1:21" x14ac:dyDescent="0.25">
      <c r="A77" s="1" t="s">
        <v>143</v>
      </c>
      <c r="B77">
        <v>2016</v>
      </c>
      <c r="C77" t="str">
        <f>IF(A78=Estimates_of_the_use_of_water__2000_2020[[#This Row],[name]], B78-Estimates_of_the_use_of_water__2000_2020[[#This Row],[year]],"")</f>
        <v/>
      </c>
      <c r="D77">
        <v>62.563999180000003</v>
      </c>
      <c r="E77">
        <v>100</v>
      </c>
      <c r="F77">
        <v>96.125</v>
      </c>
      <c r="G77">
        <f>((F78-Estimates_of_the_use_of_water__2000_2020[[#This Row],[wat_bas_n]])/(B78-Estimates_of_the_use_of_water__2000_2020[[#This Row],[year]]))</f>
        <v>53.813654579999998</v>
      </c>
      <c r="H77">
        <f>((N78-Estimates_of_the_use_of_water__2000_2020[[#This Row],[wat_bas_r]])/(B78-Estimates_of_the_use_of_water__2000_2020[[#This Row],[year]]))</f>
        <v>-31.891407789999999</v>
      </c>
      <c r="I77">
        <f>(R78-Estimates_of_the_use_of_water__2000_2020[[#This Row],[wat_bas_u]])/(B78-Estimates_of_the_use_of_water__2000_2020[[#This Row],[year]])</f>
        <v>38.36290099</v>
      </c>
      <c r="J77">
        <f>ABS(Estimates_of_the_use_of_water__2000_2020[[#This Row],[ARC_r]]-Estimates_of_the_use_of_water__2000_2020[[#This Row],[ARC_u]])</f>
        <v>70.254308780000002</v>
      </c>
      <c r="K77">
        <v>0</v>
      </c>
      <c r="L77">
        <v>3.875</v>
      </c>
      <c r="M77">
        <v>0</v>
      </c>
      <c r="R77">
        <v>96.125</v>
      </c>
      <c r="S77">
        <v>0</v>
      </c>
      <c r="T77">
        <v>3.875</v>
      </c>
      <c r="U77">
        <v>0</v>
      </c>
    </row>
    <row r="78" spans="1:21" x14ac:dyDescent="0.25">
      <c r="A78" s="1" t="s">
        <v>245</v>
      </c>
      <c r="B78">
        <v>2015</v>
      </c>
      <c r="C78">
        <f>IF(A79=Estimates_of_the_use_of_water__2000_2020[[#This Row],[name]], B79-Estimates_of_the_use_of_water__2000_2020[[#This Row],[year]],"")</f>
        <v>5</v>
      </c>
      <c r="D78">
        <v>4493.1708980000003</v>
      </c>
      <c r="E78">
        <v>40.277000430000001</v>
      </c>
      <c r="F78">
        <v>42.311345420000002</v>
      </c>
      <c r="G78">
        <f>((F79-Estimates_of_the_use_of_water__2000_2020[[#This Row],[wat_bas_n]])/(B79-Estimates_of_the_use_of_water__2000_2020[[#This Row],[year]]))</f>
        <v>-1.0217886739999997</v>
      </c>
      <c r="H78">
        <f>((N79-Estimates_of_the_use_of_water__2000_2020[[#This Row],[wat_bas_r]])/(B79-Estimates_of_the_use_of_water__2000_2020[[#This Row],[year]]))</f>
        <v>-0.75696272799999986</v>
      </c>
      <c r="I78">
        <f>(R79-Estimates_of_the_use_of_water__2000_2020[[#This Row],[wat_bas_u]])/(B79-Estimates_of_the_use_of_water__2000_2020[[#This Row],[year]])</f>
        <v>-1.6200868119999996</v>
      </c>
      <c r="J78">
        <f>ABS(Estimates_of_the_use_of_water__2000_2020[[#This Row],[ARC_r]]-Estimates_of_the_use_of_water__2000_2020[[#This Row],[ARC_u]])</f>
        <v>0.86312408399999974</v>
      </c>
      <c r="K78">
        <v>21.343997179999999</v>
      </c>
      <c r="L78">
        <v>32.010174079999999</v>
      </c>
      <c r="M78">
        <v>4.3344833180000002</v>
      </c>
      <c r="N78">
        <v>31.891407789999999</v>
      </c>
      <c r="O78">
        <v>17.35785358</v>
      </c>
      <c r="P78">
        <v>43.702609250000002</v>
      </c>
      <c r="Q78">
        <v>7.0481293919999999</v>
      </c>
      <c r="R78">
        <v>57.76209901</v>
      </c>
      <c r="S78">
        <v>27.25467806</v>
      </c>
      <c r="T78">
        <v>14.67255123</v>
      </c>
      <c r="U78">
        <v>0.31067170900000002</v>
      </c>
    </row>
    <row r="79" spans="1:21" x14ac:dyDescent="0.25">
      <c r="A79" s="1" t="s">
        <v>245</v>
      </c>
      <c r="B79">
        <v>2020</v>
      </c>
      <c r="C79" t="str">
        <f>IF(A80=Estimates_of_the_use_of_water__2000_2020[[#This Row],[name]], B80-Estimates_of_the_use_of_water__2000_2020[[#This Row],[year]],"")</f>
        <v/>
      </c>
      <c r="D79">
        <v>4829.7641599999997</v>
      </c>
      <c r="E79">
        <v>42.197998050000002</v>
      </c>
      <c r="F79">
        <v>37.202402050000003</v>
      </c>
      <c r="G79">
        <f>((F80-Estimates_of_the_use_of_water__2000_2020[[#This Row],[wat_bas_n]])/(B80-Estimates_of_the_use_of_water__2000_2020[[#This Row],[year]]))</f>
        <v>-1.4393389839999997</v>
      </c>
      <c r="H79">
        <f>((N80-Estimates_of_the_use_of_water__2000_2020[[#This Row],[wat_bas_r]])/(B80-Estimates_of_the_use_of_water__2000_2020[[#This Row],[year]]))</f>
        <v>-1.4944613180000004</v>
      </c>
      <c r="I79">
        <f>(R80-Estimates_of_the_use_of_water__2000_2020[[#This Row],[wat_bas_u]])/(B80-Estimates_of_the_use_of_water__2000_2020[[#This Row],[year]])</f>
        <v>-5.0183973659999994</v>
      </c>
      <c r="J79">
        <f>ABS(Estimates_of_the_use_of_water__2000_2020[[#This Row],[ARC_r]]-Estimates_of_the_use_of_water__2000_2020[[#This Row],[ARC_u]])</f>
        <v>3.523936047999999</v>
      </c>
      <c r="K79">
        <v>25.682373479999999</v>
      </c>
      <c r="L79">
        <v>33.53911377</v>
      </c>
      <c r="M79">
        <v>3.5761107079999999</v>
      </c>
      <c r="N79">
        <v>28.106594149999999</v>
      </c>
      <c r="O79">
        <v>19.405889899999998</v>
      </c>
      <c r="P79">
        <v>46.373073009999999</v>
      </c>
      <c r="Q79">
        <v>6.1144429440000003</v>
      </c>
      <c r="R79">
        <v>49.661664950000002</v>
      </c>
      <c r="S79">
        <v>34.279780090000003</v>
      </c>
      <c r="T79">
        <v>15.95940214</v>
      </c>
      <c r="U79">
        <v>9.915281712E-2</v>
      </c>
    </row>
    <row r="80" spans="1:21" x14ac:dyDescent="0.25">
      <c r="A80" s="1" t="s">
        <v>242</v>
      </c>
      <c r="B80">
        <v>2015</v>
      </c>
      <c r="C80">
        <f>IF(A81=Estimates_of_the_use_of_water__2000_2020[[#This Row],[name]], B81-Estimates_of_the_use_of_water__2000_2020[[#This Row],[year]],"")</f>
        <v>5</v>
      </c>
      <c r="D80">
        <v>14110.9707</v>
      </c>
      <c r="E80">
        <v>22.515001300000002</v>
      </c>
      <c r="F80">
        <v>44.399096970000002</v>
      </c>
      <c r="G80">
        <f>((F81-Estimates_of_the_use_of_water__2000_2020[[#This Row],[wat_bas_n]])/(B81-Estimates_of_the_use_of_water__2000_2020[[#This Row],[year]]))</f>
        <v>0.35768756399999974</v>
      </c>
      <c r="H80">
        <f>((N81-Estimates_of_the_use_of_water__2000_2020[[#This Row],[wat_bas_r]])/(B81-Estimates_of_the_use_of_water__2000_2020[[#This Row],[year]]))</f>
        <v>0.39926290199999953</v>
      </c>
      <c r="I80">
        <f>(R81-Estimates_of_the_use_of_water__2000_2020[[#This Row],[wat_bas_u]])/(B81-Estimates_of_the_use_of_water__2000_2020[[#This Row],[year]])</f>
        <v>-0.11228573799999993</v>
      </c>
      <c r="J80">
        <f>ABS(Estimates_of_the_use_of_water__2000_2020[[#This Row],[ARC_r]]-Estimates_of_the_use_of_water__2000_2020[[#This Row],[ARC_u]])</f>
        <v>0.51154863999999944</v>
      </c>
      <c r="K80">
        <v>13.51638311</v>
      </c>
      <c r="L80">
        <v>34.702739940000001</v>
      </c>
      <c r="M80">
        <v>7.3817799820000003</v>
      </c>
      <c r="N80">
        <v>35.578900740000002</v>
      </c>
      <c r="O80">
        <v>13.876413980000001</v>
      </c>
      <c r="P80">
        <v>41.266156469999999</v>
      </c>
      <c r="Q80">
        <v>9.2785288060000006</v>
      </c>
      <c r="R80">
        <v>74.753651779999998</v>
      </c>
      <c r="S80">
        <v>12.27734182</v>
      </c>
      <c r="T80">
        <v>12.11485643</v>
      </c>
      <c r="U80">
        <v>0.85414997150000005</v>
      </c>
    </row>
    <row r="81" spans="1:21" x14ac:dyDescent="0.25">
      <c r="A81" s="1" t="s">
        <v>242</v>
      </c>
      <c r="B81">
        <v>2020</v>
      </c>
      <c r="C81" t="str">
        <f>IF(A82=Estimates_of_the_use_of_water__2000_2020[[#This Row],[name]], B82-Estimates_of_the_use_of_water__2000_2020[[#This Row],[year]],"")</f>
        <v/>
      </c>
      <c r="D81">
        <v>16425.859380000002</v>
      </c>
      <c r="E81">
        <v>23.520000459999999</v>
      </c>
      <c r="F81">
        <v>46.187534790000001</v>
      </c>
      <c r="G81">
        <f>((F82-Estimates_of_the_use_of_water__2000_2020[[#This Row],[wat_bas_n]])/(B82-Estimates_of_the_use_of_water__2000_2020[[#This Row],[year]]))</f>
        <v>-9.592493042000001</v>
      </c>
      <c r="H81">
        <f>((N82-Estimates_of_the_use_of_water__2000_2020[[#This Row],[wat_bas_r]])/(B82-Estimates_of_the_use_of_water__2000_2020[[#This Row],[year]]))</f>
        <v>7.5150430500000001</v>
      </c>
      <c r="I81">
        <f>(R82-Estimates_of_the_use_of_water__2000_2020[[#This Row],[wat_bas_u]])/(B82-Estimates_of_the_use_of_water__2000_2020[[#This Row],[year]])</f>
        <v>14.838444618</v>
      </c>
      <c r="J81">
        <f>ABS(Estimates_of_the_use_of_water__2000_2020[[#This Row],[ARC_r]]-Estimates_of_the_use_of_water__2000_2020[[#This Row],[ARC_u]])</f>
        <v>7.3234015680000004</v>
      </c>
      <c r="K81">
        <v>14.74028929</v>
      </c>
      <c r="L81">
        <v>31.562457139999999</v>
      </c>
      <c r="M81">
        <v>7.5097187840000004</v>
      </c>
      <c r="N81">
        <v>37.575215249999999</v>
      </c>
      <c r="O81">
        <v>14.35396111</v>
      </c>
      <c r="P81">
        <v>38.524967609999997</v>
      </c>
      <c r="Q81">
        <v>9.5458560269999992</v>
      </c>
      <c r="R81">
        <v>74.192223089999999</v>
      </c>
      <c r="S81">
        <v>15.99651381</v>
      </c>
      <c r="T81">
        <v>8.9224527210000009</v>
      </c>
      <c r="U81">
        <v>0.88881038430000003</v>
      </c>
    </row>
    <row r="82" spans="1:21" x14ac:dyDescent="0.25">
      <c r="A82" s="1" t="s">
        <v>163</v>
      </c>
      <c r="B82">
        <v>2015</v>
      </c>
      <c r="C82">
        <f>IF(A83=Estimates_of_the_use_of_water__2000_2020[[#This Row],[name]], B83-Estimates_of_the_use_of_water__2000_2020[[#This Row],[year]],"")</f>
        <v>2</v>
      </c>
      <c r="D82">
        <v>165.38699339999999</v>
      </c>
      <c r="E82">
        <v>30.96199799</v>
      </c>
      <c r="F82">
        <v>94.15</v>
      </c>
      <c r="G82">
        <f>((F83-Estimates_of_the_use_of_water__2000_2020[[#This Row],[wat_bas_n]])/(B83-Estimates_of_the_use_of_water__2000_2020[[#This Row],[year]]))</f>
        <v>0</v>
      </c>
      <c r="H82">
        <f>((N83-Estimates_of_the_use_of_water__2000_2020[[#This Row],[wat_bas_r]])/(B83-Estimates_of_the_use_of_water__2000_2020[[#This Row],[year]]))</f>
        <v>0</v>
      </c>
      <c r="I82">
        <f>(R83-Estimates_of_the_use_of_water__2000_2020[[#This Row],[wat_bas_u]])/(B83-Estimates_of_the_use_of_water__2000_2020[[#This Row],[year]])</f>
        <v>0</v>
      </c>
      <c r="J82">
        <f>ABS(Estimates_of_the_use_of_water__2000_2020[[#This Row],[ARC_r]]-Estimates_of_the_use_of_water__2000_2020[[#This Row],[ARC_u]])</f>
        <v>0</v>
      </c>
      <c r="K82">
        <v>0</v>
      </c>
      <c r="L82">
        <v>5.85</v>
      </c>
      <c r="M82">
        <v>0</v>
      </c>
    </row>
    <row r="83" spans="1:21" x14ac:dyDescent="0.25">
      <c r="A83" s="1" t="s">
        <v>163</v>
      </c>
      <c r="B83">
        <v>2017</v>
      </c>
      <c r="C83" t="str">
        <f>IF(A84=Estimates_of_the_use_of_water__2000_2020[[#This Row],[name]], B84-Estimates_of_the_use_of_water__2000_2020[[#This Row],[year]],"")</f>
        <v/>
      </c>
      <c r="D83">
        <v>168.6660004</v>
      </c>
      <c r="E83">
        <v>30.913999560000001</v>
      </c>
      <c r="F83">
        <v>94.15</v>
      </c>
      <c r="G83">
        <f>((F84-Estimates_of_the_use_of_water__2000_2020[[#This Row],[wat_bas_n]])/(B84-Estimates_of_the_use_of_water__2000_2020[[#This Row],[year]]))</f>
        <v>-2.6782463599999957</v>
      </c>
      <c r="H83">
        <f>((N84-Estimates_of_the_use_of_water__2000_2020[[#This Row],[wat_bas_r]])/(B84-Estimates_of_the_use_of_water__2000_2020[[#This Row],[year]]))</f>
        <v>-48.533849250000003</v>
      </c>
      <c r="I83">
        <f>(R84-Estimates_of_the_use_of_water__2000_2020[[#This Row],[wat_bas_u]])/(B84-Estimates_of_the_use_of_water__2000_2020[[#This Row],[year]])</f>
        <v>-49.929678490000001</v>
      </c>
      <c r="J83">
        <f>ABS(Estimates_of_the_use_of_water__2000_2020[[#This Row],[ARC_r]]-Estimates_of_the_use_of_water__2000_2020[[#This Row],[ARC_u]])</f>
        <v>1.3958292399999976</v>
      </c>
      <c r="K83">
        <v>0</v>
      </c>
      <c r="L83">
        <v>5.85</v>
      </c>
      <c r="M83">
        <v>0</v>
      </c>
    </row>
    <row r="84" spans="1:21" x14ac:dyDescent="0.25">
      <c r="A84" s="1" t="s">
        <v>55</v>
      </c>
      <c r="B84">
        <v>2015</v>
      </c>
      <c r="C84">
        <f>IF(A85=Estimates_of_the_use_of_water__2000_2020[[#This Row],[name]], B85-Estimates_of_the_use_of_water__2000_2020[[#This Row],[year]],"")</f>
        <v>5</v>
      </c>
      <c r="D84">
        <v>17969.355469999999</v>
      </c>
      <c r="E84">
        <v>87.36000061</v>
      </c>
      <c r="F84">
        <v>99.506492719999997</v>
      </c>
      <c r="G84">
        <f>((F85-Estimates_of_the_use_of_water__2000_2020[[#This Row],[wat_bas_n]])/(B85-Estimates_of_the_use_of_water__2000_2020[[#This Row],[year]]))</f>
        <v>9.8701199999999295E-2</v>
      </c>
      <c r="H84">
        <f>((N85-Estimates_of_the_use_of_water__2000_2020[[#This Row],[wat_bas_r]])/(B85-Estimates_of_the_use_of_water__2000_2020[[#This Row],[year]]))</f>
        <v>0.58646029999999882</v>
      </c>
      <c r="I84">
        <f>(R85-Estimates_of_the_use_of_water__2000_2020[[#This Row],[wat_bas_u]])/(B85-Estimates_of_the_use_of_water__2000_2020[[#This Row],[year]])</f>
        <v>2.8128603999999769E-2</v>
      </c>
      <c r="J84">
        <f>ABS(Estimates_of_the_use_of_water__2000_2020[[#This Row],[ARC_r]]-Estimates_of_the_use_of_water__2000_2020[[#This Row],[ARC_u]])</f>
        <v>0.5583316959999991</v>
      </c>
      <c r="K84">
        <v>0</v>
      </c>
      <c r="L84">
        <v>0.49350727579999998</v>
      </c>
      <c r="M84">
        <v>0</v>
      </c>
      <c r="N84">
        <v>97.067698500000006</v>
      </c>
      <c r="O84">
        <v>0</v>
      </c>
      <c r="P84">
        <v>2.9323014980000002</v>
      </c>
      <c r="Q84">
        <v>0</v>
      </c>
      <c r="R84">
        <v>99.859356980000001</v>
      </c>
      <c r="S84">
        <v>0</v>
      </c>
      <c r="T84">
        <v>0.1406430186</v>
      </c>
      <c r="U84">
        <v>0</v>
      </c>
    </row>
    <row r="85" spans="1:21" x14ac:dyDescent="0.25">
      <c r="A85" s="1" t="s">
        <v>55</v>
      </c>
      <c r="B85">
        <v>2020</v>
      </c>
      <c r="C85" t="str">
        <f>IF(A86=Estimates_of_the_use_of_water__2000_2020[[#This Row],[name]], B86-Estimates_of_the_use_of_water__2000_2020[[#This Row],[year]],"")</f>
        <v/>
      </c>
      <c r="D85">
        <v>19116.208979999999</v>
      </c>
      <c r="E85">
        <v>87.72699738</v>
      </c>
      <c r="F85">
        <v>99.999998719999994</v>
      </c>
      <c r="G85">
        <f>((F86-Estimates_of_the_use_of_water__2000_2020[[#This Row],[wat_bas_n]])/(B86-Estimates_of_the_use_of_water__2000_2020[[#This Row],[year]]))</f>
        <v>1.6474714979999987</v>
      </c>
      <c r="H85">
        <f>((N86-Estimates_of_the_use_of_water__2000_2020[[#This Row],[wat_bas_r]])/(B86-Estimates_of_the_use_of_water__2000_2020[[#This Row],[year]]))</f>
        <v>3.1041624159999999</v>
      </c>
      <c r="I85">
        <f>(R86-Estimates_of_the_use_of_water__2000_2020[[#This Row],[wat_bas_u]])/(B86-Estimates_of_the_use_of_water__2000_2020[[#This Row],[year]])</f>
        <v>0.49606920600000137</v>
      </c>
      <c r="J85">
        <f>ABS(Estimates_of_the_use_of_water__2000_2020[[#This Row],[ARC_r]]-Estimates_of_the_use_of_water__2000_2020[[#This Row],[ARC_u]])</f>
        <v>2.6080932099999985</v>
      </c>
      <c r="K85">
        <v>0</v>
      </c>
      <c r="L85">
        <v>1.2771393330000001E-6</v>
      </c>
      <c r="M85">
        <v>0</v>
      </c>
      <c r="N85">
        <v>100</v>
      </c>
      <c r="O85">
        <v>0</v>
      </c>
      <c r="P85">
        <v>0</v>
      </c>
      <c r="Q85">
        <v>0</v>
      </c>
      <c r="R85">
        <v>100</v>
      </c>
      <c r="S85">
        <v>0</v>
      </c>
      <c r="T85">
        <v>0</v>
      </c>
      <c r="U85">
        <v>0</v>
      </c>
    </row>
    <row r="86" spans="1:21" x14ac:dyDescent="0.25">
      <c r="A86" s="1" t="s">
        <v>162</v>
      </c>
      <c r="B86">
        <v>2015</v>
      </c>
      <c r="C86">
        <f>IF(A87=Estimates_of_the_use_of_water__2000_2020[[#This Row],[name]], B87-Estimates_of_the_use_of_water__2000_2020[[#This Row],[year]],"")</f>
        <v>5</v>
      </c>
      <c r="D86">
        <v>1430405.375</v>
      </c>
      <c r="E86">
        <v>55.852706910000002</v>
      </c>
      <c r="F86">
        <v>91.76264123</v>
      </c>
      <c r="G86">
        <f>((F87-Estimates_of_the_use_of_water__2000_2020[[#This Row],[wat_bas_n]])/(B87-Estimates_of_the_use_of_water__2000_2020[[#This Row],[year]]))</f>
        <v>0.49969387200000026</v>
      </c>
      <c r="H86">
        <f>((N87-Estimates_of_the_use_of_water__2000_2020[[#This Row],[wat_bas_r]])/(B87-Estimates_of_the_use_of_water__2000_2020[[#This Row],[year]]))</f>
        <v>1.0364091180000004</v>
      </c>
      <c r="I86">
        <f>(R87-Estimates_of_the_use_of_water__2000_2020[[#This Row],[wat_bas_u]])/(B87-Estimates_of_the_use_of_water__2000_2020[[#This Row],[year]])</f>
        <v>-8.0954259999998612E-2</v>
      </c>
      <c r="J86">
        <f>ABS(Estimates_of_the_use_of_water__2000_2020[[#This Row],[ARC_r]]-Estimates_of_the_use_of_water__2000_2020[[#This Row],[ARC_u]])</f>
        <v>1.117363377999999</v>
      </c>
      <c r="K86">
        <v>0.81876266180000001</v>
      </c>
      <c r="L86">
        <v>6.7820774070000001</v>
      </c>
      <c r="M86">
        <v>0.63651870079999995</v>
      </c>
      <c r="N86">
        <v>84.479187920000001</v>
      </c>
      <c r="O86">
        <v>1.51186307</v>
      </c>
      <c r="P86">
        <v>12.952949009999999</v>
      </c>
      <c r="Q86">
        <v>1.056</v>
      </c>
      <c r="R86">
        <v>97.519653969999993</v>
      </c>
      <c r="S86">
        <v>0.27091980389999998</v>
      </c>
      <c r="T86">
        <v>1.9044754100000001</v>
      </c>
      <c r="U86">
        <v>0.30495081969999999</v>
      </c>
    </row>
    <row r="87" spans="1:21" x14ac:dyDescent="0.25">
      <c r="A87" s="1" t="s">
        <v>162</v>
      </c>
      <c r="B87">
        <v>2020</v>
      </c>
      <c r="C87" t="str">
        <f>IF(A88=Estimates_of_the_use_of_water__2000_2020[[#This Row],[name]], B88-Estimates_of_the_use_of_water__2000_2020[[#This Row],[year]],"")</f>
        <v/>
      </c>
      <c r="D87">
        <v>1463140.5</v>
      </c>
      <c r="E87">
        <v>61.713088990000003</v>
      </c>
      <c r="F87">
        <v>94.261110590000001</v>
      </c>
      <c r="G87">
        <f>((F88-Estimates_of_the_use_of_water__2000_2020[[#This Row],[wat_bas_n]])/(B88-Estimates_of_the_use_of_water__2000_2020[[#This Row],[year]]))</f>
        <v>-1.1477778819999997</v>
      </c>
      <c r="H87">
        <f>((N88-Estimates_of_the_use_of_water__2000_2020[[#This Row],[wat_bas_r]])/(B88-Estimates_of_the_use_of_water__2000_2020[[#This Row],[year]]))</f>
        <v>17.932246702</v>
      </c>
      <c r="I87">
        <f>(R88-Estimates_of_the_use_of_water__2000_2020[[#This Row],[wat_bas_u]])/(B88-Estimates_of_the_use_of_water__2000_2020[[#This Row],[year]])</f>
        <v>-0.57702346599999998</v>
      </c>
      <c r="J87">
        <f>ABS(Estimates_of_the_use_of_water__2000_2020[[#This Row],[ARC_r]]-Estimates_of_the_use_of_water__2000_2020[[#This Row],[ARC_u]])</f>
        <v>18.509270168</v>
      </c>
      <c r="K87">
        <v>0.8147213297</v>
      </c>
      <c r="L87">
        <v>4.725451938</v>
      </c>
      <c r="M87">
        <v>0.19871614409999999</v>
      </c>
      <c r="N87">
        <v>89.661233510000002</v>
      </c>
      <c r="O87">
        <v>1.832679086</v>
      </c>
      <c r="P87">
        <v>8.5060874089999992</v>
      </c>
      <c r="Q87">
        <v>0</v>
      </c>
      <c r="R87">
        <v>97.11488267</v>
      </c>
      <c r="S87">
        <v>0.1831784927</v>
      </c>
      <c r="T87">
        <v>2.3799388399999999</v>
      </c>
      <c r="U87">
        <v>0.32200000000000001</v>
      </c>
    </row>
    <row r="88" spans="1:21" x14ac:dyDescent="0.25">
      <c r="A88" s="1" t="s">
        <v>48</v>
      </c>
      <c r="B88">
        <v>2015</v>
      </c>
      <c r="C88">
        <f>IF(A89=Estimates_of_the_use_of_water__2000_2020[[#This Row],[name]], B89-Estimates_of_the_use_of_water__2000_2020[[#This Row],[year]],"")</f>
        <v>5</v>
      </c>
      <c r="D88">
        <v>7185.9921880000002</v>
      </c>
      <c r="E88">
        <v>100</v>
      </c>
      <c r="F88">
        <v>100</v>
      </c>
      <c r="G88">
        <f>((F89-Estimates_of_the_use_of_water__2000_2020[[#This Row],[wat_bas_n]])/(B89-Estimates_of_the_use_of_water__2000_2020[[#This Row],[year]]))</f>
        <v>0</v>
      </c>
      <c r="H88">
        <f>((N89-Estimates_of_the_use_of_water__2000_2020[[#This Row],[wat_bas_r]])/(B89-Estimates_of_the_use_of_water__2000_2020[[#This Row],[year]]))</f>
        <v>0</v>
      </c>
      <c r="I88">
        <f>(R89-Estimates_of_the_use_of_water__2000_2020[[#This Row],[wat_bas_u]])/(B89-Estimates_of_the_use_of_water__2000_2020[[#This Row],[year]])</f>
        <v>0</v>
      </c>
      <c r="J88">
        <f>ABS(Estimates_of_the_use_of_water__2000_2020[[#This Row],[ARC_r]]-Estimates_of_the_use_of_water__2000_2020[[#This Row],[ARC_u]])</f>
        <v>0</v>
      </c>
      <c r="K88">
        <v>0</v>
      </c>
      <c r="L88">
        <v>0</v>
      </c>
      <c r="M88">
        <v>0</v>
      </c>
      <c r="R88">
        <v>100</v>
      </c>
      <c r="S88">
        <v>0</v>
      </c>
      <c r="T88">
        <v>0</v>
      </c>
      <c r="U88">
        <v>0</v>
      </c>
    </row>
    <row r="89" spans="1:21" x14ac:dyDescent="0.25">
      <c r="A89" s="1" t="s">
        <v>48</v>
      </c>
      <c r="B89">
        <v>2020</v>
      </c>
      <c r="C89" t="str">
        <f>IF(A90=Estimates_of_the_use_of_water__2000_2020[[#This Row],[name]], B90-Estimates_of_the_use_of_water__2000_2020[[#This Row],[year]],"")</f>
        <v/>
      </c>
      <c r="D89">
        <v>7496.9877930000002</v>
      </c>
      <c r="E89">
        <v>100</v>
      </c>
      <c r="F89">
        <v>100</v>
      </c>
      <c r="G89">
        <f>((F90-Estimates_of_the_use_of_water__2000_2020[[#This Row],[wat_bas_n]])/(B90-Estimates_of_the_use_of_water__2000_2020[[#This Row],[year]]))</f>
        <v>0</v>
      </c>
      <c r="H89">
        <f>((N90-Estimates_of_the_use_of_water__2000_2020[[#This Row],[wat_bas_r]])/(B90-Estimates_of_the_use_of_water__2000_2020[[#This Row],[year]]))</f>
        <v>0</v>
      </c>
      <c r="I89">
        <f>(R90-Estimates_of_the_use_of_water__2000_2020[[#This Row],[wat_bas_u]])/(B90-Estimates_of_the_use_of_water__2000_2020[[#This Row],[year]])</f>
        <v>0</v>
      </c>
      <c r="J89">
        <f>ABS(Estimates_of_the_use_of_water__2000_2020[[#This Row],[ARC_r]]-Estimates_of_the_use_of_water__2000_2020[[#This Row],[ARC_u]])</f>
        <v>0</v>
      </c>
      <c r="K89">
        <v>0</v>
      </c>
      <c r="L89">
        <v>0</v>
      </c>
      <c r="M89">
        <v>0</v>
      </c>
      <c r="R89">
        <v>100</v>
      </c>
      <c r="S89">
        <v>0</v>
      </c>
      <c r="T89">
        <v>0</v>
      </c>
      <c r="U89">
        <v>0</v>
      </c>
    </row>
    <row r="90" spans="1:21" x14ac:dyDescent="0.25">
      <c r="A90" s="1" t="s">
        <v>41</v>
      </c>
      <c r="B90">
        <v>2015</v>
      </c>
      <c r="C90">
        <f>IF(A91=Estimates_of_the_use_of_water__2000_2020[[#This Row],[name]], B91-Estimates_of_the_use_of_water__2000_2020[[#This Row],[year]],"")</f>
        <v>5</v>
      </c>
      <c r="D90">
        <v>602.09301760000005</v>
      </c>
      <c r="E90">
        <v>100</v>
      </c>
      <c r="F90">
        <v>100</v>
      </c>
      <c r="G90">
        <f>((F91-Estimates_of_the_use_of_water__2000_2020[[#This Row],[wat_bas_n]])/(B91-Estimates_of_the_use_of_water__2000_2020[[#This Row],[year]]))</f>
        <v>0</v>
      </c>
      <c r="H90">
        <f>((N91-Estimates_of_the_use_of_water__2000_2020[[#This Row],[wat_bas_r]])/(B91-Estimates_of_the_use_of_water__2000_2020[[#This Row],[year]]))</f>
        <v>0</v>
      </c>
      <c r="I90">
        <f>(R91-Estimates_of_the_use_of_water__2000_2020[[#This Row],[wat_bas_u]])/(B91-Estimates_of_the_use_of_water__2000_2020[[#This Row],[year]])</f>
        <v>0</v>
      </c>
      <c r="J90">
        <f>ABS(Estimates_of_the_use_of_water__2000_2020[[#This Row],[ARC_r]]-Estimates_of_the_use_of_water__2000_2020[[#This Row],[ARC_u]])</f>
        <v>0</v>
      </c>
      <c r="K90">
        <v>0</v>
      </c>
      <c r="L90">
        <v>0</v>
      </c>
      <c r="M90">
        <v>0</v>
      </c>
      <c r="R90">
        <v>100</v>
      </c>
      <c r="S90">
        <v>0</v>
      </c>
      <c r="T90">
        <v>0</v>
      </c>
      <c r="U90">
        <v>0</v>
      </c>
    </row>
    <row r="91" spans="1:21" x14ac:dyDescent="0.25">
      <c r="A91" s="1" t="s">
        <v>41</v>
      </c>
      <c r="B91">
        <v>2020</v>
      </c>
      <c r="C91" t="str">
        <f>IF(A92=Estimates_of_the_use_of_water__2000_2020[[#This Row],[name]], B92-Estimates_of_the_use_of_water__2000_2020[[#This Row],[year]],"")</f>
        <v/>
      </c>
      <c r="D91">
        <v>649.34198000000004</v>
      </c>
      <c r="E91">
        <v>100</v>
      </c>
      <c r="F91">
        <v>100</v>
      </c>
      <c r="G91">
        <f>((F92-Estimates_of_the_use_of_water__2000_2020[[#This Row],[wat_bas_n]])/(B92-Estimates_of_the_use_of_water__2000_2020[[#This Row],[year]]))</f>
        <v>0.73282637599999989</v>
      </c>
      <c r="H91">
        <f>((N92-Estimates_of_the_use_of_water__2000_2020[[#This Row],[wat_bas_r]])/(B92-Estimates_of_the_use_of_water__2000_2020[[#This Row],[year]]))</f>
        <v>-16.654745170000002</v>
      </c>
      <c r="I91">
        <f>(R92-Estimates_of_the_use_of_water__2000_2020[[#This Row],[wat_bas_u]])/(B92-Estimates_of_the_use_of_water__2000_2020[[#This Row],[year]])</f>
        <v>7.005752599999937E-2</v>
      </c>
      <c r="J91">
        <f>ABS(Estimates_of_the_use_of_water__2000_2020[[#This Row],[ARC_r]]-Estimates_of_the_use_of_water__2000_2020[[#This Row],[ARC_u]])</f>
        <v>16.724802696000001</v>
      </c>
      <c r="K91">
        <v>0</v>
      </c>
      <c r="L91">
        <v>0</v>
      </c>
      <c r="M91">
        <v>0</v>
      </c>
      <c r="R91">
        <v>100</v>
      </c>
      <c r="S91">
        <v>0</v>
      </c>
      <c r="T91">
        <v>0</v>
      </c>
      <c r="U91">
        <v>0</v>
      </c>
    </row>
    <row r="92" spans="1:21" x14ac:dyDescent="0.25">
      <c r="A92" s="1" t="s">
        <v>125</v>
      </c>
      <c r="B92">
        <v>2015</v>
      </c>
      <c r="C92">
        <f>IF(A93=Estimates_of_the_use_of_water__2000_2020[[#This Row],[name]], B93-Estimates_of_the_use_of_water__2000_2020[[#This Row],[year]],"")</f>
        <v>5</v>
      </c>
      <c r="D92">
        <v>47520.667970000002</v>
      </c>
      <c r="E92">
        <v>79.763999940000005</v>
      </c>
      <c r="F92">
        <v>96.335868120000001</v>
      </c>
      <c r="G92">
        <f>((F93-Estimates_of_the_use_of_water__2000_2020[[#This Row],[wat_bas_n]])/(B93-Estimates_of_the_use_of_water__2000_2020[[#This Row],[year]]))</f>
        <v>0.23115779800000097</v>
      </c>
      <c r="H92">
        <f>((N93-Estimates_of_the_use_of_water__2000_2020[[#This Row],[wat_bas_r]])/(B93-Estimates_of_the_use_of_water__2000_2020[[#This Row],[year]]))</f>
        <v>0.69866939399999806</v>
      </c>
      <c r="I92">
        <f>(R93-Estimates_of_the_use_of_water__2000_2020[[#This Row],[wat_bas_u]])/(B93-Estimates_of_the_use_of_water__2000_2020[[#This Row],[year]])</f>
        <v>5.7696085999998557E-2</v>
      </c>
      <c r="J92">
        <f>ABS(Estimates_of_the_use_of_water__2000_2020[[#This Row],[ARC_r]]-Estimates_of_the_use_of_water__2000_2020[[#This Row],[ARC_u]])</f>
        <v>0.64097330799999952</v>
      </c>
      <c r="K92">
        <v>0.1840519904</v>
      </c>
      <c r="L92">
        <v>1.7034450619999999</v>
      </c>
      <c r="M92">
        <v>1.7766348270000001</v>
      </c>
      <c r="N92">
        <v>83.273725850000005</v>
      </c>
      <c r="O92">
        <v>0.68766562610000004</v>
      </c>
      <c r="P92">
        <v>7.2590323550000004</v>
      </c>
      <c r="Q92">
        <v>8.7795761720000005</v>
      </c>
      <c r="R92">
        <v>99.649712370000003</v>
      </c>
      <c r="S92">
        <v>5.6286030219999998E-2</v>
      </c>
      <c r="T92">
        <v>0.29400160289999999</v>
      </c>
      <c r="U92">
        <v>0</v>
      </c>
    </row>
    <row r="93" spans="1:21" x14ac:dyDescent="0.25">
      <c r="A93" s="1" t="s">
        <v>125</v>
      </c>
      <c r="B93">
        <v>2020</v>
      </c>
      <c r="C93" t="str">
        <f>IF(A94=Estimates_of_the_use_of_water__2000_2020[[#This Row],[name]], B94-Estimates_of_the_use_of_water__2000_2020[[#This Row],[year]],"")</f>
        <v/>
      </c>
      <c r="D93">
        <v>50882.882810000003</v>
      </c>
      <c r="E93">
        <v>81.424995420000002</v>
      </c>
      <c r="F93">
        <v>97.491657110000006</v>
      </c>
      <c r="G93">
        <f>((F94-Estimates_of_the_use_of_water__2000_2020[[#This Row],[wat_bas_n]])/(B94-Estimates_of_the_use_of_water__2000_2020[[#This Row],[year]]))</f>
        <v>3.4719314060000017</v>
      </c>
      <c r="H93">
        <f>((N94-Estimates_of_the_use_of_water__2000_2020[[#This Row],[wat_bas_r]])/(B94-Estimates_of_the_use_of_water__2000_2020[[#This Row],[year]]))</f>
        <v>1.9710698739999999</v>
      </c>
      <c r="I93">
        <f>(R94-Estimates_of_the_use_of_water__2000_2020[[#This Row],[wat_bas_u]])/(B94-Estimates_of_the_use_of_water__2000_2020[[#This Row],[year]])</f>
        <v>2.3430694439999997</v>
      </c>
      <c r="J93">
        <f>ABS(Estimates_of_the_use_of_water__2000_2020[[#This Row],[ARC_r]]-Estimates_of_the_use_of_water__2000_2020[[#This Row],[ARC_u]])</f>
        <v>0.37199956999999984</v>
      </c>
      <c r="K93">
        <v>0.18615215909999999</v>
      </c>
      <c r="L93">
        <v>0.95361622280000002</v>
      </c>
      <c r="M93">
        <v>1.3685745119999999</v>
      </c>
      <c r="N93">
        <v>86.767072819999996</v>
      </c>
      <c r="O93">
        <v>0.73122820160000002</v>
      </c>
      <c r="P93">
        <v>5.13386897</v>
      </c>
      <c r="Q93">
        <v>7.3678300050000001</v>
      </c>
      <c r="R93">
        <v>99.938192799999996</v>
      </c>
      <c r="S93">
        <v>6.18072E-2</v>
      </c>
      <c r="T93">
        <v>0</v>
      </c>
      <c r="U93">
        <v>0</v>
      </c>
    </row>
    <row r="94" spans="1:21" x14ac:dyDescent="0.25">
      <c r="A94" s="1" t="s">
        <v>202</v>
      </c>
      <c r="B94">
        <v>2015</v>
      </c>
      <c r="C94">
        <f>IF(A95=Estimates_of_the_use_of_water__2000_2020[[#This Row],[name]], B95-Estimates_of_the_use_of_water__2000_2020[[#This Row],[year]],"")</f>
        <v>4</v>
      </c>
      <c r="D94">
        <v>777.43499759999997</v>
      </c>
      <c r="E94">
        <v>28.47000122</v>
      </c>
      <c r="F94">
        <v>80.132000079999997</v>
      </c>
      <c r="G94">
        <f>((F95-Estimates_of_the_use_of_water__2000_2020[[#This Row],[wat_bas_n]])/(B95-Estimates_of_the_use_of_water__2000_2020[[#This Row],[year]]))</f>
        <v>1.9624432500002342E-2</v>
      </c>
      <c r="H94">
        <f>((N95-Estimates_of_the_use_of_water__2000_2020[[#This Row],[wat_bas_r]])/(B95-Estimates_of_the_use_of_water__2000_2020[[#This Row],[year]]))</f>
        <v>0</v>
      </c>
      <c r="I94">
        <f>(R95-Estimates_of_the_use_of_water__2000_2020[[#This Row],[wat_bas_u]])/(B95-Estimates_of_the_use_of_water__2000_2020[[#This Row],[year]])</f>
        <v>0</v>
      </c>
      <c r="J94">
        <f>ABS(Estimates_of_the_use_of_water__2000_2020[[#This Row],[ARC_r]]-Estimates_of_the_use_of_water__2000_2020[[#This Row],[ARC_u]])</f>
        <v>0</v>
      </c>
      <c r="K94">
        <v>10.877265</v>
      </c>
      <c r="L94">
        <v>8.3951934319999992</v>
      </c>
      <c r="M94">
        <v>0.59554149119999999</v>
      </c>
      <c r="N94">
        <v>76.911723449999997</v>
      </c>
      <c r="O94">
        <v>11.568647240000001</v>
      </c>
      <c r="P94">
        <v>10.82245445</v>
      </c>
      <c r="Q94">
        <v>0.69717485830000003</v>
      </c>
      <c r="R94">
        <v>88.222845579999998</v>
      </c>
      <c r="S94">
        <v>9.1401884950000003</v>
      </c>
      <c r="T94">
        <v>2.2967751299999999</v>
      </c>
      <c r="U94">
        <v>0.34019079699999999</v>
      </c>
    </row>
    <row r="95" spans="1:21" x14ac:dyDescent="0.25">
      <c r="A95" s="1" t="s">
        <v>202</v>
      </c>
      <c r="B95">
        <v>2019</v>
      </c>
      <c r="C95" t="str">
        <f>IF(A96=Estimates_of_the_use_of_water__2000_2020[[#This Row],[name]], B96-Estimates_of_the_use_of_water__2000_2020[[#This Row],[year]],"")</f>
        <v/>
      </c>
      <c r="D95">
        <v>850.89099120000003</v>
      </c>
      <c r="E95">
        <v>29.164001460000001</v>
      </c>
      <c r="F95">
        <v>80.210497810000007</v>
      </c>
      <c r="G95">
        <f>((F96-Estimates_of_the_use_of_water__2000_2020[[#This Row],[wat_bas_n]])/(B96-Estimates_of_the_use_of_water__2000_2020[[#This Row],[year]]))</f>
        <v>2.2652290100000023</v>
      </c>
      <c r="H95">
        <f>((N96-Estimates_of_the_use_of_water__2000_2020[[#This Row],[wat_bas_r]])/(B96-Estimates_of_the_use_of_water__2000_2020[[#This Row],[year]]))</f>
        <v>8.8799718774999992</v>
      </c>
      <c r="I95">
        <f>(R96-Estimates_of_the_use_of_water__2000_2020[[#This Row],[wat_bas_u]])/(B96-Estimates_of_the_use_of_water__2000_2020[[#This Row],[year]])</f>
        <v>0.35728510499999899</v>
      </c>
      <c r="J95">
        <f>ABS(Estimates_of_the_use_of_water__2000_2020[[#This Row],[ARC_r]]-Estimates_of_the_use_of_water__2000_2020[[#This Row],[ARC_u]])</f>
        <v>8.5226867725000002</v>
      </c>
      <c r="K95">
        <v>10.86041131</v>
      </c>
      <c r="L95">
        <v>8.9290908879999993</v>
      </c>
      <c r="N95">
        <v>76.911723449999997</v>
      </c>
      <c r="O95">
        <v>11.568647240000001</v>
      </c>
      <c r="P95">
        <v>11.519629309999999</v>
      </c>
      <c r="R95">
        <v>88.222845579999998</v>
      </c>
      <c r="S95">
        <v>9.1401884950000003</v>
      </c>
      <c r="T95">
        <v>2.2967751299999999</v>
      </c>
      <c r="U95">
        <v>0.34019079699999999</v>
      </c>
    </row>
    <row r="96" spans="1:21" x14ac:dyDescent="0.25">
      <c r="A96" s="1" t="s">
        <v>209</v>
      </c>
      <c r="B96">
        <v>2015</v>
      </c>
      <c r="C96">
        <f>IF(A97=Estimates_of_the_use_of_water__2000_2020[[#This Row],[name]], B97-Estimates_of_the_use_of_water__2000_2020[[#This Row],[year]],"")</f>
        <v>5</v>
      </c>
      <c r="D96">
        <v>4856.0927730000003</v>
      </c>
      <c r="E96">
        <v>65.542999269999996</v>
      </c>
      <c r="F96">
        <v>71.149581769999998</v>
      </c>
      <c r="G96">
        <f>((F97-Estimates_of_the_use_of_water__2000_2020[[#This Row],[wat_bas_n]])/(B97-Estimates_of_the_use_of_water__2000_2020[[#This Row],[year]]))</f>
        <v>0.52698596200000059</v>
      </c>
      <c r="H96">
        <f>((N97-Estimates_of_the_use_of_water__2000_2020[[#This Row],[wat_bas_r]])/(B97-Estimates_of_the_use_of_water__2000_2020[[#This Row],[year]]))</f>
        <v>0.8665154479999998</v>
      </c>
      <c r="I96">
        <f>(R97-Estimates_of_the_use_of_water__2000_2020[[#This Row],[wat_bas_u]])/(B97-Estimates_of_the_use_of_water__2000_2020[[#This Row],[year]])</f>
        <v>5.9918199999998478E-2</v>
      </c>
      <c r="J96">
        <f>ABS(Estimates_of_the_use_of_water__2000_2020[[#This Row],[ARC_r]]-Estimates_of_the_use_of_water__2000_2020[[#This Row],[ARC_u]])</f>
        <v>0.80659724800000132</v>
      </c>
      <c r="K96">
        <v>10.510526049999999</v>
      </c>
      <c r="L96">
        <v>11.662046309999999</v>
      </c>
      <c r="M96">
        <v>6.6778458760000001</v>
      </c>
      <c r="N96">
        <v>41.39183594</v>
      </c>
      <c r="O96">
        <v>10.739572649999999</v>
      </c>
      <c r="P96">
        <v>28.501848710000001</v>
      </c>
      <c r="Q96">
        <v>19.366742689999999</v>
      </c>
      <c r="R96">
        <v>86.793705160000002</v>
      </c>
      <c r="S96">
        <v>10.390112999999999</v>
      </c>
      <c r="T96">
        <v>2.809090742</v>
      </c>
      <c r="U96">
        <v>7.0910958900000003E-3</v>
      </c>
    </row>
    <row r="97" spans="1:21" x14ac:dyDescent="0.25">
      <c r="A97" s="1" t="s">
        <v>209</v>
      </c>
      <c r="B97">
        <v>2020</v>
      </c>
      <c r="C97" t="str">
        <f>IF(A98=Estimates_of_the_use_of_water__2000_2020[[#This Row],[name]], B98-Estimates_of_the_use_of_water__2000_2020[[#This Row],[year]],"")</f>
        <v/>
      </c>
      <c r="D97">
        <v>5518.091797</v>
      </c>
      <c r="E97">
        <v>67.829002380000006</v>
      </c>
      <c r="F97">
        <v>73.78451158</v>
      </c>
      <c r="G97">
        <f>((F98-Estimates_of_the_use_of_water__2000_2020[[#This Row],[wat_bas_n]])/(B98-Estimates_of_the_use_of_water__2000_2020[[#This Row],[year]]))</f>
        <v>-5.2338318880000001</v>
      </c>
      <c r="H97">
        <f>((N98-Estimates_of_the_use_of_water__2000_2020[[#This Row],[wat_bas_r]])/(B98-Estimates_of_the_use_of_water__2000_2020[[#This Row],[year]]))</f>
        <v>9.1448826360000002</v>
      </c>
      <c r="I97">
        <f>(R98-Estimates_of_the_use_of_water__2000_2020[[#This Row],[wat_bas_u]])/(B98-Estimates_of_the_use_of_water__2000_2020[[#This Row],[year]])</f>
        <v>17.418659232</v>
      </c>
      <c r="J97">
        <f>ABS(Estimates_of_the_use_of_water__2000_2020[[#This Row],[ARC_r]]-Estimates_of_the_use_of_water__2000_2020[[#This Row],[ARC_u]])</f>
        <v>8.2737765959999994</v>
      </c>
      <c r="K97">
        <v>10.46117203</v>
      </c>
      <c r="L97">
        <v>9.5591807220000007</v>
      </c>
      <c r="M97">
        <v>6.1951356640000004</v>
      </c>
      <c r="N97">
        <v>45.724413179999999</v>
      </c>
      <c r="O97">
        <v>10.6323901</v>
      </c>
      <c r="P97">
        <v>24.405169730000001</v>
      </c>
      <c r="Q97">
        <v>19.238026990000002</v>
      </c>
      <c r="R97">
        <v>87.093296159999994</v>
      </c>
      <c r="S97">
        <v>10.37996439</v>
      </c>
      <c r="T97">
        <v>2.5177899969999999</v>
      </c>
      <c r="U97">
        <v>8.9494520549999994E-3</v>
      </c>
    </row>
    <row r="98" spans="1:21" x14ac:dyDescent="0.25">
      <c r="A98" s="1" t="s">
        <v>59</v>
      </c>
      <c r="B98">
        <v>2015</v>
      </c>
      <c r="C98">
        <f>IF(A99=Estimates_of_the_use_of_water__2000_2020[[#This Row],[name]], B99-Estimates_of_the_use_of_water__2000_2020[[#This Row],[year]],"")</f>
        <v>5</v>
      </c>
      <c r="D98">
        <v>17.580999370000001</v>
      </c>
      <c r="E98">
        <v>74.403999330000005</v>
      </c>
      <c r="F98">
        <v>99.953671020000002</v>
      </c>
      <c r="G98">
        <f>((F99-Estimates_of_the_use_of_water__2000_2020[[#This Row],[wat_bas_n]])/(B99-Estimates_of_the_use_of_water__2000_2020[[#This Row],[year]]))</f>
        <v>3.5878400000001419E-3</v>
      </c>
      <c r="H98">
        <f>((N99-Estimates_of_the_use_of_water__2000_2020[[#This Row],[wat_bas_r]])/(B99-Estimates_of_the_use_of_water__2000_2020[[#This Row],[year]]))</f>
        <v>0</v>
      </c>
      <c r="I98">
        <f>(R99-Estimates_of_the_use_of_water__2000_2020[[#This Row],[wat_bas_u]])/(B99-Estimates_of_the_use_of_water__2000_2020[[#This Row],[year]])</f>
        <v>0</v>
      </c>
      <c r="J98">
        <f>ABS(Estimates_of_the_use_of_water__2000_2020[[#This Row],[ARC_r]]-Estimates_of_the_use_of_water__2000_2020[[#This Row],[ARC_u]])</f>
        <v>0</v>
      </c>
      <c r="K98">
        <v>0</v>
      </c>
      <c r="L98">
        <v>4.6328976289999997E-2</v>
      </c>
      <c r="M98">
        <v>0</v>
      </c>
    </row>
    <row r="99" spans="1:21" x14ac:dyDescent="0.25">
      <c r="A99" s="1" t="s">
        <v>59</v>
      </c>
      <c r="B99">
        <v>2020</v>
      </c>
      <c r="C99" t="str">
        <f>IF(A100=Estimates_of_the_use_of_water__2000_2020[[#This Row],[name]], B100-Estimates_of_the_use_of_water__2000_2020[[#This Row],[year]],"")</f>
        <v/>
      </c>
      <c r="D99">
        <v>17.56399918</v>
      </c>
      <c r="E99">
        <v>75.495002749999998</v>
      </c>
      <c r="F99">
        <v>99.971610220000002</v>
      </c>
      <c r="G99">
        <f>((F100-Estimates_of_the_use_of_water__2000_2020[[#This Row],[wat_bas_n]])/(B100-Estimates_of_the_use_of_water__2000_2020[[#This Row],[year]]))</f>
        <v>0.11858468000000073</v>
      </c>
      <c r="H99">
        <f>((N100-Estimates_of_the_use_of_water__2000_2020[[#This Row],[wat_bas_r]])/(B100-Estimates_of_the_use_of_water__2000_2020[[#This Row],[year]]))</f>
        <v>-19.637206498000001</v>
      </c>
      <c r="I99">
        <f>(R100-Estimates_of_the_use_of_water__2000_2020[[#This Row],[wat_bas_u]])/(B100-Estimates_of_the_use_of_water__2000_2020[[#This Row],[year]])</f>
        <v>-19.947543021999998</v>
      </c>
      <c r="J99">
        <f>ABS(Estimates_of_the_use_of_water__2000_2020[[#This Row],[ARC_r]]-Estimates_of_the_use_of_water__2000_2020[[#This Row],[ARC_u]])</f>
        <v>0.31033652399999667</v>
      </c>
      <c r="K99">
        <v>0</v>
      </c>
      <c r="L99">
        <v>2.8389782700000001E-2</v>
      </c>
      <c r="M99">
        <v>0</v>
      </c>
    </row>
    <row r="100" spans="1:21" x14ac:dyDescent="0.25">
      <c r="A100" s="1" t="s">
        <v>78</v>
      </c>
      <c r="B100">
        <v>2015</v>
      </c>
      <c r="C100">
        <f>IF(A101=Estimates_of_the_use_of_water__2000_2020[[#This Row],[name]], B101-Estimates_of_the_use_of_water__2000_2020[[#This Row],[year]],"")</f>
        <v>5</v>
      </c>
      <c r="D100">
        <v>4847.8051759999998</v>
      </c>
      <c r="E100">
        <v>76.861999510000004</v>
      </c>
      <c r="F100">
        <v>99.378686819999999</v>
      </c>
      <c r="G100">
        <f>((F101-Estimates_of_the_use_of_water__2000_2020[[#This Row],[wat_bas_n]])/(B101-Estimates_of_the_use_of_water__2000_2020[[#This Row],[year]]))</f>
        <v>8.6370021999999838E-2</v>
      </c>
      <c r="H100">
        <f>((N101-Estimates_of_the_use_of_water__2000_2020[[#This Row],[wat_bas_r]])/(B101-Estimates_of_the_use_of_water__2000_2020[[#This Row],[year]]))</f>
        <v>0.29204350199999851</v>
      </c>
      <c r="I100">
        <f>(R101-Estimates_of_the_use_of_water__2000_2020[[#This Row],[wat_bas_u]])/(B101-Estimates_of_the_use_of_water__2000_2020[[#This Row],[year]])</f>
        <v>2.2387550000001966E-2</v>
      </c>
      <c r="J100">
        <f>ABS(Estimates_of_the_use_of_water__2000_2020[[#This Row],[ARC_r]]-Estimates_of_the_use_of_water__2000_2020[[#This Row],[ARC_u]])</f>
        <v>0.26965595199999653</v>
      </c>
      <c r="K100">
        <v>0.25413037840000002</v>
      </c>
      <c r="L100">
        <v>0.21133501860000001</v>
      </c>
      <c r="M100">
        <v>0.15584778429999999</v>
      </c>
      <c r="N100">
        <v>98.186032490000002</v>
      </c>
      <c r="O100">
        <v>0.4100611535</v>
      </c>
      <c r="P100">
        <v>0.73034857679999998</v>
      </c>
      <c r="Q100">
        <v>0.67355777780000003</v>
      </c>
      <c r="R100">
        <v>99.737715109999996</v>
      </c>
      <c r="S100">
        <v>0.20719007179999999</v>
      </c>
      <c r="T100">
        <v>5.5094818300000001E-2</v>
      </c>
      <c r="U100">
        <v>0</v>
      </c>
    </row>
    <row r="101" spans="1:21" x14ac:dyDescent="0.25">
      <c r="A101" s="1" t="s">
        <v>78</v>
      </c>
      <c r="B101">
        <v>2020</v>
      </c>
      <c r="C101" t="str">
        <f>IF(A102=Estimates_of_the_use_of_water__2000_2020[[#This Row],[name]], B102-Estimates_of_the_use_of_water__2000_2020[[#This Row],[year]],"")</f>
        <v/>
      </c>
      <c r="D101">
        <v>5094.1137699999999</v>
      </c>
      <c r="E101">
        <v>80.770996089999997</v>
      </c>
      <c r="F101">
        <v>99.810536929999998</v>
      </c>
      <c r="G101">
        <f>((F102-Estimates_of_the_use_of_water__2000_2020[[#This Row],[wat_bas_n]])/(B102-Estimates_of_the_use_of_water__2000_2020[[#This Row],[year]]))</f>
        <v>5.7469540059999984</v>
      </c>
      <c r="H101">
        <f>((N102-Estimates_of_the_use_of_water__2000_2020[[#This Row],[wat_bas_r]])/(B102-Estimates_of_the_use_of_water__2000_2020[[#This Row],[year]]))</f>
        <v>8.7606156559999988</v>
      </c>
      <c r="I101">
        <f>(R102-Estimates_of_the_use_of_water__2000_2020[[#This Row],[wat_bas_u]])/(B102-Estimates_of_the_use_of_water__2000_2020[[#This Row],[year]])</f>
        <v>2.639741502000001</v>
      </c>
      <c r="J101">
        <f>ABS(Estimates_of_the_use_of_water__2000_2020[[#This Row],[ARC_r]]-Estimates_of_the_use_of_water__2000_2020[[#This Row],[ARC_u]])</f>
        <v>6.1208741539999973</v>
      </c>
      <c r="K101">
        <v>0.18945947460000001</v>
      </c>
      <c r="L101">
        <v>3.5944518969999999E-6</v>
      </c>
      <c r="M101">
        <v>0</v>
      </c>
      <c r="N101">
        <v>99.646249999999995</v>
      </c>
      <c r="O101">
        <v>0.35375000000000001</v>
      </c>
      <c r="P101">
        <v>0</v>
      </c>
      <c r="Q101">
        <v>0</v>
      </c>
      <c r="R101">
        <v>99.849652860000006</v>
      </c>
      <c r="S101">
        <v>0.15034714290000001</v>
      </c>
      <c r="T101">
        <v>0</v>
      </c>
      <c r="U101">
        <v>0</v>
      </c>
    </row>
    <row r="102" spans="1:21" x14ac:dyDescent="0.25">
      <c r="A102" s="1" t="s">
        <v>213</v>
      </c>
      <c r="B102">
        <v>2015</v>
      </c>
      <c r="C102">
        <f>IF(A103=Estimates_of_the_use_of_water__2000_2020[[#This Row],[name]], B103-Estimates_of_the_use_of_water__2000_2020[[#This Row],[year]],"")</f>
        <v>5</v>
      </c>
      <c r="D102">
        <v>23226.148440000001</v>
      </c>
      <c r="E102">
        <v>49.444000240000001</v>
      </c>
      <c r="F102">
        <v>71.075766900000005</v>
      </c>
      <c r="G102">
        <f>((F103-Estimates_of_the_use_of_water__2000_2020[[#This Row],[wat_bas_n]])/(B103-Estimates_of_the_use_of_water__2000_2020[[#This Row],[year]]))</f>
        <v>-3.333930200000168E-2</v>
      </c>
      <c r="H102">
        <f>((N103-Estimates_of_the_use_of_water__2000_2020[[#This Row],[wat_bas_r]])/(B103-Estimates_of_the_use_of_water__2000_2020[[#This Row],[year]]))</f>
        <v>-2.4144972000000563E-2</v>
      </c>
      <c r="I102">
        <f>(R103-Estimates_of_the_use_of_water__2000_2020[[#This Row],[wat_bas_u]])/(B103-Estimates_of_the_use_of_water__2000_2020[[#This Row],[year]])</f>
        <v>-0.31147841199999959</v>
      </c>
      <c r="J102">
        <f>ABS(Estimates_of_the_use_of_water__2000_2020[[#This Row],[ARC_r]]-Estimates_of_the_use_of_water__2000_2020[[#This Row],[ARC_u]])</f>
        <v>0.28733343999999905</v>
      </c>
      <c r="K102">
        <v>8.7671364589999996</v>
      </c>
      <c r="L102">
        <v>14.417680539999999</v>
      </c>
      <c r="M102">
        <v>5.7394160950000002</v>
      </c>
      <c r="N102">
        <v>55.843171720000001</v>
      </c>
      <c r="O102">
        <v>13.188467299999999</v>
      </c>
      <c r="P102">
        <v>22.631284709999999</v>
      </c>
      <c r="Q102">
        <v>8.3370762729999992</v>
      </c>
      <c r="R102">
        <v>86.650945350000001</v>
      </c>
      <c r="S102">
        <v>4.2463692540000002</v>
      </c>
      <c r="T102">
        <v>6.0193512360000003</v>
      </c>
      <c r="U102">
        <v>3.083334164</v>
      </c>
    </row>
    <row r="103" spans="1:21" x14ac:dyDescent="0.25">
      <c r="A103" s="1" t="s">
        <v>213</v>
      </c>
      <c r="B103">
        <v>2020</v>
      </c>
      <c r="C103" t="str">
        <f>IF(A104=Estimates_of_the_use_of_water__2000_2020[[#This Row],[name]], B104-Estimates_of_the_use_of_water__2000_2020[[#This Row],[year]],"")</f>
        <v/>
      </c>
      <c r="D103">
        <v>26378.275389999999</v>
      </c>
      <c r="E103">
        <v>51.70599747</v>
      </c>
      <c r="F103">
        <v>70.909070389999997</v>
      </c>
      <c r="G103">
        <f>((F104-Estimates_of_the_use_of_water__2000_2020[[#This Row],[wat_bas_n]])/(B104-Estimates_of_the_use_of_water__2000_2020[[#This Row],[year]]))</f>
        <v>14.181814077999999</v>
      </c>
      <c r="H103">
        <f>((N104-Estimates_of_the_use_of_water__2000_2020[[#This Row],[wat_bas_r]])/(B104-Estimates_of_the_use_of_water__2000_2020[[#This Row],[year]]))</f>
        <v>11.144489371999999</v>
      </c>
      <c r="I103">
        <f>(R104-Estimates_of_the_use_of_water__2000_2020[[#This Row],[wat_bas_u]])/(B104-Estimates_of_the_use_of_water__2000_2020[[#This Row],[year]])</f>
        <v>-2.9812893419999993</v>
      </c>
      <c r="J103">
        <f>ABS(Estimates_of_the_use_of_water__2000_2020[[#This Row],[ARC_r]]-Estimates_of_the_use_of_water__2000_2020[[#This Row],[ARC_u]])</f>
        <v>14.125778713999999</v>
      </c>
      <c r="K103">
        <v>8.9354217019999993</v>
      </c>
      <c r="L103">
        <v>14.192441609999999</v>
      </c>
      <c r="M103">
        <v>5.9630662929999998</v>
      </c>
      <c r="N103">
        <v>55.722446859999998</v>
      </c>
      <c r="O103">
        <v>13.343168289999999</v>
      </c>
      <c r="P103">
        <v>23.17527956</v>
      </c>
      <c r="Q103">
        <v>7.7591052889999998</v>
      </c>
      <c r="R103">
        <v>85.093553290000003</v>
      </c>
      <c r="S103">
        <v>4.8185351560000003</v>
      </c>
      <c r="T103">
        <v>5.8023665600000003</v>
      </c>
      <c r="U103">
        <v>4.2855449940000003</v>
      </c>
    </row>
    <row r="104" spans="1:21" x14ac:dyDescent="0.25">
      <c r="A104" s="1" t="s">
        <v>16</v>
      </c>
      <c r="B104">
        <v>2015</v>
      </c>
      <c r="C104">
        <f>IF(A105=Estimates_of_the_use_of_water__2000_2020[[#This Row],[name]], B105-Estimates_of_the_use_of_water__2000_2020[[#This Row],[year]],"")</f>
        <v>5</v>
      </c>
      <c r="D104">
        <v>4232.8740230000003</v>
      </c>
      <c r="E104">
        <v>56.155002590000002</v>
      </c>
      <c r="G104">
        <f>((F105-Estimates_of_the_use_of_water__2000_2020[[#This Row],[wat_bas_n]])/(B105-Estimates_of_the_use_of_water__2000_2020[[#This Row],[year]]))</f>
        <v>0</v>
      </c>
      <c r="H104">
        <f>((N105-Estimates_of_the_use_of_water__2000_2020[[#This Row],[wat_bas_r]])/(B105-Estimates_of_the_use_of_water__2000_2020[[#This Row],[year]]))</f>
        <v>0</v>
      </c>
      <c r="I104">
        <f>(R105-Estimates_of_the_use_of_water__2000_2020[[#This Row],[wat_bas_u]])/(B105-Estimates_of_the_use_of_water__2000_2020[[#This Row],[year]])</f>
        <v>0</v>
      </c>
      <c r="J104">
        <f>ABS(Estimates_of_the_use_of_water__2000_2020[[#This Row],[ARC_r]]-Estimates_of_the_use_of_water__2000_2020[[#This Row],[ARC_u]])</f>
        <v>0</v>
      </c>
      <c r="R104">
        <v>100</v>
      </c>
      <c r="S104">
        <v>0</v>
      </c>
      <c r="T104">
        <v>0</v>
      </c>
      <c r="U104">
        <v>0</v>
      </c>
    </row>
    <row r="105" spans="1:21" x14ac:dyDescent="0.25">
      <c r="A105" s="1" t="s">
        <v>16</v>
      </c>
      <c r="B105">
        <v>2020</v>
      </c>
      <c r="C105" t="str">
        <f>IF(A106=Estimates_of_the_use_of_water__2000_2020[[#This Row],[name]], B106-Estimates_of_the_use_of_water__2000_2020[[#This Row],[year]],"")</f>
        <v/>
      </c>
      <c r="D105">
        <v>4105.2680659999996</v>
      </c>
      <c r="E105">
        <v>57.552997589999997</v>
      </c>
      <c r="G105">
        <f>((F106-Estimates_of_the_use_of_water__2000_2020[[#This Row],[wat_bas_n]])/(B106-Estimates_of_the_use_of_water__2000_2020[[#This Row],[year]]))</f>
        <v>-19.174359294000002</v>
      </c>
      <c r="H105">
        <f>((N106-Estimates_of_the_use_of_water__2000_2020[[#This Row],[wat_bas_r]])/(B106-Estimates_of_the_use_of_water__2000_2020[[#This Row],[year]]))</f>
        <v>-18.089012132000001</v>
      </c>
      <c r="I105">
        <f>(R106-Estimates_of_the_use_of_water__2000_2020[[#This Row],[wat_bas_u]])/(B106-Estimates_of_the_use_of_water__2000_2020[[#This Row],[year]])</f>
        <v>0.49953972600000041</v>
      </c>
      <c r="J105">
        <f>ABS(Estimates_of_the_use_of_water__2000_2020[[#This Row],[ARC_r]]-Estimates_of_the_use_of_water__2000_2020[[#This Row],[ARC_u]])</f>
        <v>18.588551858000002</v>
      </c>
      <c r="R105">
        <v>100</v>
      </c>
      <c r="S105">
        <v>0</v>
      </c>
      <c r="T105">
        <v>0</v>
      </c>
      <c r="U105">
        <v>0</v>
      </c>
    </row>
    <row r="106" spans="1:21" x14ac:dyDescent="0.25">
      <c r="A106" s="1" t="s">
        <v>133</v>
      </c>
      <c r="B106">
        <v>2015</v>
      </c>
      <c r="C106">
        <f>IF(A107=Estimates_of_the_use_of_water__2000_2020[[#This Row],[name]], B107-Estimates_of_the_use_of_water__2000_2020[[#This Row],[year]],"")</f>
        <v>5</v>
      </c>
      <c r="D106">
        <v>11324.777340000001</v>
      </c>
      <c r="E106">
        <v>76.896003719999996</v>
      </c>
      <c r="F106">
        <v>95.871796470000007</v>
      </c>
      <c r="G106">
        <f>((F107-Estimates_of_the_use_of_water__2000_2020[[#This Row],[wat_bas_n]])/(B107-Estimates_of_the_use_of_water__2000_2020[[#This Row],[year]]))</f>
        <v>0.22617993799999853</v>
      </c>
      <c r="H106">
        <f>((N107-Estimates_of_the_use_of_water__2000_2020[[#This Row],[wat_bas_r]])/(B107-Estimates_of_the_use_of_water__2000_2020[[#This Row],[year]]))</f>
        <v>0.78831809600000047</v>
      </c>
      <c r="I106">
        <f>(R107-Estimates_of_the_use_of_water__2000_2020[[#This Row],[wat_bas_u]])/(B107-Estimates_of_the_use_of_water__2000_2020[[#This Row],[year]])</f>
        <v>5.4655053999999835E-2</v>
      </c>
      <c r="J106">
        <f>ABS(Estimates_of_the_use_of_water__2000_2020[[#This Row],[ARC_r]]-Estimates_of_the_use_of_water__2000_2020[[#This Row],[ARC_u]])</f>
        <v>0.73366304200000065</v>
      </c>
      <c r="K106">
        <v>1.7502537890000001</v>
      </c>
      <c r="L106">
        <v>1.99464</v>
      </c>
      <c r="M106">
        <v>0.38330973619999997</v>
      </c>
      <c r="N106">
        <v>90.445060659999996</v>
      </c>
      <c r="O106">
        <v>3.3621971309999998</v>
      </c>
      <c r="P106">
        <v>4.747322467</v>
      </c>
      <c r="Q106">
        <v>1.445419738</v>
      </c>
      <c r="R106">
        <v>97.502301369999998</v>
      </c>
      <c r="S106">
        <v>1.2659328999999999</v>
      </c>
      <c r="T106">
        <v>1.167575187</v>
      </c>
      <c r="U106">
        <v>6.4190542059999994E-2</v>
      </c>
    </row>
    <row r="107" spans="1:21" x14ac:dyDescent="0.25">
      <c r="A107" s="1" t="s">
        <v>133</v>
      </c>
      <c r="B107">
        <v>2020</v>
      </c>
      <c r="C107" t="str">
        <f>IF(A108=Estimates_of_the_use_of_water__2000_2020[[#This Row],[name]], B108-Estimates_of_the_use_of_water__2000_2020[[#This Row],[year]],"")</f>
        <v/>
      </c>
      <c r="D107">
        <v>11326.61621</v>
      </c>
      <c r="E107">
        <v>77.194000239999994</v>
      </c>
      <c r="F107">
        <v>97.002696159999999</v>
      </c>
      <c r="G107">
        <f>((F108-Estimates_of_the_use_of_water__2000_2020[[#This Row],[wat_bas_n]])/(B108-Estimates_of_the_use_of_water__2000_2020[[#This Row],[year]]))</f>
        <v>-0.49901113800000019</v>
      </c>
      <c r="H107">
        <f>((N108-Estimates_of_the_use_of_water__2000_2020[[#This Row],[wat_bas_r]])/(B108-Estimates_of_the_use_of_water__2000_2020[[#This Row],[year]]))</f>
        <v>18.877330227999998</v>
      </c>
      <c r="I107">
        <f>(R108-Estimates_of_the_use_of_water__2000_2020[[#This Row],[wat_bas_u]])/(B108-Estimates_of_the_use_of_water__2000_2020[[#This Row],[year]])</f>
        <v>19.555115327999999</v>
      </c>
      <c r="J107">
        <f>ABS(Estimates_of_the_use_of_water__2000_2020[[#This Row],[ARC_r]]-Estimates_of_the_use_of_water__2000_2020[[#This Row],[ARC_u]])</f>
        <v>0.67778510000000125</v>
      </c>
      <c r="K107">
        <v>1.471384542</v>
      </c>
      <c r="L107">
        <v>1.252811506</v>
      </c>
      <c r="M107">
        <v>0.27310779629999998</v>
      </c>
      <c r="N107">
        <v>94.386651139999998</v>
      </c>
      <c r="O107">
        <v>2.591752445</v>
      </c>
      <c r="P107">
        <v>1.9059729350000001</v>
      </c>
      <c r="Q107">
        <v>1.115623477</v>
      </c>
      <c r="R107">
        <v>97.775576639999997</v>
      </c>
      <c r="S107">
        <v>1.1403859000000001</v>
      </c>
      <c r="T107">
        <v>1.059840374</v>
      </c>
      <c r="U107">
        <v>2.4197084109999999E-2</v>
      </c>
    </row>
    <row r="108" spans="1:21" x14ac:dyDescent="0.25">
      <c r="A108" s="1" t="s">
        <v>92</v>
      </c>
      <c r="B108">
        <v>2015</v>
      </c>
      <c r="C108">
        <f>IF(A109=Estimates_of_the_use_of_water__2000_2020[[#This Row],[name]], B109-Estimates_of_the_use_of_water__2000_2020[[#This Row],[year]],"")</f>
        <v>2</v>
      </c>
      <c r="D108">
        <v>159.8500061</v>
      </c>
      <c r="E108">
        <v>89.35199738</v>
      </c>
      <c r="F108">
        <v>99.49775185</v>
      </c>
      <c r="G108">
        <f>((F109-Estimates_of_the_use_of_water__2000_2020[[#This Row],[wat_bas_n]])/(B109-Estimates_of_the_use_of_water__2000_2020[[#This Row],[year]]))</f>
        <v>0</v>
      </c>
      <c r="H108">
        <f>((N109-Estimates_of_the_use_of_water__2000_2020[[#This Row],[wat_bas_r]])/(B109-Estimates_of_the_use_of_water__2000_2020[[#This Row],[year]]))</f>
        <v>0</v>
      </c>
      <c r="I108">
        <f>(R109-Estimates_of_the_use_of_water__2000_2020[[#This Row],[wat_bas_u]])/(B109-Estimates_of_the_use_of_water__2000_2020[[#This Row],[year]])</f>
        <v>0</v>
      </c>
      <c r="J108">
        <f>ABS(Estimates_of_the_use_of_water__2000_2020[[#This Row],[ARC_r]]-Estimates_of_the_use_of_water__2000_2020[[#This Row],[ARC_u]])</f>
        <v>0</v>
      </c>
      <c r="K108">
        <v>0</v>
      </c>
      <c r="L108">
        <v>0.50224815249999999</v>
      </c>
      <c r="M108">
        <v>0</v>
      </c>
    </row>
    <row r="109" spans="1:21" x14ac:dyDescent="0.25">
      <c r="A109" s="1" t="s">
        <v>92</v>
      </c>
      <c r="B109">
        <v>2017</v>
      </c>
      <c r="C109" t="str">
        <f>IF(A110=Estimates_of_the_use_of_water__2000_2020[[#This Row],[name]], B110-Estimates_of_the_use_of_water__2000_2020[[#This Row],[year]],"")</f>
        <v/>
      </c>
      <c r="D109">
        <v>161.98599239999999</v>
      </c>
      <c r="E109">
        <v>89.203002929999997</v>
      </c>
      <c r="F109">
        <v>99.49775185</v>
      </c>
      <c r="G109">
        <f>((F110-Estimates_of_the_use_of_water__2000_2020[[#This Row],[wat_bas_n]])/(B110-Estimates_of_the_use_of_water__2000_2020[[#This Row],[year]]))</f>
        <v>-0.145382859999998</v>
      </c>
      <c r="H109">
        <f>((N110-Estimates_of_the_use_of_water__2000_2020[[#This Row],[wat_bas_r]])/(B110-Estimates_of_the_use_of_water__2000_2020[[#This Row],[year]]))</f>
        <v>-49.930592769999997</v>
      </c>
      <c r="I109">
        <f>(R110-Estimates_of_the_use_of_water__2000_2020[[#This Row],[wat_bas_u]])/(B110-Estimates_of_the_use_of_water__2000_2020[[#This Row],[year]])</f>
        <v>-49.876321154999999</v>
      </c>
      <c r="J109">
        <f>ABS(Estimates_of_the_use_of_water__2000_2020[[#This Row],[ARC_r]]-Estimates_of_the_use_of_water__2000_2020[[#This Row],[ARC_u]])</f>
        <v>5.4271614999997553E-2</v>
      </c>
      <c r="K109">
        <v>0</v>
      </c>
      <c r="L109">
        <v>0.50224815249999999</v>
      </c>
      <c r="M109">
        <v>0</v>
      </c>
    </row>
    <row r="110" spans="1:21" x14ac:dyDescent="0.25">
      <c r="A110" s="1" t="s">
        <v>80</v>
      </c>
      <c r="B110">
        <v>2015</v>
      </c>
      <c r="C110">
        <f>IF(A111=Estimates_of_the_use_of_water__2000_2020[[#This Row],[name]], B111-Estimates_of_the_use_of_water__2000_2020[[#This Row],[year]],"")</f>
        <v>5</v>
      </c>
      <c r="D110">
        <v>1160.987061</v>
      </c>
      <c r="E110">
        <v>66.945999150000006</v>
      </c>
      <c r="F110">
        <v>99.788517569999996</v>
      </c>
      <c r="G110">
        <f>((F111-Estimates_of_the_use_of_water__2000_2020[[#This Row],[wat_bas_n]])/(B111-Estimates_of_the_use_of_water__2000_2020[[#This Row],[year]]))</f>
        <v>-4.668877999998244E-3</v>
      </c>
      <c r="H110">
        <f>((N111-Estimates_of_the_use_of_water__2000_2020[[#This Row],[wat_bas_r]])/(B111-Estimates_of_the_use_of_water__2000_2020[[#This Row],[year]]))</f>
        <v>-3.0847639999990405E-3</v>
      </c>
      <c r="I110">
        <f>(R111-Estimates_of_the_use_of_water__2000_2020[[#This Row],[wat_bas_u]])/(B111-Estimates_of_the_use_of_water__2000_2020[[#This Row],[year]])</f>
        <v>-5.4968379999991157E-3</v>
      </c>
      <c r="J110">
        <f>ABS(Estimates_of_the_use_of_water__2000_2020[[#This Row],[ARC_r]]-Estimates_of_the_use_of_water__2000_2020[[#This Row],[ARC_u]])</f>
        <v>2.4120740000000752E-3</v>
      </c>
      <c r="K110">
        <v>0</v>
      </c>
      <c r="L110">
        <v>0.21148243489999999</v>
      </c>
      <c r="M110">
        <v>0</v>
      </c>
      <c r="N110">
        <v>99.861185539999994</v>
      </c>
      <c r="O110">
        <v>0</v>
      </c>
      <c r="P110">
        <v>0.1388144553</v>
      </c>
      <c r="Q110">
        <v>0</v>
      </c>
      <c r="R110">
        <v>99.752642309999999</v>
      </c>
      <c r="S110">
        <v>0</v>
      </c>
      <c r="T110">
        <v>0.24735769430000001</v>
      </c>
      <c r="U110">
        <v>0</v>
      </c>
    </row>
    <row r="111" spans="1:21" x14ac:dyDescent="0.25">
      <c r="A111" s="1" t="s">
        <v>80</v>
      </c>
      <c r="B111">
        <v>2020</v>
      </c>
      <c r="C111" t="str">
        <f>IF(A112=Estimates_of_the_use_of_water__2000_2020[[#This Row],[name]], B112-Estimates_of_the_use_of_water__2000_2020[[#This Row],[year]],"")</f>
        <v/>
      </c>
      <c r="D111">
        <v>1207.360962</v>
      </c>
      <c r="E111">
        <v>66.820999150000006</v>
      </c>
      <c r="F111">
        <v>99.765173180000005</v>
      </c>
      <c r="G111">
        <f>((F112-Estimates_of_the_use_of_water__2000_2020[[#This Row],[wat_bas_n]])/(B112-Estimates_of_the_use_of_water__2000_2020[[#This Row],[year]]))</f>
        <v>-2.2983901999998578E-2</v>
      </c>
      <c r="H111">
        <f>((N112-Estimates_of_the_use_of_water__2000_2020[[#This Row],[wat_bas_r]])/(B112-Estimates_of_the_use_of_water__2000_2020[[#This Row],[year]]))</f>
        <v>5.6324840000002039E-3</v>
      </c>
      <c r="I111">
        <f>(R112-Estimates_of_the_use_of_water__2000_2020[[#This Row],[wat_bas_u]])/(B112-Estimates_of_the_use_of_water__2000_2020[[#This Row],[year]])</f>
        <v>-3.5498561999997943E-2</v>
      </c>
      <c r="J111">
        <f>ABS(Estimates_of_the_use_of_water__2000_2020[[#This Row],[ARC_r]]-Estimates_of_the_use_of_water__2000_2020[[#This Row],[ARC_u]])</f>
        <v>4.1131045999998145E-2</v>
      </c>
      <c r="K111">
        <v>0</v>
      </c>
      <c r="L111">
        <v>0.2348268167</v>
      </c>
      <c r="M111">
        <v>0</v>
      </c>
      <c r="N111">
        <v>99.845761719999999</v>
      </c>
      <c r="O111">
        <v>0</v>
      </c>
      <c r="P111">
        <v>0.1542382836</v>
      </c>
      <c r="Q111">
        <v>0</v>
      </c>
      <c r="R111">
        <v>99.725158120000003</v>
      </c>
      <c r="S111">
        <v>0</v>
      </c>
      <c r="T111">
        <v>0.27484188250000002</v>
      </c>
      <c r="U111">
        <v>0</v>
      </c>
    </row>
    <row r="112" spans="1:21" x14ac:dyDescent="0.25">
      <c r="A112" s="1" t="s">
        <v>73</v>
      </c>
      <c r="B112">
        <v>2015</v>
      </c>
      <c r="C112">
        <f>IF(A113=Estimates_of_the_use_of_water__2000_2020[[#This Row],[name]], B113-Estimates_of_the_use_of_water__2000_2020[[#This Row],[year]],"")</f>
        <v>5</v>
      </c>
      <c r="D112">
        <v>10601.389649999999</v>
      </c>
      <c r="E112">
        <v>73.47699738</v>
      </c>
      <c r="F112">
        <v>99.880092689999998</v>
      </c>
      <c r="G112">
        <f>((F113-Estimates_of_the_use_of_water__2000_2020[[#This Row],[wat_bas_n]])/(B113-Estimates_of_the_use_of_water__2000_2020[[#This Row],[year]]))</f>
        <v>9.9796000000651475E-5</v>
      </c>
      <c r="H112">
        <f>((N113-Estimates_of_the_use_of_water__2000_2020[[#This Row],[wat_bas_r]])/(B113-Estimates_of_the_use_of_water__2000_2020[[#This Row],[year]]))</f>
        <v>0</v>
      </c>
      <c r="I112">
        <f>(R113-Estimates_of_the_use_of_water__2000_2020[[#This Row],[wat_bas_u]])/(B113-Estimates_of_the_use_of_water__2000_2020[[#This Row],[year]])</f>
        <v>0</v>
      </c>
      <c r="J112">
        <f>ABS(Estimates_of_the_use_of_water__2000_2020[[#This Row],[ARC_r]]-Estimates_of_the_use_of_water__2000_2020[[#This Row],[ARC_u]])</f>
        <v>0</v>
      </c>
      <c r="K112">
        <v>0</v>
      </c>
      <c r="L112">
        <v>0.11990731189999999</v>
      </c>
      <c r="M112">
        <v>0</v>
      </c>
      <c r="N112">
        <v>99.817599299999998</v>
      </c>
      <c r="O112">
        <v>0</v>
      </c>
      <c r="P112">
        <v>0.18240069649999999</v>
      </c>
      <c r="Q112">
        <v>0</v>
      </c>
      <c r="R112">
        <v>99.902650929999993</v>
      </c>
      <c r="S112">
        <v>0</v>
      </c>
      <c r="T112">
        <v>9.7349067900000003E-2</v>
      </c>
      <c r="U112">
        <v>0</v>
      </c>
    </row>
    <row r="113" spans="1:21" x14ac:dyDescent="0.25">
      <c r="A113" s="1" t="s">
        <v>73</v>
      </c>
      <c r="B113">
        <v>2020</v>
      </c>
      <c r="C113" t="str">
        <f>IF(A114=Estimates_of_the_use_of_water__2000_2020[[#This Row],[name]], B114-Estimates_of_the_use_of_water__2000_2020[[#This Row],[year]],"")</f>
        <v/>
      </c>
      <c r="D113">
        <v>10708.98242</v>
      </c>
      <c r="E113">
        <v>74.061004639999993</v>
      </c>
      <c r="F113">
        <v>99.880591670000001</v>
      </c>
      <c r="G113">
        <f>((F114-Estimates_of_the_use_of_water__2000_2020[[#This Row],[wat_bas_n]])/(B114-Estimates_of_the_use_of_water__2000_2020[[#This Row],[year]]))</f>
        <v>0.93314199200000014</v>
      </c>
      <c r="H113">
        <f>((N114-Estimates_of_the_use_of_water__2000_2020[[#This Row],[wat_bas_r]])/(B114-Estimates_of_the_use_of_water__2000_2020[[#This Row],[year]]))</f>
        <v>1.6401261759999983</v>
      </c>
      <c r="I113">
        <f>(R114-Estimates_of_the_use_of_water__2000_2020[[#This Row],[wat_bas_u]])/(B114-Estimates_of_the_use_of_water__2000_2020[[#This Row],[year]])</f>
        <v>0.48282538199999864</v>
      </c>
      <c r="J113">
        <f>ABS(Estimates_of_the_use_of_water__2000_2020[[#This Row],[ARC_r]]-Estimates_of_the_use_of_water__2000_2020[[#This Row],[ARC_u]])</f>
        <v>1.1573007939999997</v>
      </c>
      <c r="K113">
        <v>0</v>
      </c>
      <c r="L113">
        <v>0.11940833250000001</v>
      </c>
      <c r="M113">
        <v>0</v>
      </c>
      <c r="N113">
        <v>99.817599299999998</v>
      </c>
      <c r="O113">
        <v>0</v>
      </c>
      <c r="P113">
        <v>0.18240069649999999</v>
      </c>
      <c r="Q113">
        <v>0</v>
      </c>
      <c r="R113">
        <v>99.902650929999993</v>
      </c>
      <c r="S113">
        <v>0</v>
      </c>
      <c r="T113">
        <v>9.7349067900000003E-2</v>
      </c>
      <c r="U113">
        <v>0</v>
      </c>
    </row>
    <row r="114" spans="1:21" x14ac:dyDescent="0.25">
      <c r="A114" s="1" t="s">
        <v>154</v>
      </c>
      <c r="B114">
        <v>2015</v>
      </c>
      <c r="C114">
        <f>IF(A115=Estimates_of_the_use_of_water__2000_2020[[#This Row],[name]], B115-Estimates_of_the_use_of_water__2000_2020[[#This Row],[year]],"")</f>
        <v>5</v>
      </c>
      <c r="D114">
        <v>25183.832030000001</v>
      </c>
      <c r="E114">
        <v>61.277004239999997</v>
      </c>
      <c r="F114">
        <v>95.21488171</v>
      </c>
      <c r="G114">
        <f>((F115-Estimates_of_the_use_of_water__2000_2020[[#This Row],[wat_bas_n]])/(B115-Estimates_of_the_use_of_water__2000_2020[[#This Row],[year]]))</f>
        <v>-0.27420773599999959</v>
      </c>
      <c r="H114">
        <f>((N115-Estimates_of_the_use_of_water__2000_2020[[#This Row],[wat_bas_r]])/(B115-Estimates_of_the_use_of_water__2000_2020[[#This Row],[year]]))</f>
        <v>-0.57266870800000047</v>
      </c>
      <c r="I114">
        <f>(R115-Estimates_of_the_use_of_water__2000_2020[[#This Row],[wat_bas_u]])/(B115-Estimates_of_the_use_of_water__2000_2020[[#This Row],[year]])</f>
        <v>-0.11500271600000075</v>
      </c>
      <c r="J114">
        <f>ABS(Estimates_of_the_use_of_water__2000_2020[[#This Row],[ARC_r]]-Estimates_of_the_use_of_water__2000_2020[[#This Row],[ARC_u]])</f>
        <v>0.45766599199999969</v>
      </c>
      <c r="K114">
        <v>0.68500239009999997</v>
      </c>
      <c r="L114">
        <v>3.8290549180000002</v>
      </c>
      <c r="M114">
        <v>0.27106098029999998</v>
      </c>
      <c r="N114">
        <v>91.616968420000006</v>
      </c>
      <c r="O114">
        <v>0.36793963219999998</v>
      </c>
      <c r="P114">
        <v>7.3150919439999997</v>
      </c>
      <c r="Q114">
        <v>0.7</v>
      </c>
      <c r="R114">
        <v>97.48852402</v>
      </c>
      <c r="S114">
        <v>0.88536500119999995</v>
      </c>
      <c r="T114">
        <v>1.626110978</v>
      </c>
      <c r="U114">
        <v>0</v>
      </c>
    </row>
    <row r="115" spans="1:21" x14ac:dyDescent="0.25">
      <c r="A115" s="1" t="s">
        <v>154</v>
      </c>
      <c r="B115">
        <v>2020</v>
      </c>
      <c r="C115" t="str">
        <f>IF(A116=Estimates_of_the_use_of_water__2000_2020[[#This Row],[name]], B116-Estimates_of_the_use_of_water__2000_2020[[#This Row],[year]],"")</f>
        <v/>
      </c>
      <c r="D115">
        <v>25778.814450000002</v>
      </c>
      <c r="E115">
        <v>62.381000520000001</v>
      </c>
      <c r="F115">
        <v>93.843843030000002</v>
      </c>
      <c r="G115">
        <f>((F116-Estimates_of_the_use_of_water__2000_2020[[#This Row],[wat_bas_n]])/(B116-Estimates_of_the_use_of_water__2000_2020[[#This Row],[year]]))</f>
        <v>10.225132611999999</v>
      </c>
      <c r="H115">
        <f>((N116-Estimates_of_the_use_of_water__2000_2020[[#This Row],[wat_bas_r]])/(B116-Estimates_of_the_use_of_water__2000_2020[[#This Row],[year]]))</f>
        <v>13.626222216000002</v>
      </c>
      <c r="I115">
        <f>(R116-Estimates_of_the_use_of_water__2000_2020[[#This Row],[wat_bas_u]])/(B116-Estimates_of_the_use_of_water__2000_2020[[#This Row],[year]])</f>
        <v>4.9186265300000001</v>
      </c>
      <c r="J115">
        <f>ABS(Estimates_of_the_use_of_water__2000_2020[[#This Row],[ARC_r]]-Estimates_of_the_use_of_water__2000_2020[[#This Row],[ARC_u]])</f>
        <v>8.7075956860000012</v>
      </c>
      <c r="K115">
        <v>0.68313118719999999</v>
      </c>
      <c r="L115">
        <v>5.2096927800000001</v>
      </c>
      <c r="M115">
        <v>0.26333300580000002</v>
      </c>
      <c r="N115">
        <v>88.753624880000004</v>
      </c>
      <c r="O115">
        <v>0.3564402606</v>
      </c>
      <c r="P115">
        <v>10.189934859999999</v>
      </c>
      <c r="Q115">
        <v>0.7</v>
      </c>
      <c r="R115">
        <v>96.913510439999996</v>
      </c>
      <c r="S115">
        <v>0.88014287989999995</v>
      </c>
      <c r="T115">
        <v>2.206346677</v>
      </c>
      <c r="U115">
        <v>0</v>
      </c>
    </row>
    <row r="116" spans="1:21" x14ac:dyDescent="0.25">
      <c r="A116" s="1" t="s">
        <v>243</v>
      </c>
      <c r="B116">
        <v>2015</v>
      </c>
      <c r="C116">
        <f>IF(A117=Estimates_of_the_use_of_water__2000_2020[[#This Row],[name]], B117-Estimates_of_the_use_of_water__2000_2020[[#This Row],[year]],"")</f>
        <v>5</v>
      </c>
      <c r="D116">
        <v>76244.53125</v>
      </c>
      <c r="E116">
        <v>42.739997860000003</v>
      </c>
      <c r="F116">
        <v>42.718179970000001</v>
      </c>
      <c r="G116">
        <f>((F117-Estimates_of_the_use_of_water__2000_2020[[#This Row],[wat_bas_n]])/(B117-Estimates_of_the_use_of_water__2000_2020[[#This Row],[year]]))</f>
        <v>0.6467893979999999</v>
      </c>
      <c r="H116">
        <f>((N117-Estimates_of_the_use_of_water__2000_2020[[#This Row],[wat_bas_r]])/(B117-Estimates_of_the_use_of_water__2000_2020[[#This Row],[year]]))</f>
        <v>0.2720557079999999</v>
      </c>
      <c r="I116">
        <f>(R117-Estimates_of_the_use_of_water__2000_2020[[#This Row],[wat_bas_u]])/(B117-Estimates_of_the_use_of_water__2000_2020[[#This Row],[year]])</f>
        <v>0.43659539800000002</v>
      </c>
      <c r="J116">
        <f>ABS(Estimates_of_the_use_of_water__2000_2020[[#This Row],[ARC_r]]-Estimates_of_the_use_of_water__2000_2020[[#This Row],[ARC_u]])</f>
        <v>0.16453969000000013</v>
      </c>
      <c r="K116">
        <v>12.68729907</v>
      </c>
      <c r="L116">
        <v>34.284024770000002</v>
      </c>
      <c r="M116">
        <v>10.31049619</v>
      </c>
      <c r="N116">
        <v>20.6225138</v>
      </c>
      <c r="O116">
        <v>11.51689397</v>
      </c>
      <c r="P116">
        <v>51.009840029999999</v>
      </c>
      <c r="Q116">
        <v>16.850752199999999</v>
      </c>
      <c r="R116">
        <v>72.320377789999995</v>
      </c>
      <c r="S116">
        <v>14.255324979999999</v>
      </c>
      <c r="T116">
        <v>11.87596826</v>
      </c>
      <c r="U116">
        <v>1.548328967</v>
      </c>
    </row>
    <row r="117" spans="1:21" x14ac:dyDescent="0.25">
      <c r="A117" s="1" t="s">
        <v>243</v>
      </c>
      <c r="B117">
        <v>2020</v>
      </c>
      <c r="C117" t="str">
        <f>IF(A118=Estimates_of_the_use_of_water__2000_2020[[#This Row],[name]], B118-Estimates_of_the_use_of_water__2000_2020[[#This Row],[year]],"")</f>
        <v/>
      </c>
      <c r="D117">
        <v>89561.40625</v>
      </c>
      <c r="E117">
        <v>45.638000490000003</v>
      </c>
      <c r="F117">
        <v>45.952126960000001</v>
      </c>
      <c r="G117">
        <f>((F118-Estimates_of_the_use_of_water__2000_2020[[#This Row],[wat_bas_n]])/(B118-Estimates_of_the_use_of_water__2000_2020[[#This Row],[year]]))</f>
        <v>-10.809574178</v>
      </c>
      <c r="H117">
        <f>((N118-Estimates_of_the_use_of_water__2000_2020[[#This Row],[wat_bas_r]])/(B118-Estimates_of_the_use_of_water__2000_2020[[#This Row],[year]]))</f>
        <v>-15.603441532</v>
      </c>
      <c r="I117">
        <f>(R118-Estimates_of_the_use_of_water__2000_2020[[#This Row],[wat_bas_u]])/(B118-Estimates_of_the_use_of_water__2000_2020[[#This Row],[year]])</f>
        <v>-5.099329044000001</v>
      </c>
      <c r="J117">
        <f>ABS(Estimates_of_the_use_of_water__2000_2020[[#This Row],[ARC_r]]-Estimates_of_the_use_of_water__2000_2020[[#This Row],[ARC_u]])</f>
        <v>10.504112487999999</v>
      </c>
      <c r="K117">
        <v>13.44122447</v>
      </c>
      <c r="L117">
        <v>32.542316069999998</v>
      </c>
      <c r="M117">
        <v>8.0643324950000004</v>
      </c>
      <c r="N117">
        <v>21.98279234</v>
      </c>
      <c r="O117">
        <v>12.68294146</v>
      </c>
      <c r="P117">
        <v>51.215981669999998</v>
      </c>
      <c r="Q117">
        <v>14.11828453</v>
      </c>
      <c r="R117">
        <v>74.503354779999995</v>
      </c>
      <c r="S117">
        <v>14.34445818</v>
      </c>
      <c r="T117">
        <v>10.29905862</v>
      </c>
      <c r="U117">
        <v>0.85312841309999998</v>
      </c>
    </row>
    <row r="118" spans="1:21" x14ac:dyDescent="0.25">
      <c r="A118" s="1" t="s">
        <v>29</v>
      </c>
      <c r="B118">
        <v>2015</v>
      </c>
      <c r="C118">
        <f>IF(A119=Estimates_of_the_use_of_water__2000_2020[[#This Row],[name]], B119-Estimates_of_the_use_of_water__2000_2020[[#This Row],[year]],"")</f>
        <v>5</v>
      </c>
      <c r="D118">
        <v>5688.6948240000002</v>
      </c>
      <c r="E118">
        <v>87.526000980000006</v>
      </c>
      <c r="F118">
        <v>99.99999785</v>
      </c>
      <c r="G118">
        <f>((F119-Estimates_of_the_use_of_water__2000_2020[[#This Row],[wat_bas_n]])/(B119-Estimates_of_the_use_of_water__2000_2020[[#This Row],[year]]))</f>
        <v>6.5000000120107866E-7</v>
      </c>
      <c r="H118">
        <f>((N119-Estimates_of_the_use_of_water__2000_2020[[#This Row],[wat_bas_r]])/(B119-Estimates_of_the_use_of_water__2000_2020[[#This Row],[year]]))</f>
        <v>0</v>
      </c>
      <c r="I118">
        <f>(R119-Estimates_of_the_use_of_water__2000_2020[[#This Row],[wat_bas_u]])/(B119-Estimates_of_the_use_of_water__2000_2020[[#This Row],[year]])</f>
        <v>0</v>
      </c>
      <c r="J118">
        <f>ABS(Estimates_of_the_use_of_water__2000_2020[[#This Row],[ARC_r]]-Estimates_of_the_use_of_water__2000_2020[[#This Row],[ARC_u]])</f>
        <v>0</v>
      </c>
      <c r="K118">
        <v>0</v>
      </c>
      <c r="L118">
        <v>2.1458404119999999E-6</v>
      </c>
      <c r="M118">
        <v>0</v>
      </c>
      <c r="N118">
        <v>100</v>
      </c>
      <c r="O118">
        <v>0</v>
      </c>
      <c r="P118">
        <v>0</v>
      </c>
      <c r="Q118">
        <v>0</v>
      </c>
      <c r="R118">
        <v>100</v>
      </c>
      <c r="S118">
        <v>0</v>
      </c>
      <c r="T118">
        <v>0</v>
      </c>
      <c r="U118">
        <v>0</v>
      </c>
    </row>
    <row r="119" spans="1:21" x14ac:dyDescent="0.25">
      <c r="A119" s="1" t="s">
        <v>29</v>
      </c>
      <c r="B119">
        <v>2020</v>
      </c>
      <c r="C119" t="str">
        <f>IF(A120=Estimates_of_the_use_of_water__2000_2020[[#This Row],[name]], B120-Estimates_of_the_use_of_water__2000_2020[[#This Row],[year]],"")</f>
        <v/>
      </c>
      <c r="D119">
        <v>5792.203125</v>
      </c>
      <c r="E119">
        <v>88.116004939999996</v>
      </c>
      <c r="F119">
        <v>100.00000110000001</v>
      </c>
      <c r="G119">
        <f>((F120-Estimates_of_the_use_of_water__2000_2020[[#This Row],[wat_bas_n]])/(B120-Estimates_of_the_use_of_water__2000_2020[[#This Row],[year]]))</f>
        <v>4.8425912140000005</v>
      </c>
      <c r="H119">
        <f>((N120-Estimates_of_the_use_of_water__2000_2020[[#This Row],[wat_bas_r]])/(B120-Estimates_of_the_use_of_water__2000_2020[[#This Row],[year]]))</f>
        <v>10.248158982</v>
      </c>
      <c r="I119">
        <f>(R120-Estimates_of_the_use_of_water__2000_2020[[#This Row],[wat_bas_u]])/(B120-Estimates_of_the_use_of_water__2000_2020[[#This Row],[year]])</f>
        <v>3.2657540299999992</v>
      </c>
      <c r="J119">
        <f>ABS(Estimates_of_the_use_of_water__2000_2020[[#This Row],[ARC_r]]-Estimates_of_the_use_of_water__2000_2020[[#This Row],[ARC_u]])</f>
        <v>6.9824049520000004</v>
      </c>
      <c r="K119">
        <v>0</v>
      </c>
      <c r="L119">
        <v>0</v>
      </c>
      <c r="M119">
        <v>0</v>
      </c>
      <c r="N119">
        <v>100</v>
      </c>
      <c r="O119">
        <v>0</v>
      </c>
      <c r="P119">
        <v>0</v>
      </c>
      <c r="Q119">
        <v>0</v>
      </c>
      <c r="R119">
        <v>100</v>
      </c>
      <c r="S119">
        <v>0</v>
      </c>
      <c r="T119">
        <v>0</v>
      </c>
      <c r="U119">
        <v>0</v>
      </c>
    </row>
    <row r="120" spans="1:21" x14ac:dyDescent="0.25">
      <c r="A120" s="1" t="s">
        <v>206</v>
      </c>
      <c r="B120">
        <v>2015</v>
      </c>
      <c r="C120">
        <f>IF(A121=Estimates_of_the_use_of_water__2000_2020[[#This Row],[name]], B121-Estimates_of_the_use_of_water__2000_2020[[#This Row],[year]],"")</f>
        <v>5</v>
      </c>
      <c r="D120">
        <v>913.99798580000004</v>
      </c>
      <c r="E120">
        <v>77.416992190000002</v>
      </c>
      <c r="F120">
        <v>75.787045030000002</v>
      </c>
      <c r="G120">
        <f>((F121-Estimates_of_the_use_of_water__2000_2020[[#This Row],[wat_bas_n]])/(B121-Estimates_of_the_use_of_water__2000_2020[[#This Row],[year]]))</f>
        <v>5.257503599999893E-2</v>
      </c>
      <c r="H120">
        <f>((N121-Estimates_of_the_use_of_water__2000_2020[[#This Row],[wat_bas_r]])/(B121-Estimates_of_the_use_of_water__2000_2020[[#This Row],[year]]))</f>
        <v>-0.29569443200000051</v>
      </c>
      <c r="I120">
        <f>(R121-Estimates_of_the_use_of_water__2000_2020[[#This Row],[wat_bas_u]])/(B121-Estimates_of_the_use_of_water__2000_2020[[#This Row],[year]])</f>
        <v>9.2757015999998776E-2</v>
      </c>
      <c r="J120">
        <f>ABS(Estimates_of_the_use_of_water__2000_2020[[#This Row],[ARC_r]]-Estimates_of_the_use_of_water__2000_2020[[#This Row],[ARC_u]])</f>
        <v>0.38845144799999931</v>
      </c>
      <c r="K120">
        <v>14.754171189999999</v>
      </c>
      <c r="L120">
        <v>7.3949239499999999</v>
      </c>
      <c r="M120">
        <v>2.0638598250000002</v>
      </c>
      <c r="N120">
        <v>48.759205090000002</v>
      </c>
      <c r="O120">
        <v>12.43877762</v>
      </c>
      <c r="P120">
        <v>30.377002539999999</v>
      </c>
      <c r="Q120">
        <v>8.4250147539999993</v>
      </c>
      <c r="R120">
        <v>83.671229850000003</v>
      </c>
      <c r="S120">
        <v>15.42958572</v>
      </c>
      <c r="T120">
        <v>0.69091164790000004</v>
      </c>
      <c r="U120">
        <v>0.20827278539999999</v>
      </c>
    </row>
    <row r="121" spans="1:21" x14ac:dyDescent="0.25">
      <c r="A121" s="1" t="s">
        <v>206</v>
      </c>
      <c r="B121">
        <v>2020</v>
      </c>
      <c r="C121" t="str">
        <f>IF(A122=Estimates_of_the_use_of_water__2000_2020[[#This Row],[name]], B122-Estimates_of_the_use_of_water__2000_2020[[#This Row],[year]],"")</f>
        <v/>
      </c>
      <c r="D121">
        <v>988.00201419999996</v>
      </c>
      <c r="E121">
        <v>78.061996460000003</v>
      </c>
      <c r="F121">
        <v>76.049920209999996</v>
      </c>
      <c r="G121">
        <f>((F122-Estimates_of_the_use_of_water__2000_2020[[#This Row],[wat_bas_n]])/(B122-Estimates_of_the_use_of_water__2000_2020[[#This Row],[year]]))</f>
        <v>-3.8741471700000005</v>
      </c>
      <c r="H121">
        <f>((N122-Estimates_of_the_use_of_water__2000_2020[[#This Row],[wat_bas_r]])/(B122-Estimates_of_the_use_of_water__2000_2020[[#This Row],[year]]))</f>
        <v>9.4561465859999991</v>
      </c>
      <c r="I121">
        <f>(R122-Estimates_of_the_use_of_water__2000_2020[[#This Row],[wat_bas_u]])/(B122-Estimates_of_the_use_of_water__2000_2020[[#This Row],[year]])</f>
        <v>16.827002986</v>
      </c>
      <c r="J121">
        <f>ABS(Estimates_of_the_use_of_water__2000_2020[[#This Row],[ARC_r]]-Estimates_of_the_use_of_water__2000_2020[[#This Row],[ARC_u]])</f>
        <v>7.370856400000001</v>
      </c>
      <c r="K121">
        <v>14.7574817</v>
      </c>
      <c r="L121">
        <v>7.0158760510000002</v>
      </c>
      <c r="M121">
        <v>2.1767220379999999</v>
      </c>
      <c r="N121">
        <v>47.280732929999999</v>
      </c>
      <c r="O121">
        <v>12.061610140000001</v>
      </c>
      <c r="P121">
        <v>30.735504679999998</v>
      </c>
      <c r="Q121">
        <v>9.9221522489999998</v>
      </c>
      <c r="R121">
        <v>84.135014929999997</v>
      </c>
      <c r="S121">
        <v>15.51511107</v>
      </c>
      <c r="T121">
        <v>0.34987400289999998</v>
      </c>
      <c r="U121">
        <v>0</v>
      </c>
    </row>
    <row r="122" spans="1:21" x14ac:dyDescent="0.25">
      <c r="A122" s="1" t="s">
        <v>149</v>
      </c>
      <c r="B122">
        <v>2015</v>
      </c>
      <c r="C122">
        <f>IF(A123=Estimates_of_the_use_of_water__2000_2020[[#This Row],[name]], B123-Estimates_of_the_use_of_water__2000_2020[[#This Row],[year]],"")</f>
        <v>2</v>
      </c>
      <c r="D122">
        <v>71.175003050000001</v>
      </c>
      <c r="E122">
        <v>69.578994750000007</v>
      </c>
      <c r="F122">
        <v>95.420656059999999</v>
      </c>
      <c r="G122">
        <f>((F123-Estimates_of_the_use_of_water__2000_2020[[#This Row],[wat_bas_n]])/(B123-Estimates_of_the_use_of_water__2000_2020[[#This Row],[year]]))</f>
        <v>0</v>
      </c>
      <c r="H122">
        <f>((N123-Estimates_of_the_use_of_water__2000_2020[[#This Row],[wat_bas_r]])/(B123-Estimates_of_the_use_of_water__2000_2020[[#This Row],[year]]))</f>
        <v>0</v>
      </c>
      <c r="I122">
        <f>(R123-Estimates_of_the_use_of_water__2000_2020[[#This Row],[wat_bas_u]])/(B123-Estimates_of_the_use_of_water__2000_2020[[#This Row],[year]])</f>
        <v>0</v>
      </c>
      <c r="J122">
        <f>ABS(Estimates_of_the_use_of_water__2000_2020[[#This Row],[ARC_r]]-Estimates_of_the_use_of_water__2000_2020[[#This Row],[ARC_u]])</f>
        <v>0</v>
      </c>
      <c r="K122">
        <v>0</v>
      </c>
      <c r="L122">
        <v>4.579343937</v>
      </c>
      <c r="M122">
        <v>0</v>
      </c>
    </row>
    <row r="123" spans="1:21" x14ac:dyDescent="0.25">
      <c r="A123" s="1" t="s">
        <v>149</v>
      </c>
      <c r="B123">
        <v>2017</v>
      </c>
      <c r="C123" t="str">
        <f>IF(A124=Estimates_of_the_use_of_water__2000_2020[[#This Row],[name]], B124-Estimates_of_the_use_of_water__2000_2020[[#This Row],[year]],"")</f>
        <v/>
      </c>
      <c r="D123">
        <v>71.459999080000003</v>
      </c>
      <c r="E123">
        <v>70.180999760000006</v>
      </c>
      <c r="F123">
        <v>95.420656059999999</v>
      </c>
      <c r="G123">
        <f>((F124-Estimates_of_the_use_of_water__2000_2020[[#This Row],[wat_bas_n]])/(B124-Estimates_of_the_use_of_water__2000_2020[[#This Row],[year]]))</f>
        <v>-0.33934122000000144</v>
      </c>
      <c r="H123">
        <f>((N124-Estimates_of_the_use_of_water__2000_2020[[#This Row],[wat_bas_r]])/(B124-Estimates_of_the_use_of_water__2000_2020[[#This Row],[year]]))</f>
        <v>-44.605521889999999</v>
      </c>
      <c r="I123">
        <f>(R124-Estimates_of_the_use_of_water__2000_2020[[#This Row],[wat_bas_u]])/(B124-Estimates_of_the_use_of_water__2000_2020[[#This Row],[year]])</f>
        <v>-48.989284904999998</v>
      </c>
      <c r="J123">
        <f>ABS(Estimates_of_the_use_of_water__2000_2020[[#This Row],[ARC_r]]-Estimates_of_the_use_of_water__2000_2020[[#This Row],[ARC_u]])</f>
        <v>4.3837630149999995</v>
      </c>
      <c r="K123">
        <v>0</v>
      </c>
      <c r="L123">
        <v>4.579343937</v>
      </c>
      <c r="M123">
        <v>0</v>
      </c>
    </row>
    <row r="124" spans="1:21" x14ac:dyDescent="0.25">
      <c r="A124" s="1" t="s">
        <v>140</v>
      </c>
      <c r="B124">
        <v>2015</v>
      </c>
      <c r="C124">
        <f>IF(A125=Estimates_of_the_use_of_water__2000_2020[[#This Row],[name]], B125-Estimates_of_the_use_of_water__2000_2020[[#This Row],[year]],"")</f>
        <v>5</v>
      </c>
      <c r="D124">
        <v>10281.674800000001</v>
      </c>
      <c r="E124">
        <v>78.566001889999995</v>
      </c>
      <c r="F124">
        <v>96.099338500000002</v>
      </c>
      <c r="G124">
        <f>((F125-Estimates_of_the_use_of_water__2000_2020[[#This Row],[wat_bas_n]])/(B125-Estimates_of_the_use_of_water__2000_2020[[#This Row],[year]]))</f>
        <v>0.11749468399999899</v>
      </c>
      <c r="H124">
        <f>((N125-Estimates_of_the_use_of_water__2000_2020[[#This Row],[wat_bas_r]])/(B125-Estimates_of_the_use_of_water__2000_2020[[#This Row],[year]]))</f>
        <v>0.21868411800000159</v>
      </c>
      <c r="I124">
        <f>(R125-Estimates_of_the_use_of_water__2000_2020[[#This Row],[wat_bas_u]])/(B125-Estimates_of_the_use_of_water__2000_2020[[#This Row],[year]])</f>
        <v>1.1664354000001254E-2</v>
      </c>
      <c r="J124">
        <f>ABS(Estimates_of_the_use_of_water__2000_2020[[#This Row],[ARC_r]]-Estimates_of_the_use_of_water__2000_2020[[#This Row],[ARC_u]])</f>
        <v>0.20701976400000033</v>
      </c>
      <c r="K124">
        <v>0.69521221550000001</v>
      </c>
      <c r="L124">
        <v>1.5505944979999999</v>
      </c>
      <c r="M124">
        <v>1.654854791</v>
      </c>
      <c r="N124">
        <v>89.211043779999997</v>
      </c>
      <c r="O124">
        <v>1.8228771610000001</v>
      </c>
      <c r="P124">
        <v>2.4418886230000001</v>
      </c>
      <c r="Q124">
        <v>6.5241904399999999</v>
      </c>
      <c r="R124">
        <v>97.978569809999996</v>
      </c>
      <c r="S124">
        <v>0.3875681084</v>
      </c>
      <c r="T124">
        <v>1.3074359369999999</v>
      </c>
      <c r="U124">
        <v>0.32642614349999999</v>
      </c>
    </row>
    <row r="125" spans="1:21" x14ac:dyDescent="0.25">
      <c r="A125" s="1" t="s">
        <v>140</v>
      </c>
      <c r="B125">
        <v>2020</v>
      </c>
      <c r="C125" t="str">
        <f>IF(A126=Estimates_of_the_use_of_water__2000_2020[[#This Row],[name]], B126-Estimates_of_the_use_of_water__2000_2020[[#This Row],[year]],"")</f>
        <v/>
      </c>
      <c r="D125">
        <v>10847.9043</v>
      </c>
      <c r="E125">
        <v>82.540000919999997</v>
      </c>
      <c r="F125">
        <v>96.686811919999997</v>
      </c>
      <c r="G125">
        <f>((F126-Estimates_of_the_use_of_water__2000_2020[[#This Row],[wat_bas_n]])/(B126-Estimates_of_the_use_of_water__2000_2020[[#This Row],[year]]))</f>
        <v>0.72460648400000027</v>
      </c>
      <c r="H125">
        <f>((N126-Estimates_of_the_use_of_water__2000_2020[[#This Row],[wat_bas_r]])/(B126-Estimates_of_the_use_of_water__2000_2020[[#This Row],[year]]))</f>
        <v>1.5503964840000009</v>
      </c>
      <c r="I125">
        <f>(R126-Estimates_of_the_use_of_water__2000_2020[[#This Row],[wat_bas_u]])/(B126-Estimates_of_the_use_of_water__2000_2020[[#This Row],[year]])</f>
        <v>-0.21908952400000031</v>
      </c>
      <c r="J125">
        <f>ABS(Estimates_of_the_use_of_water__2000_2020[[#This Row],[ARC_r]]-Estimates_of_the_use_of_water__2000_2020[[#This Row],[ARC_u]])</f>
        <v>1.7694860080000012</v>
      </c>
      <c r="K125">
        <v>0.46703865039999998</v>
      </c>
      <c r="L125">
        <v>1.2694287829999999</v>
      </c>
      <c r="M125">
        <v>1.5767206439999999</v>
      </c>
      <c r="N125">
        <v>90.304464370000005</v>
      </c>
      <c r="O125">
        <v>1.3853155079999999</v>
      </c>
      <c r="P125">
        <v>1.1151181269999999</v>
      </c>
      <c r="Q125">
        <v>7.1951019909999996</v>
      </c>
      <c r="R125">
        <v>98.036891580000002</v>
      </c>
      <c r="S125">
        <v>0.27279203590000001</v>
      </c>
      <c r="T125">
        <v>1.3020733959999999</v>
      </c>
      <c r="U125">
        <v>0.38824299220000003</v>
      </c>
    </row>
    <row r="126" spans="1:21" x14ac:dyDescent="0.25">
      <c r="A126" s="1" t="s">
        <v>150</v>
      </c>
      <c r="B126">
        <v>2015</v>
      </c>
      <c r="C126">
        <f>IF(A127=Estimates_of_the_use_of_water__2000_2020[[#This Row],[name]], B127-Estimates_of_the_use_of_water__2000_2020[[#This Row],[year]],"")</f>
        <v>5</v>
      </c>
      <c r="D126">
        <v>16212.02246</v>
      </c>
      <c r="E126">
        <v>63.397998809999997</v>
      </c>
      <c r="F126">
        <v>93.063779499999995</v>
      </c>
      <c r="G126">
        <f>((F127-Estimates_of_the_use_of_water__2000_2020[[#This Row],[wat_bas_n]])/(B127-Estimates_of_the_use_of_water__2000_2020[[#This Row],[year]]))</f>
        <v>0.45919681200000184</v>
      </c>
      <c r="H126">
        <f>((N127-Estimates_of_the_use_of_water__2000_2020[[#This Row],[wat_bas_r]])/(B127-Estimates_of_the_use_of_water__2000_2020[[#This Row],[year]]))</f>
        <v>0.89965259999999891</v>
      </c>
      <c r="I126">
        <f>(R127-Estimates_of_the_use_of_water__2000_2020[[#This Row],[wat_bas_u]])/(B127-Estimates_of_the_use_of_water__2000_2020[[#This Row],[year]])</f>
        <v>0.17353215999999919</v>
      </c>
      <c r="J126">
        <f>ABS(Estimates_of_the_use_of_water__2000_2020[[#This Row],[ARC_r]]-Estimates_of_the_use_of_water__2000_2020[[#This Row],[ARC_u]])</f>
        <v>0.72612043999999976</v>
      </c>
      <c r="K126">
        <v>0.19976017630000001</v>
      </c>
      <c r="L126">
        <v>3.1195651139999998</v>
      </c>
      <c r="M126">
        <v>3.6168952120000002</v>
      </c>
      <c r="N126">
        <v>82.552481950000001</v>
      </c>
      <c r="O126">
        <v>0.445629255</v>
      </c>
      <c r="P126">
        <v>7.379055031</v>
      </c>
      <c r="Q126">
        <v>9.6228337600000007</v>
      </c>
      <c r="R126">
        <v>99.132339200000004</v>
      </c>
      <c r="S126">
        <v>5.7810890199999999E-2</v>
      </c>
      <c r="T126">
        <v>0.66040450689999997</v>
      </c>
      <c r="U126">
        <v>0.14944540680000001</v>
      </c>
    </row>
    <row r="127" spans="1:21" x14ac:dyDescent="0.25">
      <c r="A127" s="1" t="s">
        <v>150</v>
      </c>
      <c r="B127">
        <v>2020</v>
      </c>
      <c r="C127" t="str">
        <f>IF(A128=Estimates_of_the_use_of_water__2000_2020[[#This Row],[name]], B128-Estimates_of_the_use_of_water__2000_2020[[#This Row],[year]],"")</f>
        <v/>
      </c>
      <c r="D127">
        <v>17643.060549999998</v>
      </c>
      <c r="E127">
        <v>64.166000370000006</v>
      </c>
      <c r="F127">
        <v>95.359763560000005</v>
      </c>
      <c r="G127">
        <f>((F128-Estimates_of_the_use_of_water__2000_2020[[#This Row],[wat_bas_n]])/(B128-Estimates_of_the_use_of_water__2000_2020[[#This Row],[year]]))</f>
        <v>-0.74939079600000014</v>
      </c>
      <c r="H127">
        <f>((N128-Estimates_of_the_use_of_water__2000_2020[[#This Row],[wat_bas_r]])/(B128-Estimates_of_the_use_of_water__2000_2020[[#This Row],[year]]))</f>
        <v>-2.350226594</v>
      </c>
      <c r="I127">
        <f>(R128-Estimates_of_the_use_of_water__2000_2020[[#This Row],[wat_bas_u]])/(B128-Estimates_of_the_use_of_water__2000_2020[[#This Row],[year]])</f>
        <v>9.7126054000000295E-2</v>
      </c>
      <c r="J127">
        <f>ABS(Estimates_of_the_use_of_water__2000_2020[[#This Row],[ARC_r]]-Estimates_of_the_use_of_water__2000_2020[[#This Row],[ARC_u]])</f>
        <v>2.4473526480000003</v>
      </c>
      <c r="K127">
        <v>3.451463449E-3</v>
      </c>
      <c r="L127">
        <v>2.6044853890000002</v>
      </c>
      <c r="M127">
        <v>2.032299589</v>
      </c>
      <c r="N127">
        <v>87.050744949999995</v>
      </c>
      <c r="O127">
        <v>9.6318110219999996E-3</v>
      </c>
      <c r="P127">
        <v>7.2681954900000001</v>
      </c>
      <c r="Q127">
        <v>5.6714277470000001</v>
      </c>
      <c r="R127">
        <v>100</v>
      </c>
      <c r="S127">
        <v>0</v>
      </c>
      <c r="T127">
        <v>0</v>
      </c>
      <c r="U127">
        <v>0</v>
      </c>
    </row>
    <row r="128" spans="1:21" x14ac:dyDescent="0.25">
      <c r="A128" s="1" t="s">
        <v>94</v>
      </c>
      <c r="B128">
        <v>2015</v>
      </c>
      <c r="C128">
        <f>IF(A129=Estimates_of_the_use_of_water__2000_2020[[#This Row],[name]], B129-Estimates_of_the_use_of_water__2000_2020[[#This Row],[year]],"")</f>
        <v>5</v>
      </c>
      <c r="D128">
        <v>92442.546879999994</v>
      </c>
      <c r="E128">
        <v>42.784999849999998</v>
      </c>
      <c r="F128">
        <v>99.106717540000005</v>
      </c>
      <c r="G128">
        <f>((F129-Estimates_of_the_use_of_water__2000_2020[[#This Row],[wat_bas_n]])/(B129-Estimates_of_the_use_of_water__2000_2020[[#This Row],[year]]))</f>
        <v>6.669168399999989E-2</v>
      </c>
      <c r="H128">
        <f>((N129-Estimates_of_the_use_of_water__2000_2020[[#This Row],[wat_bas_r]])/(B129-Estimates_of_the_use_of_water__2000_2020[[#This Row],[year]]))</f>
        <v>0.1061914459999997</v>
      </c>
      <c r="I128">
        <f>(R129-Estimates_of_the_use_of_water__2000_2020[[#This Row],[wat_bas_u]])/(B129-Estimates_of_the_use_of_water__2000_2020[[#This Row],[year]])</f>
        <v>1.3872273999999152E-2</v>
      </c>
      <c r="J128">
        <f>ABS(Estimates_of_the_use_of_water__2000_2020[[#This Row],[ARC_r]]-Estimates_of_the_use_of_water__2000_2020[[#This Row],[ARC_u]])</f>
        <v>9.2319172000000546E-2</v>
      </c>
      <c r="K128">
        <v>0.28637254010000002</v>
      </c>
      <c r="L128">
        <v>0.59343982930000005</v>
      </c>
      <c r="M128">
        <v>1.347009398E-2</v>
      </c>
      <c r="N128">
        <v>98.801877919999995</v>
      </c>
      <c r="O128">
        <v>0.41034629639999998</v>
      </c>
      <c r="P128">
        <v>0.76423283809999998</v>
      </c>
      <c r="Q128">
        <v>2.3542941179999999E-2</v>
      </c>
      <c r="R128">
        <v>99.514369729999999</v>
      </c>
      <c r="S128">
        <v>0.12058643080000001</v>
      </c>
      <c r="T128">
        <v>0.36504384220000002</v>
      </c>
      <c r="U128">
        <v>0</v>
      </c>
    </row>
    <row r="129" spans="1:21" x14ac:dyDescent="0.25">
      <c r="A129" s="1" t="s">
        <v>94</v>
      </c>
      <c r="B129">
        <v>2020</v>
      </c>
      <c r="C129" t="str">
        <f>IF(A130=Estimates_of_the_use_of_water__2000_2020[[#This Row],[name]], B130-Estimates_of_the_use_of_water__2000_2020[[#This Row],[year]],"")</f>
        <v/>
      </c>
      <c r="D129">
        <v>102334.4063</v>
      </c>
      <c r="E129">
        <v>42.783000950000002</v>
      </c>
      <c r="F129">
        <v>99.440175960000005</v>
      </c>
      <c r="G129">
        <f>((F130-Estimates_of_the_use_of_water__2000_2020[[#This Row],[wat_bas_n]])/(B130-Estimates_of_the_use_of_water__2000_2020[[#This Row],[year]]))</f>
        <v>0.77560764400000148</v>
      </c>
      <c r="H129">
        <f>((N130-Estimates_of_the_use_of_water__2000_2020[[#This Row],[wat_bas_r]])/(B130-Estimates_of_the_use_of_water__2000_2020[[#This Row],[year]]))</f>
        <v>2.2743241659999995</v>
      </c>
      <c r="I129">
        <f>(R130-Estimates_of_the_use_of_water__2000_2020[[#This Row],[wat_bas_u]])/(B130-Estimates_of_the_use_of_water__2000_2020[[#This Row],[year]])</f>
        <v>0.14346264999999789</v>
      </c>
      <c r="J129">
        <f>ABS(Estimates_of_the_use_of_water__2000_2020[[#This Row],[ARC_r]]-Estimates_of_the_use_of_water__2000_2020[[#This Row],[ARC_u]])</f>
        <v>2.1308615160000017</v>
      </c>
      <c r="K129">
        <v>0.23760910860000001</v>
      </c>
      <c r="L129">
        <v>0.3222149265</v>
      </c>
      <c r="M129">
        <v>0</v>
      </c>
      <c r="N129">
        <v>99.332835149999994</v>
      </c>
      <c r="O129">
        <v>0.33594182239999998</v>
      </c>
      <c r="P129">
        <v>0.33122303190000002</v>
      </c>
      <c r="Q129">
        <v>0</v>
      </c>
      <c r="R129">
        <v>99.583731099999994</v>
      </c>
      <c r="S129">
        <v>0.10610120670000001</v>
      </c>
      <c r="T129">
        <v>0.31016769430000002</v>
      </c>
      <c r="U129">
        <v>0</v>
      </c>
    </row>
    <row r="130" spans="1:21" x14ac:dyDescent="0.25">
      <c r="A130" s="1" t="s">
        <v>117</v>
      </c>
      <c r="B130">
        <v>2015</v>
      </c>
      <c r="C130">
        <f>IF(A131=Estimates_of_the_use_of_water__2000_2020[[#This Row],[name]], B131-Estimates_of_the_use_of_water__2000_2020[[#This Row],[year]],"")</f>
        <v>5</v>
      </c>
      <c r="D130">
        <v>6325.1210940000001</v>
      </c>
      <c r="E130">
        <v>69.699996949999999</v>
      </c>
      <c r="F130">
        <v>95.562137739999997</v>
      </c>
      <c r="G130">
        <f>((F131-Estimates_of_the_use_of_water__2000_2020[[#This Row],[wat_bas_n]])/(B131-Estimates_of_the_use_of_water__2000_2020[[#This Row],[year]]))</f>
        <v>0.47688753399999939</v>
      </c>
      <c r="H130">
        <f>((N131-Estimates_of_the_use_of_water__2000_2020[[#This Row],[wat_bas_r]])/(B131-Estimates_of_the_use_of_water__2000_2020[[#This Row],[year]]))</f>
        <v>1.0986361520000003</v>
      </c>
      <c r="I130">
        <f>(R131-Estimates_of_the_use_of_water__2000_2020[[#This Row],[wat_bas_u]])/(B131-Estimates_of_the_use_of_water__2000_2020[[#This Row],[year]])</f>
        <v>0.14089043199999765</v>
      </c>
      <c r="J130">
        <f>ABS(Estimates_of_the_use_of_water__2000_2020[[#This Row],[ARC_r]]-Estimates_of_the_use_of_water__2000_2020[[#This Row],[ARC_u]])</f>
        <v>0.95774572000000269</v>
      </c>
      <c r="K130">
        <v>0.58047977699999997</v>
      </c>
      <c r="L130">
        <v>1.1619505450000001</v>
      </c>
      <c r="M130">
        <v>2.6954319419999999</v>
      </c>
      <c r="N130">
        <v>87.961214319999996</v>
      </c>
      <c r="O130">
        <v>1.734743718</v>
      </c>
      <c r="P130">
        <v>2.4810339560000001</v>
      </c>
      <c r="Q130">
        <v>7.8230080050000002</v>
      </c>
      <c r="R130">
        <v>98.866417850000005</v>
      </c>
      <c r="S130">
        <v>7.8697977569999994E-2</v>
      </c>
      <c r="T130">
        <v>0.58851288960000003</v>
      </c>
      <c r="U130">
        <v>0.4663712861</v>
      </c>
    </row>
    <row r="131" spans="1:21" x14ac:dyDescent="0.25">
      <c r="A131" s="1" t="s">
        <v>117</v>
      </c>
      <c r="B131">
        <v>2020</v>
      </c>
      <c r="C131" t="str">
        <f>IF(A132=Estimates_of_the_use_of_water__2000_2020[[#This Row],[name]], B132-Estimates_of_the_use_of_water__2000_2020[[#This Row],[year]],"")</f>
        <v/>
      </c>
      <c r="D131">
        <v>6486.201172</v>
      </c>
      <c r="E131">
        <v>73.444000239999994</v>
      </c>
      <c r="F131">
        <v>97.946575409999994</v>
      </c>
      <c r="G131">
        <f>((F132-Estimates_of_the_use_of_water__2000_2020[[#This Row],[wat_bas_n]])/(B132-Estimates_of_the_use_of_water__2000_2020[[#This Row],[year]]))</f>
        <v>6.7535947519999979</v>
      </c>
      <c r="H131">
        <f>((N132-Estimates_of_the_use_of_water__2000_2020[[#This Row],[wat_bas_r]])/(B132-Estimates_of_the_use_of_water__2000_2020[[#This Row],[year]]))</f>
        <v>12.535805152</v>
      </c>
      <c r="I131">
        <f>(R132-Estimates_of_the_use_of_water__2000_2020[[#This Row],[wat_bas_u]])/(B132-Estimates_of_the_use_of_water__2000_2020[[#This Row],[year]])</f>
        <v>4.2985728059999984</v>
      </c>
      <c r="J131">
        <f>ABS(Estimates_of_the_use_of_water__2000_2020[[#This Row],[ARC_r]]-Estimates_of_the_use_of_water__2000_2020[[#This Row],[ARC_u]])</f>
        <v>8.2372323460000025</v>
      </c>
      <c r="K131">
        <v>0.20726323190000001</v>
      </c>
      <c r="L131">
        <v>0.31517399689999998</v>
      </c>
      <c r="M131">
        <v>1.530987366</v>
      </c>
      <c r="N131">
        <v>93.454395079999998</v>
      </c>
      <c r="O131">
        <v>0.78047620490000003</v>
      </c>
      <c r="P131">
        <v>0</v>
      </c>
      <c r="Q131">
        <v>5.7651287120000001</v>
      </c>
      <c r="R131">
        <v>99.570870009999993</v>
      </c>
      <c r="S131">
        <v>0</v>
      </c>
      <c r="T131">
        <v>0.42912999439999999</v>
      </c>
      <c r="U131">
        <v>0</v>
      </c>
    </row>
    <row r="132" spans="1:21" x14ac:dyDescent="0.25">
      <c r="A132" s="1" t="s">
        <v>223</v>
      </c>
      <c r="B132">
        <v>2015</v>
      </c>
      <c r="C132">
        <f>IF(A133=Estimates_of_the_use_of_water__2000_2020[[#This Row],[name]], B133-Estimates_of_the_use_of_water__2000_2020[[#This Row],[year]],"")</f>
        <v>2</v>
      </c>
      <c r="D132">
        <v>1168.5749510000001</v>
      </c>
      <c r="E132">
        <v>70.616004939999996</v>
      </c>
      <c r="F132">
        <v>64.178601650000004</v>
      </c>
      <c r="G132">
        <f>((F133-Estimates_of_the_use_of_water__2000_2020[[#This Row],[wat_bas_n]])/(B133-Estimates_of_the_use_of_water__2000_2020[[#This Row],[year]]))</f>
        <v>0.24360720499999644</v>
      </c>
      <c r="H132">
        <f>((N133-Estimates_of_the_use_of_water__2000_2020[[#This Row],[wat_bas_r]])/(B133-Estimates_of_the_use_of_water__2000_2020[[#This Row],[year]]))</f>
        <v>0</v>
      </c>
      <c r="I132">
        <f>(R133-Estimates_of_the_use_of_water__2000_2020[[#This Row],[wat_bas_u]])/(B133-Estimates_of_the_use_of_water__2000_2020[[#This Row],[year]])</f>
        <v>0</v>
      </c>
      <c r="J132">
        <f>ABS(Estimates_of_the_use_of_water__2000_2020[[#This Row],[ARC_r]]-Estimates_of_the_use_of_water__2000_2020[[#This Row],[ARC_u]])</f>
        <v>0</v>
      </c>
      <c r="K132">
        <v>2.9349338359999999</v>
      </c>
      <c r="L132">
        <v>26.328798880000001</v>
      </c>
      <c r="M132">
        <v>6.5576656309999999</v>
      </c>
      <c r="N132">
        <v>30.775369319999999</v>
      </c>
      <c r="O132">
        <v>1.353579774</v>
      </c>
      <c r="P132">
        <v>46.286056360000003</v>
      </c>
      <c r="Q132">
        <v>21.584994550000001</v>
      </c>
      <c r="R132">
        <v>78.07800598</v>
      </c>
      <c r="S132">
        <v>3.5929503829999998</v>
      </c>
      <c r="T132">
        <v>18.02439455</v>
      </c>
      <c r="U132">
        <v>0.30464909089999997</v>
      </c>
    </row>
    <row r="133" spans="1:21" x14ac:dyDescent="0.25">
      <c r="A133" s="1" t="s">
        <v>223</v>
      </c>
      <c r="B133">
        <v>2017</v>
      </c>
      <c r="C133" t="str">
        <f>IF(A134=Estimates_of_the_use_of_water__2000_2020[[#This Row],[name]], B134-Estimates_of_the_use_of_water__2000_2020[[#This Row],[year]],"")</f>
        <v/>
      </c>
      <c r="D133">
        <v>1262.008057</v>
      </c>
      <c r="E133">
        <v>71.645996089999997</v>
      </c>
      <c r="F133">
        <v>64.665816059999997</v>
      </c>
      <c r="G133">
        <f>((F134-Estimates_of_the_use_of_water__2000_2020[[#This Row],[wat_bas_n]])/(B134-Estimates_of_the_use_of_water__2000_2020[[#This Row],[year]]))</f>
        <v>6.6003612650000001</v>
      </c>
      <c r="H133">
        <f>((N134-Estimates_of_the_use_of_water__2000_2020[[#This Row],[wat_bas_r]])/(B134-Estimates_of_the_use_of_water__2000_2020[[#This Row],[year]]))</f>
        <v>1.4868964249999994</v>
      </c>
      <c r="I133">
        <f>(R134-Estimates_of_the_use_of_water__2000_2020[[#This Row],[wat_bas_u]])/(B134-Estimates_of_the_use_of_water__2000_2020[[#This Row],[year]])</f>
        <v>-5.8301092749999981</v>
      </c>
      <c r="J133">
        <f>ABS(Estimates_of_the_use_of_water__2000_2020[[#This Row],[ARC_r]]-Estimates_of_the_use_of_water__2000_2020[[#This Row],[ARC_u]])</f>
        <v>7.3170056999999975</v>
      </c>
      <c r="K133">
        <v>2.957999225</v>
      </c>
      <c r="L133">
        <v>26.037706329999999</v>
      </c>
      <c r="M133">
        <v>6.3384783860000002</v>
      </c>
      <c r="N133">
        <v>30.775369319999999</v>
      </c>
      <c r="O133">
        <v>1.353579774</v>
      </c>
      <c r="P133">
        <v>46.286056360000003</v>
      </c>
      <c r="Q133">
        <v>21.584994550000001</v>
      </c>
      <c r="R133">
        <v>78.07800598</v>
      </c>
      <c r="S133">
        <v>3.5929503829999998</v>
      </c>
      <c r="T133">
        <v>18.02439455</v>
      </c>
      <c r="U133">
        <v>0.30464909089999997</v>
      </c>
    </row>
    <row r="134" spans="1:21" x14ac:dyDescent="0.25">
      <c r="A134" s="1" t="s">
        <v>238</v>
      </c>
      <c r="B134">
        <v>2015</v>
      </c>
      <c r="C134">
        <f>IF(A135=Estimates_of_the_use_of_water__2000_2020[[#This Row],[name]], B135-Estimates_of_the_use_of_water__2000_2020[[#This Row],[year]],"")</f>
        <v>1</v>
      </c>
      <c r="D134">
        <v>3342.818115</v>
      </c>
      <c r="E134">
        <v>38.206001280000002</v>
      </c>
      <c r="F134">
        <v>51.465093529999997</v>
      </c>
      <c r="G134">
        <f>((F135-Estimates_of_the_use_of_water__2000_2020[[#This Row],[wat_bas_n]])/(B135-Estimates_of_the_use_of_water__2000_2020[[#This Row],[year]]))</f>
        <v>0.38462665000000129</v>
      </c>
      <c r="H134">
        <f>((N135-Estimates_of_the_use_of_water__2000_2020[[#This Row],[wat_bas_r]])/(B135-Estimates_of_the_use_of_water__2000_2020[[#This Row],[year]]))</f>
        <v>0</v>
      </c>
      <c r="I134">
        <f>(R135-Estimates_of_the_use_of_water__2000_2020[[#This Row],[wat_bas_u]])/(B135-Estimates_of_the_use_of_water__2000_2020[[#This Row],[year]])</f>
        <v>0</v>
      </c>
      <c r="J134">
        <f>ABS(Estimates_of_the_use_of_water__2000_2020[[#This Row],[ARC_r]]-Estimates_of_the_use_of_water__2000_2020[[#This Row],[ARC_u]])</f>
        <v>0</v>
      </c>
      <c r="K134">
        <v>17.707633340000001</v>
      </c>
      <c r="L134">
        <v>13.55609825</v>
      </c>
      <c r="M134">
        <v>17.27117488</v>
      </c>
      <c r="N134">
        <v>27.801576470000001</v>
      </c>
      <c r="O134">
        <v>24.49842353</v>
      </c>
      <c r="P134">
        <v>20.074999999999999</v>
      </c>
      <c r="Q134">
        <v>27.625</v>
      </c>
      <c r="R134">
        <v>89.738224529999997</v>
      </c>
      <c r="S134">
        <v>6.7242754739999997</v>
      </c>
      <c r="T134">
        <v>3.0125000000000002</v>
      </c>
      <c r="U134">
        <v>0.52500000000000002</v>
      </c>
    </row>
    <row r="135" spans="1:21" x14ac:dyDescent="0.25">
      <c r="A135" s="1" t="s">
        <v>238</v>
      </c>
      <c r="B135">
        <v>2016</v>
      </c>
      <c r="C135" t="str">
        <f>IF(A136=Estimates_of_the_use_of_water__2000_2020[[#This Row],[name]], B136-Estimates_of_the_use_of_water__2000_2020[[#This Row],[year]],"")</f>
        <v/>
      </c>
      <c r="D135">
        <v>3376.5581050000001</v>
      </c>
      <c r="E135">
        <v>38.826999659999998</v>
      </c>
      <c r="F135">
        <v>51.849720179999998</v>
      </c>
      <c r="G135">
        <f>((F136-Estimates_of_the_use_of_water__2000_2020[[#This Row],[wat_bas_n]])/(B136-Estimates_of_the_use_of_water__2000_2020[[#This Row],[year]]))</f>
        <v>-47.901587389999996</v>
      </c>
      <c r="H135">
        <f>((N136-Estimates_of_the_use_of_water__2000_2020[[#This Row],[wat_bas_r]])/(B136-Estimates_of_the_use_of_water__2000_2020[[#This Row],[year]]))</f>
        <v>-71.442539339999996</v>
      </c>
      <c r="I135">
        <f>(R136-Estimates_of_the_use_of_water__2000_2020[[#This Row],[wat_bas_u]])/(B136-Estimates_of_the_use_of_water__2000_2020[[#This Row],[year]])</f>
        <v>-10.247229680000004</v>
      </c>
      <c r="J135">
        <f>ABS(Estimates_of_the_use_of_water__2000_2020[[#This Row],[ARC_r]]-Estimates_of_the_use_of_water__2000_2020[[#This Row],[ARC_u]])</f>
        <v>61.195309659999992</v>
      </c>
      <c r="K135">
        <v>17.59725585</v>
      </c>
      <c r="L135">
        <v>13.45014014</v>
      </c>
      <c r="M135">
        <v>17.102883840000001</v>
      </c>
      <c r="N135">
        <v>27.801576470000001</v>
      </c>
      <c r="O135">
        <v>24.49842353</v>
      </c>
      <c r="P135">
        <v>20.074999999999999</v>
      </c>
      <c r="Q135">
        <v>27.625</v>
      </c>
      <c r="R135">
        <v>89.738224529999997</v>
      </c>
      <c r="S135">
        <v>6.7242754739999997</v>
      </c>
      <c r="T135">
        <v>3.0125000000000002</v>
      </c>
      <c r="U135">
        <v>0.52500000000000002</v>
      </c>
    </row>
    <row r="136" spans="1:21" x14ac:dyDescent="0.25">
      <c r="A136" s="1" t="s">
        <v>83</v>
      </c>
      <c r="B136">
        <v>2015</v>
      </c>
      <c r="C136">
        <f>IF(A137=Estimates_of_the_use_of_water__2000_2020[[#This Row],[name]], B137-Estimates_of_the_use_of_water__2000_2020[[#This Row],[year]],"")</f>
        <v>5</v>
      </c>
      <c r="D136">
        <v>1315.329956</v>
      </c>
      <c r="E136">
        <v>68.416000370000006</v>
      </c>
      <c r="F136">
        <v>99.751307569999994</v>
      </c>
      <c r="G136">
        <f>((F137-Estimates_of_the_use_of_water__2000_2020[[#This Row],[wat_bas_n]])/(B137-Estimates_of_the_use_of_water__2000_2020[[#This Row],[year]]))</f>
        <v>-3.2105157999998822E-2</v>
      </c>
      <c r="H136">
        <f>((N137-Estimates_of_the_use_of_water__2000_2020[[#This Row],[wat_bas_r]])/(B137-Estimates_of_the_use_of_water__2000_2020[[#This Row],[year]]))</f>
        <v>-19.848823161999999</v>
      </c>
      <c r="I136">
        <f>(R137-Estimates_of_the_use_of_water__2000_2020[[#This Row],[wat_bas_u]])/(B137-Estimates_of_the_use_of_water__2000_2020[[#This Row],[year]])</f>
        <v>0</v>
      </c>
      <c r="J136">
        <f>ABS(Estimates_of_the_use_of_water__2000_2020[[#This Row],[ARC_r]]-Estimates_of_the_use_of_water__2000_2020[[#This Row],[ARC_u]])</f>
        <v>19.848823161999999</v>
      </c>
      <c r="K136">
        <v>0</v>
      </c>
      <c r="L136">
        <v>0.24869242890000001</v>
      </c>
      <c r="M136">
        <v>0</v>
      </c>
      <c r="N136">
        <v>99.244115809999997</v>
      </c>
      <c r="O136">
        <v>0</v>
      </c>
      <c r="P136">
        <v>0.75588419029999998</v>
      </c>
      <c r="Q136">
        <v>0</v>
      </c>
      <c r="R136">
        <v>99.98545421</v>
      </c>
      <c r="S136">
        <v>0</v>
      </c>
      <c r="T136">
        <v>1.454579307E-2</v>
      </c>
      <c r="U136">
        <v>0</v>
      </c>
    </row>
    <row r="137" spans="1:21" x14ac:dyDescent="0.25">
      <c r="A137" s="1" t="s">
        <v>83</v>
      </c>
      <c r="B137">
        <v>2020</v>
      </c>
      <c r="C137" t="str">
        <f>IF(A138=Estimates_of_the_use_of_water__2000_2020[[#This Row],[name]], B138-Estimates_of_the_use_of_water__2000_2020[[#This Row],[year]],"")</f>
        <v/>
      </c>
      <c r="D137">
        <v>1326.5389399999999</v>
      </c>
      <c r="E137">
        <v>69.229003910000003</v>
      </c>
      <c r="F137">
        <v>99.59078178</v>
      </c>
      <c r="G137">
        <f>((F138-Estimates_of_the_use_of_water__2000_2020[[#This Row],[wat_bas_n]])/(B138-Estimates_of_the_use_of_water__2000_2020[[#This Row],[year]]))</f>
        <v>6.5773653120000004</v>
      </c>
      <c r="H137">
        <f>((N138-Estimates_of_the_use_of_water__2000_2020[[#This Row],[wat_bas_r]])/(B138-Estimates_of_the_use_of_water__2000_2020[[#This Row],[year]]))</f>
        <v>-11.624996980000001</v>
      </c>
      <c r="I137">
        <f>(R138-Estimates_of_the_use_of_water__2000_2020[[#This Row],[wat_bas_u]])/(B138-Estimates_of_the_use_of_water__2000_2020[[#This Row],[year]])</f>
        <v>1.0081708160000005</v>
      </c>
      <c r="J137">
        <f>ABS(Estimates_of_the_use_of_water__2000_2020[[#This Row],[ARC_r]]-Estimates_of_the_use_of_water__2000_2020[[#This Row],[ARC_u]])</f>
        <v>12.633167796</v>
      </c>
      <c r="K137">
        <v>0</v>
      </c>
      <c r="L137">
        <v>0.40921822320000001</v>
      </c>
      <c r="M137">
        <v>0</v>
      </c>
      <c r="R137">
        <v>99.98545421</v>
      </c>
      <c r="S137">
        <v>0</v>
      </c>
      <c r="T137">
        <v>1.454579307E-2</v>
      </c>
      <c r="U137">
        <v>0</v>
      </c>
    </row>
    <row r="138" spans="1:21" x14ac:dyDescent="0.25">
      <c r="A138" s="1" t="s">
        <v>214</v>
      </c>
      <c r="B138">
        <v>2015</v>
      </c>
      <c r="C138">
        <f>IF(A139=Estimates_of_the_use_of_water__2000_2020[[#This Row],[name]], B139-Estimates_of_the_use_of_water__2000_2020[[#This Row],[year]],"")</f>
        <v>5</v>
      </c>
      <c r="D138">
        <v>1104.0379640000001</v>
      </c>
      <c r="E138">
        <v>23.299999239999998</v>
      </c>
      <c r="F138">
        <v>66.703955219999997</v>
      </c>
      <c r="G138">
        <f>((F139-Estimates_of_the_use_of_water__2000_2020[[#This Row],[wat_bas_n]])/(B139-Estimates_of_the_use_of_water__2000_2020[[#This Row],[year]]))</f>
        <v>0.80982314599999938</v>
      </c>
      <c r="H138">
        <f>((N139-Estimates_of_the_use_of_water__2000_2020[[#This Row],[wat_bas_r]])/(B139-Estimates_of_the_use_of_water__2000_2020[[#This Row],[year]]))</f>
        <v>0.86829276799999922</v>
      </c>
      <c r="I138">
        <f>(R139-Estimates_of_the_use_of_water__2000_2020[[#This Row],[wat_bas_u]])/(B139-Estimates_of_the_use_of_water__2000_2020[[#This Row],[year]])</f>
        <v>0.36103258400000016</v>
      </c>
      <c r="J138">
        <f>ABS(Estimates_of_the_use_of_water__2000_2020[[#This Row],[ARC_r]]-Estimates_of_the_use_of_water__2000_2020[[#This Row],[ARC_u]])</f>
        <v>0.50726018399999906</v>
      </c>
      <c r="K138">
        <v>8.7676173330000005</v>
      </c>
      <c r="L138">
        <v>10.89011026</v>
      </c>
      <c r="M138">
        <v>13.63831719</v>
      </c>
      <c r="N138">
        <v>58.124984900000001</v>
      </c>
      <c r="O138">
        <v>11.182049299999999</v>
      </c>
      <c r="P138">
        <v>13.43987898</v>
      </c>
      <c r="Q138">
        <v>17.253086830000001</v>
      </c>
      <c r="R138">
        <v>94.944600129999998</v>
      </c>
      <c r="S138">
        <v>0.81968032219999998</v>
      </c>
      <c r="T138">
        <v>2.4966655609999999</v>
      </c>
      <c r="U138">
        <v>1.7390539899999999</v>
      </c>
    </row>
    <row r="139" spans="1:21" x14ac:dyDescent="0.25">
      <c r="A139" s="1" t="s">
        <v>214</v>
      </c>
      <c r="B139">
        <v>2020</v>
      </c>
      <c r="C139" t="str">
        <f>IF(A140=Estimates_of_the_use_of_water__2000_2020[[#This Row],[name]], B140-Estimates_of_the_use_of_water__2000_2020[[#This Row],[year]],"")</f>
        <v/>
      </c>
      <c r="D139">
        <v>1160.1639399999999</v>
      </c>
      <c r="E139">
        <v>24.17100143</v>
      </c>
      <c r="F139">
        <v>70.753070949999994</v>
      </c>
      <c r="G139">
        <f>((F140-Estimates_of_the_use_of_water__2000_2020[[#This Row],[wat_bas_n]])/(B140-Estimates_of_the_use_of_water__2000_2020[[#This Row],[year]]))</f>
        <v>5.7366007499999991</v>
      </c>
      <c r="H139">
        <f>((N140-Estimates_of_the_use_of_water__2000_2020[[#This Row],[wat_bas_r]])/(B140-Estimates_of_the_use_of_water__2000_2020[[#This Row],[year]]))</f>
        <v>6.0029362620000004</v>
      </c>
      <c r="I139">
        <f>(R140-Estimates_of_the_use_of_water__2000_2020[[#This Row],[wat_bas_u]])/(B140-Estimates_of_the_use_of_water__2000_2020[[#This Row],[year]])</f>
        <v>2.9581173019999993</v>
      </c>
      <c r="J139">
        <f>ABS(Estimates_of_the_use_of_water__2000_2020[[#This Row],[ARC_r]]-Estimates_of_the_use_of_water__2000_2020[[#This Row],[ARC_u]])</f>
        <v>3.0448189600000011</v>
      </c>
      <c r="K139">
        <v>9.5070671630000003</v>
      </c>
      <c r="L139">
        <v>9.8355679309999999</v>
      </c>
      <c r="M139">
        <v>9.9042939590000003</v>
      </c>
      <c r="N139">
        <v>62.466448739999997</v>
      </c>
      <c r="O139">
        <v>12.29969513</v>
      </c>
      <c r="P139">
        <v>12.45046093</v>
      </c>
      <c r="Q139">
        <v>12.78339519</v>
      </c>
      <c r="R139">
        <v>96.749763049999999</v>
      </c>
      <c r="S139">
        <v>0.74606447310000001</v>
      </c>
      <c r="T139">
        <v>1.6321642439999999</v>
      </c>
      <c r="U139">
        <v>0.8720082294</v>
      </c>
    </row>
    <row r="140" spans="1:21" x14ac:dyDescent="0.25">
      <c r="A140" s="1" t="s">
        <v>240</v>
      </c>
      <c r="B140">
        <v>2015</v>
      </c>
      <c r="C140">
        <f>IF(A141=Estimates_of_the_use_of_water__2000_2020[[#This Row],[name]], B141-Estimates_of_the_use_of_water__2000_2020[[#This Row],[year]],"")</f>
        <v>5</v>
      </c>
      <c r="D140">
        <v>100835.4531</v>
      </c>
      <c r="E140">
        <v>19.428001399999999</v>
      </c>
      <c r="F140">
        <v>42.070067199999997</v>
      </c>
      <c r="G140">
        <f>((F141-Estimates_of_the_use_of_water__2000_2020[[#This Row],[wat_bas_n]])/(B141-Estimates_of_the_use_of_water__2000_2020[[#This Row],[year]]))</f>
        <v>1.5091011080000001</v>
      </c>
      <c r="H140">
        <f>((N141-Estimates_of_the_use_of_water__2000_2020[[#This Row],[wat_bas_r]])/(B141-Estimates_of_the_use_of_water__2000_2020[[#This Row],[year]]))</f>
        <v>1.5156743520000007</v>
      </c>
      <c r="I140">
        <f>(R141-Estimates_of_the_use_of_water__2000_2020[[#This Row],[wat_bas_u]])/(B141-Estimates_of_the_use_of_water__2000_2020[[#This Row],[year]])</f>
        <v>0.4507303239999999</v>
      </c>
      <c r="J140">
        <f>ABS(Estimates_of_the_use_of_water__2000_2020[[#This Row],[ARC_r]]-Estimates_of_the_use_of_water__2000_2020[[#This Row],[ARC_u]])</f>
        <v>1.0649440280000007</v>
      </c>
      <c r="K140">
        <v>21.738790269999999</v>
      </c>
      <c r="L140">
        <v>24.477856150000001</v>
      </c>
      <c r="M140">
        <v>11.71328639</v>
      </c>
      <c r="N140">
        <v>32.451767429999997</v>
      </c>
      <c r="O140">
        <v>23.598552099999999</v>
      </c>
      <c r="P140">
        <v>29.78155581</v>
      </c>
      <c r="Q140">
        <v>14.168124669999999</v>
      </c>
      <c r="R140">
        <v>81.959176540000001</v>
      </c>
      <c r="S140">
        <v>14.02596733</v>
      </c>
      <c r="T140">
        <v>2.4822996910000001</v>
      </c>
      <c r="U140">
        <v>1.5325564389999999</v>
      </c>
    </row>
    <row r="141" spans="1:21" x14ac:dyDescent="0.25">
      <c r="A141" s="1" t="s">
        <v>240</v>
      </c>
      <c r="B141">
        <v>2020</v>
      </c>
      <c r="C141" t="str">
        <f>IF(A142=Estimates_of_the_use_of_water__2000_2020[[#This Row],[name]], B142-Estimates_of_the_use_of_water__2000_2020[[#This Row],[year]],"")</f>
        <v/>
      </c>
      <c r="D141">
        <v>114963.58590000001</v>
      </c>
      <c r="E141">
        <v>21.69499969</v>
      </c>
      <c r="F141">
        <v>49.615572739999998</v>
      </c>
      <c r="G141">
        <f>((F142-Estimates_of_the_use_of_water__2000_2020[[#This Row],[wat_bas_n]])/(B142-Estimates_of_the_use_of_water__2000_2020[[#This Row],[year]]))</f>
        <v>-10.076885452000001</v>
      </c>
      <c r="H141">
        <f>((N142-Estimates_of_the_use_of_water__2000_2020[[#This Row],[wat_bas_r]])/(B142-Estimates_of_the_use_of_water__2000_2020[[#This Row],[year]]))</f>
        <v>8.0060278379999996</v>
      </c>
      <c r="I141">
        <f>(R142-Estimates_of_the_use_of_water__2000_2020[[#This Row],[wat_bas_u]])/(B142-Estimates_of_the_use_of_water__2000_2020[[#This Row],[year]])</f>
        <v>16.842565631999999</v>
      </c>
      <c r="J141">
        <f>ABS(Estimates_of_the_use_of_water__2000_2020[[#This Row],[ARC_r]]-Estimates_of_the_use_of_water__2000_2020[[#This Row],[ARC_u]])</f>
        <v>8.8365377939999998</v>
      </c>
      <c r="K141">
        <v>26.740719639999998</v>
      </c>
      <c r="L141">
        <v>18.635060129999999</v>
      </c>
      <c r="M141">
        <v>5.0086474860000001</v>
      </c>
      <c r="N141">
        <v>40.03013919</v>
      </c>
      <c r="O141">
        <v>30.186683339999998</v>
      </c>
      <c r="P141">
        <v>23.49561327</v>
      </c>
      <c r="Q141">
        <v>6.2875642029999996</v>
      </c>
      <c r="R141">
        <v>84.212828160000001</v>
      </c>
      <c r="S141">
        <v>14.30300858</v>
      </c>
      <c r="T141">
        <v>1.0915823549999999</v>
      </c>
      <c r="U141">
        <v>0.39258089600000001</v>
      </c>
    </row>
    <row r="142" spans="1:21" x14ac:dyDescent="0.25">
      <c r="A142" s="1" t="s">
        <v>38</v>
      </c>
      <c r="B142">
        <v>2015</v>
      </c>
      <c r="C142">
        <f>IF(A143=Estimates_of_the_use_of_water__2000_2020[[#This Row],[name]], B143-Estimates_of_the_use_of_water__2000_2020[[#This Row],[year]],"")</f>
        <v>5</v>
      </c>
      <c r="D142">
        <v>48.055000309999997</v>
      </c>
      <c r="E142">
        <v>41.63799667</v>
      </c>
      <c r="F142">
        <v>100</v>
      </c>
      <c r="G142">
        <f>((F143-Estimates_of_the_use_of_water__2000_2020[[#This Row],[wat_bas_n]])/(B143-Estimates_of_the_use_of_water__2000_2020[[#This Row],[year]]))</f>
        <v>0</v>
      </c>
      <c r="H142">
        <f>((N143-Estimates_of_the_use_of_water__2000_2020[[#This Row],[wat_bas_r]])/(B143-Estimates_of_the_use_of_water__2000_2020[[#This Row],[year]]))</f>
        <v>0</v>
      </c>
      <c r="I142">
        <f>(R143-Estimates_of_the_use_of_water__2000_2020[[#This Row],[wat_bas_u]])/(B143-Estimates_of_the_use_of_water__2000_2020[[#This Row],[year]])</f>
        <v>0</v>
      </c>
      <c r="J142">
        <f>ABS(Estimates_of_the_use_of_water__2000_2020[[#This Row],[ARC_r]]-Estimates_of_the_use_of_water__2000_2020[[#This Row],[ARC_u]])</f>
        <v>0</v>
      </c>
      <c r="K142">
        <v>0</v>
      </c>
      <c r="L142">
        <v>0</v>
      </c>
      <c r="M142">
        <v>0</v>
      </c>
    </row>
    <row r="143" spans="1:21" x14ac:dyDescent="0.25">
      <c r="A143" s="1" t="s">
        <v>38</v>
      </c>
      <c r="B143">
        <v>2020</v>
      </c>
      <c r="C143" t="str">
        <f>IF(A144=Estimates_of_the_use_of_water__2000_2020[[#This Row],[name]], B144-Estimates_of_the_use_of_water__2000_2020[[#This Row],[year]],"")</f>
        <v/>
      </c>
      <c r="D143">
        <v>48.865001679999999</v>
      </c>
      <c r="E143">
        <v>42.397998809999997</v>
      </c>
      <c r="F143">
        <v>100</v>
      </c>
      <c r="G143">
        <f>((F144-Estimates_of_the_use_of_water__2000_2020[[#This Row],[wat_bas_n]])/(B144-Estimates_of_the_use_of_water__2000_2020[[#This Row],[year]]))</f>
        <v>1.0359986679999991</v>
      </c>
      <c r="H143">
        <f>((N144-Estimates_of_the_use_of_water__2000_2020[[#This Row],[wat_bas_r]])/(B144-Estimates_of_the_use_of_water__2000_2020[[#This Row],[year]]))</f>
        <v>-15.634588564000001</v>
      </c>
      <c r="I143">
        <f>(R144-Estimates_of_the_use_of_water__2000_2020[[#This Row],[wat_bas_u]])/(B144-Estimates_of_the_use_of_water__2000_2020[[#This Row],[year]])</f>
        <v>-20</v>
      </c>
      <c r="J143">
        <f>ABS(Estimates_of_the_use_of_water__2000_2020[[#This Row],[ARC_r]]-Estimates_of_the_use_of_water__2000_2020[[#This Row],[ARC_u]])</f>
        <v>4.3654114359999987</v>
      </c>
      <c r="K143">
        <v>0</v>
      </c>
      <c r="L143">
        <v>0</v>
      </c>
      <c r="M143">
        <v>0</v>
      </c>
    </row>
    <row r="144" spans="1:21" x14ac:dyDescent="0.25">
      <c r="A144" s="1" t="s">
        <v>152</v>
      </c>
      <c r="B144">
        <v>2015</v>
      </c>
      <c r="C144">
        <f>IF(A145=Estimates_of_the_use_of_water__2000_2020[[#This Row],[name]], B145-Estimates_of_the_use_of_water__2000_2020[[#This Row],[year]],"")</f>
        <v>5</v>
      </c>
      <c r="D144">
        <v>2.8359999660000001</v>
      </c>
      <c r="E144">
        <v>76.268005369999997</v>
      </c>
      <c r="F144">
        <v>94.820006660000004</v>
      </c>
      <c r="G144">
        <f>((F145-Estimates_of_the_use_of_water__2000_2020[[#This Row],[wat_bas_n]])/(B145-Estimates_of_the_use_of_water__2000_2020[[#This Row],[year]]))</f>
        <v>9.7784147999999502E-2</v>
      </c>
      <c r="H144">
        <f>((N145-Estimates_of_the_use_of_water__2000_2020[[#This Row],[wat_bas_r]])/(B145-Estimates_of_the_use_of_water__2000_2020[[#This Row],[year]]))</f>
        <v>0</v>
      </c>
      <c r="I144">
        <f>(R145-Estimates_of_the_use_of_water__2000_2020[[#This Row],[wat_bas_u]])/(B145-Estimates_of_the_use_of_water__2000_2020[[#This Row],[year]])</f>
        <v>0</v>
      </c>
      <c r="J144">
        <f>ABS(Estimates_of_the_use_of_water__2000_2020[[#This Row],[ARC_r]]-Estimates_of_the_use_of_water__2000_2020[[#This Row],[ARC_u]])</f>
        <v>0</v>
      </c>
      <c r="K144">
        <v>0</v>
      </c>
      <c r="L144">
        <v>5.1799933429999996</v>
      </c>
      <c r="M144">
        <v>0</v>
      </c>
      <c r="N144">
        <v>78.172942820000003</v>
      </c>
      <c r="O144">
        <v>0</v>
      </c>
      <c r="P144">
        <v>21.827057180000001</v>
      </c>
      <c r="Q144">
        <v>0</v>
      </c>
      <c r="R144">
        <v>100</v>
      </c>
      <c r="S144">
        <v>0</v>
      </c>
      <c r="T144">
        <v>0</v>
      </c>
      <c r="U144">
        <v>0</v>
      </c>
    </row>
    <row r="145" spans="1:21" x14ac:dyDescent="0.25">
      <c r="A145" s="1" t="s">
        <v>152</v>
      </c>
      <c r="B145">
        <v>2020</v>
      </c>
      <c r="C145" t="str">
        <f>IF(A146=Estimates_of_the_use_of_water__2000_2020[[#This Row],[name]], B146-Estimates_of_the_use_of_water__2000_2020[[#This Row],[year]],"")</f>
        <v/>
      </c>
      <c r="D145">
        <v>3.4830000399999999</v>
      </c>
      <c r="E145">
        <v>78.507995609999995</v>
      </c>
      <c r="F145">
        <v>95.308927400000002</v>
      </c>
      <c r="G145">
        <f>((F146-Estimates_of_the_use_of_water__2000_2020[[#This Row],[wat_bas_n]])/(B146-Estimates_of_the_use_of_water__2000_2020[[#This Row],[year]]))</f>
        <v>0.20927374599999951</v>
      </c>
      <c r="H145">
        <f>((N146-Estimates_of_the_use_of_water__2000_2020[[#This Row],[wat_bas_r]])/(B146-Estimates_of_the_use_of_water__2000_2020[[#This Row],[year]]))</f>
        <v>-2.241116914</v>
      </c>
      <c r="I145">
        <f>(R146-Estimates_of_the_use_of_water__2000_2020[[#This Row],[wat_bas_u]])/(B146-Estimates_of_the_use_of_water__2000_2020[[#This Row],[year]])</f>
        <v>0.33939106599999891</v>
      </c>
      <c r="J145">
        <f>ABS(Estimates_of_the_use_of_water__2000_2020[[#This Row],[ARC_r]]-Estimates_of_the_use_of_water__2000_2020[[#This Row],[ARC_u]])</f>
        <v>2.5805079799999988</v>
      </c>
      <c r="K145">
        <v>0</v>
      </c>
      <c r="L145">
        <v>4.6910725959999997</v>
      </c>
      <c r="M145">
        <v>0</v>
      </c>
      <c r="N145">
        <v>78.172942820000003</v>
      </c>
      <c r="O145">
        <v>0</v>
      </c>
      <c r="P145">
        <v>21.827057180000001</v>
      </c>
      <c r="Q145">
        <v>0</v>
      </c>
      <c r="R145">
        <v>100</v>
      </c>
      <c r="S145">
        <v>0</v>
      </c>
      <c r="T145">
        <v>0</v>
      </c>
      <c r="U145">
        <v>0</v>
      </c>
    </row>
    <row r="146" spans="1:21" x14ac:dyDescent="0.25">
      <c r="A146" s="1" t="s">
        <v>161</v>
      </c>
      <c r="B146">
        <v>2015</v>
      </c>
      <c r="C146">
        <f>IF(A147=Estimates_of_the_use_of_water__2000_2020[[#This Row],[name]], B147-Estimates_of_the_use_of_water__2000_2020[[#This Row],[year]],"")</f>
        <v>5</v>
      </c>
      <c r="D146">
        <v>868.63201900000001</v>
      </c>
      <c r="E146">
        <v>54.725997919999998</v>
      </c>
      <c r="F146">
        <v>94.262558670000004</v>
      </c>
      <c r="G146">
        <f>((F147-Estimates_of_the_use_of_water__2000_2020[[#This Row],[wat_bas_n]])/(B147-Estimates_of_the_use_of_water__2000_2020[[#This Row],[year]]))</f>
        <v>7.7013139999991152E-3</v>
      </c>
      <c r="H146">
        <f>((N147-Estimates_of_the_use_of_water__2000_2020[[#This Row],[wat_bas_r]])/(B147-Estimates_of_the_use_of_water__2000_2020[[#This Row],[year]]))</f>
        <v>-5.8100668000000154E-2</v>
      </c>
      <c r="I146">
        <f>(R147-Estimates_of_the_use_of_water__2000_2020[[#This Row],[wat_bas_u]])/(B147-Estimates_of_the_use_of_water__2000_2020[[#This Row],[year]])</f>
        <v>-2.1760122000000593E-2</v>
      </c>
      <c r="J146">
        <f>ABS(Estimates_of_the_use_of_water__2000_2020[[#This Row],[ARC_r]]-Estimates_of_the_use_of_water__2000_2020[[#This Row],[ARC_u]])</f>
        <v>3.6340545999999557E-2</v>
      </c>
      <c r="K146">
        <v>0</v>
      </c>
      <c r="L146">
        <v>3.4193659360000002</v>
      </c>
      <c r="M146">
        <v>2.3180753950000001</v>
      </c>
      <c r="N146">
        <v>89.378527390000002</v>
      </c>
      <c r="O146">
        <v>0</v>
      </c>
      <c r="P146">
        <v>5.8294678109999998</v>
      </c>
      <c r="Q146">
        <v>4.7920047950000004</v>
      </c>
      <c r="R146">
        <v>98.303044670000006</v>
      </c>
      <c r="S146">
        <v>0</v>
      </c>
      <c r="T146">
        <v>1.4255247120000001</v>
      </c>
      <c r="U146">
        <v>0.27143061419999998</v>
      </c>
    </row>
    <row r="147" spans="1:21" x14ac:dyDescent="0.25">
      <c r="A147" s="1" t="s">
        <v>161</v>
      </c>
      <c r="B147">
        <v>2020</v>
      </c>
      <c r="C147" t="str">
        <f>IF(A148=Estimates_of_the_use_of_water__2000_2020[[#This Row],[name]], B148-Estimates_of_the_use_of_water__2000_2020[[#This Row],[year]],"")</f>
        <v/>
      </c>
      <c r="D147">
        <v>896.44396970000003</v>
      </c>
      <c r="E147">
        <v>57.247005459999997</v>
      </c>
      <c r="F147">
        <v>94.30106524</v>
      </c>
      <c r="G147">
        <f>((F148-Estimates_of_the_use_of_water__2000_2020[[#This Row],[wat_bas_n]])/(B148-Estimates_of_the_use_of_water__2000_2020[[#This Row],[year]]))</f>
        <v>-1.1397862839999988</v>
      </c>
      <c r="H147">
        <f>((N148-Estimates_of_the_use_of_water__2000_2020[[#This Row],[wat_bas_r]])/(B148-Estimates_of_the_use_of_water__2000_2020[[#This Row],[year]]))</f>
        <v>-2.1823951899999998</v>
      </c>
      <c r="I147">
        <f>(R148-Estimates_of_the_use_of_water__2000_2020[[#This Row],[wat_bas_u]])/(B148-Estimates_of_the_use_of_water__2000_2020[[#This Row],[year]])</f>
        <v>-0.36115118799999946</v>
      </c>
      <c r="J147">
        <f>ABS(Estimates_of_the_use_of_water__2000_2020[[#This Row],[ARC_r]]-Estimates_of_the_use_of_water__2000_2020[[#This Row],[ARC_u]])</f>
        <v>1.8212440020000003</v>
      </c>
      <c r="K147">
        <v>0</v>
      </c>
      <c r="L147">
        <v>3.3186027660000001</v>
      </c>
      <c r="M147">
        <v>2.380331999</v>
      </c>
      <c r="N147">
        <v>89.088024050000001</v>
      </c>
      <c r="O147">
        <v>0</v>
      </c>
      <c r="P147">
        <v>5.7598979379999999</v>
      </c>
      <c r="Q147">
        <v>5.1520780119999996</v>
      </c>
      <c r="R147">
        <v>98.194244060000003</v>
      </c>
      <c r="S147">
        <v>0</v>
      </c>
      <c r="T147">
        <v>1.495409344</v>
      </c>
      <c r="U147">
        <v>0.31034659219999999</v>
      </c>
    </row>
    <row r="148" spans="1:21" x14ac:dyDescent="0.25">
      <c r="A148" s="1" t="s">
        <v>20</v>
      </c>
      <c r="B148">
        <v>2015</v>
      </c>
      <c r="C148">
        <f>IF(A149=Estimates_of_the_use_of_water__2000_2020[[#This Row],[name]], B149-Estimates_of_the_use_of_water__2000_2020[[#This Row],[year]],"")</f>
        <v>5</v>
      </c>
      <c r="D148">
        <v>5481.1279299999997</v>
      </c>
      <c r="E148">
        <v>85.224998470000003</v>
      </c>
      <c r="F148">
        <v>99.999996659999994</v>
      </c>
      <c r="G148">
        <f>((F149-Estimates_of_the_use_of_water__2000_2020[[#This Row],[wat_bas_n]])/(B149-Estimates_of_the_use_of_water__2000_2020[[#This Row],[year]]))</f>
        <v>1.3280000018767169E-6</v>
      </c>
      <c r="H148">
        <f>((N149-Estimates_of_the_use_of_water__2000_2020[[#This Row],[wat_bas_r]])/(B149-Estimates_of_the_use_of_water__2000_2020[[#This Row],[year]]))</f>
        <v>0</v>
      </c>
      <c r="I148">
        <f>(R149-Estimates_of_the_use_of_water__2000_2020[[#This Row],[wat_bas_u]])/(B149-Estimates_of_the_use_of_water__2000_2020[[#This Row],[year]])</f>
        <v>0</v>
      </c>
      <c r="J148">
        <f>ABS(Estimates_of_the_use_of_water__2000_2020[[#This Row],[ARC_r]]-Estimates_of_the_use_of_water__2000_2020[[#This Row],[ARC_u]])</f>
        <v>0</v>
      </c>
      <c r="K148">
        <v>0</v>
      </c>
      <c r="L148">
        <v>3.3406530800000001E-6</v>
      </c>
      <c r="M148">
        <v>0</v>
      </c>
      <c r="N148">
        <v>100</v>
      </c>
      <c r="O148">
        <v>0</v>
      </c>
      <c r="P148">
        <v>0</v>
      </c>
      <c r="Q148">
        <v>0</v>
      </c>
      <c r="R148">
        <v>100</v>
      </c>
      <c r="S148">
        <v>0</v>
      </c>
      <c r="T148">
        <v>0</v>
      </c>
      <c r="U148">
        <v>0</v>
      </c>
    </row>
    <row r="149" spans="1:21" x14ac:dyDescent="0.25">
      <c r="A149" s="1" t="s">
        <v>20</v>
      </c>
      <c r="B149">
        <v>2020</v>
      </c>
      <c r="C149" t="str">
        <f>IF(A150=Estimates_of_the_use_of_water__2000_2020[[#This Row],[name]], B150-Estimates_of_the_use_of_water__2000_2020[[#This Row],[year]],"")</f>
        <v/>
      </c>
      <c r="D149">
        <v>5540.7177730000003</v>
      </c>
      <c r="E149">
        <v>85.517005920000003</v>
      </c>
      <c r="F149">
        <v>100.0000033</v>
      </c>
      <c r="G149">
        <f>((F150-Estimates_of_the_use_of_water__2000_2020[[#This Row],[wat_bas_n]])/(B150-Estimates_of_the_use_of_water__2000_2020[[#This Row],[year]]))</f>
        <v>6.6000000060739698E-7</v>
      </c>
      <c r="H149">
        <f>((N150-Estimates_of_the_use_of_water__2000_2020[[#This Row],[wat_bas_r]])/(B150-Estimates_of_the_use_of_water__2000_2020[[#This Row],[year]]))</f>
        <v>0</v>
      </c>
      <c r="I149">
        <f>(R150-Estimates_of_the_use_of_water__2000_2020[[#This Row],[wat_bas_u]])/(B150-Estimates_of_the_use_of_water__2000_2020[[#This Row],[year]])</f>
        <v>0</v>
      </c>
      <c r="J149">
        <f>ABS(Estimates_of_the_use_of_water__2000_2020[[#This Row],[ARC_r]]-Estimates_of_the_use_of_water__2000_2020[[#This Row],[ARC_u]])</f>
        <v>0</v>
      </c>
      <c r="K149">
        <v>0</v>
      </c>
      <c r="L149">
        <v>0</v>
      </c>
      <c r="M149">
        <v>0</v>
      </c>
      <c r="N149">
        <v>100</v>
      </c>
      <c r="O149">
        <v>0</v>
      </c>
      <c r="P149">
        <v>0</v>
      </c>
      <c r="Q149">
        <v>0</v>
      </c>
      <c r="R149">
        <v>100</v>
      </c>
      <c r="S149">
        <v>0</v>
      </c>
      <c r="T149">
        <v>0</v>
      </c>
      <c r="U149">
        <v>0</v>
      </c>
    </row>
    <row r="150" spans="1:21" x14ac:dyDescent="0.25">
      <c r="A150" s="1" t="s">
        <v>52</v>
      </c>
      <c r="B150">
        <v>2015</v>
      </c>
      <c r="C150">
        <f>IF(A151=Estimates_of_the_use_of_water__2000_2020[[#This Row],[name]], B151-Estimates_of_the_use_of_water__2000_2020[[#This Row],[year]],"")</f>
        <v>5</v>
      </c>
      <c r="D150">
        <v>64453.195310000003</v>
      </c>
      <c r="E150">
        <v>79.65499878</v>
      </c>
      <c r="F150">
        <v>100</v>
      </c>
      <c r="G150">
        <f>((F151-Estimates_of_the_use_of_water__2000_2020[[#This Row],[wat_bas_n]])/(B151-Estimates_of_the_use_of_water__2000_2020[[#This Row],[year]]))</f>
        <v>-2.999999992425728E-7</v>
      </c>
      <c r="H150">
        <f>((N151-Estimates_of_the_use_of_water__2000_2020[[#This Row],[wat_bas_r]])/(B151-Estimates_of_the_use_of_water__2000_2020[[#This Row],[year]]))</f>
        <v>0</v>
      </c>
      <c r="I150">
        <f>(R151-Estimates_of_the_use_of_water__2000_2020[[#This Row],[wat_bas_u]])/(B151-Estimates_of_the_use_of_water__2000_2020[[#This Row],[year]])</f>
        <v>0</v>
      </c>
      <c r="J150">
        <f>ABS(Estimates_of_the_use_of_water__2000_2020[[#This Row],[ARC_r]]-Estimates_of_the_use_of_water__2000_2020[[#This Row],[ARC_u]])</f>
        <v>0</v>
      </c>
      <c r="K150">
        <v>0</v>
      </c>
      <c r="L150">
        <v>0</v>
      </c>
      <c r="M150">
        <v>0</v>
      </c>
      <c r="N150">
        <v>100</v>
      </c>
      <c r="O150">
        <v>0</v>
      </c>
      <c r="P150">
        <v>0</v>
      </c>
      <c r="Q150">
        <v>0</v>
      </c>
      <c r="R150">
        <v>100</v>
      </c>
      <c r="S150">
        <v>0</v>
      </c>
      <c r="T150">
        <v>0</v>
      </c>
      <c r="U150">
        <v>0</v>
      </c>
    </row>
    <row r="151" spans="1:21" x14ac:dyDescent="0.25">
      <c r="A151" s="1" t="s">
        <v>52</v>
      </c>
      <c r="B151">
        <v>2020</v>
      </c>
      <c r="C151" t="str">
        <f>IF(A152=Estimates_of_the_use_of_water__2000_2020[[#This Row],[name]], B152-Estimates_of_the_use_of_water__2000_2020[[#This Row],[year]],"")</f>
        <v/>
      </c>
      <c r="D151">
        <v>65273.511720000002</v>
      </c>
      <c r="E151">
        <v>80.974998470000003</v>
      </c>
      <c r="F151">
        <v>99.999998500000004</v>
      </c>
      <c r="G151">
        <f>((F152-Estimates_of_the_use_of_water__2000_2020[[#This Row],[wat_bas_n]])/(B152-Estimates_of_the_use_of_water__2000_2020[[#This Row],[year]]))</f>
        <v>1.2875883860000017</v>
      </c>
      <c r="H151">
        <f>((N152-Estimates_of_the_use_of_water__2000_2020[[#This Row],[wat_bas_r]])/(B152-Estimates_of_the_use_of_water__2000_2020[[#This Row],[year]]))</f>
        <v>20</v>
      </c>
      <c r="I151">
        <f>(R152-Estimates_of_the_use_of_water__2000_2020[[#This Row],[wat_bas_u]])/(B152-Estimates_of_the_use_of_water__2000_2020[[#This Row],[year]])</f>
        <v>20</v>
      </c>
      <c r="J151">
        <f>ABS(Estimates_of_the_use_of_water__2000_2020[[#This Row],[ARC_r]]-Estimates_of_the_use_of_water__2000_2020[[#This Row],[ARC_u]])</f>
        <v>0</v>
      </c>
      <c r="K151">
        <v>0</v>
      </c>
      <c r="L151">
        <v>1.49610841E-6</v>
      </c>
      <c r="M151">
        <v>0</v>
      </c>
      <c r="N151">
        <v>100</v>
      </c>
      <c r="O151">
        <v>0</v>
      </c>
      <c r="P151">
        <v>0</v>
      </c>
      <c r="Q151">
        <v>0</v>
      </c>
      <c r="R151">
        <v>100</v>
      </c>
      <c r="S151">
        <v>0</v>
      </c>
      <c r="T151">
        <v>0</v>
      </c>
      <c r="U151">
        <v>0</v>
      </c>
    </row>
    <row r="152" spans="1:21" x14ac:dyDescent="0.25">
      <c r="A152" s="1" t="s">
        <v>169</v>
      </c>
      <c r="B152">
        <v>2015</v>
      </c>
      <c r="C152">
        <f>IF(A153=Estimates_of_the_use_of_water__2000_2020[[#This Row],[name]], B153-Estimates_of_the_use_of_water__2000_2020[[#This Row],[year]],"")</f>
        <v>5</v>
      </c>
      <c r="D152">
        <v>261.00799560000002</v>
      </c>
      <c r="E152">
        <v>84.482002260000002</v>
      </c>
      <c r="F152">
        <v>93.562056569999996</v>
      </c>
      <c r="G152">
        <f>((F153-Estimates_of_the_use_of_water__2000_2020[[#This Row],[wat_bas_n]])/(B153-Estimates_of_the_use_of_water__2000_2020[[#This Row],[year]]))</f>
        <v>4.4031956000000608E-2</v>
      </c>
      <c r="H152">
        <f>((N153-Estimates_of_the_use_of_water__2000_2020[[#This Row],[wat_bas_r]])/(B153-Estimates_of_the_use_of_water__2000_2020[[#This Row],[year]]))</f>
        <v>0</v>
      </c>
      <c r="I152">
        <f>(R153-Estimates_of_the_use_of_water__2000_2020[[#This Row],[wat_bas_u]])/(B153-Estimates_of_the_use_of_water__2000_2020[[#This Row],[year]])</f>
        <v>0</v>
      </c>
      <c r="J152">
        <f>ABS(Estimates_of_the_use_of_water__2000_2020[[#This Row],[ARC_r]]-Estimates_of_the_use_of_water__2000_2020[[#This Row],[ARC_u]])</f>
        <v>0</v>
      </c>
      <c r="K152">
        <v>0</v>
      </c>
      <c r="L152">
        <v>6.4379434250000003</v>
      </c>
      <c r="M152">
        <v>0</v>
      </c>
    </row>
    <row r="153" spans="1:21" x14ac:dyDescent="0.25">
      <c r="A153" s="1" t="s">
        <v>169</v>
      </c>
      <c r="B153">
        <v>2020</v>
      </c>
      <c r="C153" t="str">
        <f>IF(A154=Estimates_of_the_use_of_water__2000_2020[[#This Row],[name]], B154-Estimates_of_the_use_of_water__2000_2020[[#This Row],[year]],"")</f>
        <v/>
      </c>
      <c r="D153">
        <v>298.68200680000001</v>
      </c>
      <c r="E153">
        <v>85.819999690000003</v>
      </c>
      <c r="F153">
        <v>93.782216349999999</v>
      </c>
      <c r="G153">
        <f>((F154-Estimates_of_the_use_of_water__2000_2020[[#This Row],[wat_bas_n]])/(B154-Estimates_of_the_use_of_water__2000_2020[[#This Row],[year]]))</f>
        <v>-1.2435567300000003</v>
      </c>
      <c r="H153">
        <f>((N154-Estimates_of_the_use_of_water__2000_2020[[#This Row],[wat_bas_r]])/(B154-Estimates_of_the_use_of_water__2000_2020[[#This Row],[year]]))</f>
        <v>0</v>
      </c>
      <c r="I153">
        <f>(R154-Estimates_of_the_use_of_water__2000_2020[[#This Row],[wat_bas_u]])/(B154-Estimates_of_the_use_of_water__2000_2020[[#This Row],[year]])</f>
        <v>0</v>
      </c>
      <c r="J153">
        <f>ABS(Estimates_of_the_use_of_water__2000_2020[[#This Row],[ARC_r]]-Estimates_of_the_use_of_water__2000_2020[[#This Row],[ARC_u]])</f>
        <v>0</v>
      </c>
      <c r="K153">
        <v>0</v>
      </c>
      <c r="L153">
        <v>6.2177836519999996</v>
      </c>
      <c r="M153">
        <v>0</v>
      </c>
    </row>
    <row r="154" spans="1:21" x14ac:dyDescent="0.25">
      <c r="A154" s="1" t="s">
        <v>40</v>
      </c>
      <c r="B154">
        <v>2015</v>
      </c>
      <c r="C154">
        <f>IF(A155=Estimates_of_the_use_of_water__2000_2020[[#This Row],[name]], B155-Estimates_of_the_use_of_water__2000_2020[[#This Row],[year]],"")</f>
        <v>5</v>
      </c>
      <c r="D154">
        <v>273.118988</v>
      </c>
      <c r="E154">
        <v>61.683002469999998</v>
      </c>
      <c r="F154">
        <v>100</v>
      </c>
      <c r="G154">
        <f>((F155-Estimates_of_the_use_of_water__2000_2020[[#This Row],[wat_bas_n]])/(B155-Estimates_of_the_use_of_water__2000_2020[[#This Row],[year]]))</f>
        <v>0</v>
      </c>
      <c r="H154">
        <f>((N155-Estimates_of_the_use_of_water__2000_2020[[#This Row],[wat_bas_r]])/(B155-Estimates_of_the_use_of_water__2000_2020[[#This Row],[year]]))</f>
        <v>0</v>
      </c>
      <c r="I154">
        <f>(R155-Estimates_of_the_use_of_water__2000_2020[[#This Row],[wat_bas_u]])/(B155-Estimates_of_the_use_of_water__2000_2020[[#This Row],[year]])</f>
        <v>0</v>
      </c>
      <c r="J154">
        <f>ABS(Estimates_of_the_use_of_water__2000_2020[[#This Row],[ARC_r]]-Estimates_of_the_use_of_water__2000_2020[[#This Row],[ARC_u]])</f>
        <v>0</v>
      </c>
      <c r="K154">
        <v>0</v>
      </c>
      <c r="L154">
        <v>0</v>
      </c>
      <c r="M154">
        <v>0</v>
      </c>
    </row>
    <row r="155" spans="1:21" x14ac:dyDescent="0.25">
      <c r="A155" s="1" t="s">
        <v>40</v>
      </c>
      <c r="B155">
        <v>2020</v>
      </c>
      <c r="C155" t="str">
        <f>IF(A156=Estimates_of_the_use_of_water__2000_2020[[#This Row],[name]], B156-Estimates_of_the_use_of_water__2000_2020[[#This Row],[year]],"")</f>
        <v/>
      </c>
      <c r="D155">
        <v>280.90399170000001</v>
      </c>
      <c r="E155">
        <v>61.975002289999999</v>
      </c>
      <c r="F155">
        <v>100</v>
      </c>
      <c r="G155">
        <f>((F156-Estimates_of_the_use_of_water__2000_2020[[#This Row],[wat_bas_n]])/(B156-Estimates_of_the_use_of_water__2000_2020[[#This Row],[year]]))</f>
        <v>3.2283026900000009</v>
      </c>
      <c r="H155">
        <f>((N156-Estimates_of_the_use_of_water__2000_2020[[#This Row],[wat_bas_r]])/(B156-Estimates_of_the_use_of_water__2000_2020[[#This Row],[year]]))</f>
        <v>-8.6780066320000007</v>
      </c>
      <c r="I155">
        <f>(R156-Estimates_of_the_use_of_water__2000_2020[[#This Row],[wat_bas_u]])/(B156-Estimates_of_the_use_of_water__2000_2020[[#This Row],[year]])</f>
        <v>-17.863066373999999</v>
      </c>
      <c r="J155">
        <f>ABS(Estimates_of_the_use_of_water__2000_2020[[#This Row],[ARC_r]]-Estimates_of_the_use_of_water__2000_2020[[#This Row],[ARC_u]])</f>
        <v>9.1850597419999982</v>
      </c>
      <c r="K155">
        <v>0</v>
      </c>
      <c r="L155">
        <v>0</v>
      </c>
      <c r="M155">
        <v>0</v>
      </c>
    </row>
    <row r="156" spans="1:21" x14ac:dyDescent="0.25">
      <c r="A156" s="1" t="s">
        <v>193</v>
      </c>
      <c r="B156">
        <v>2015</v>
      </c>
      <c r="C156">
        <f>IF(A157=Estimates_of_the_use_of_water__2000_2020[[#This Row],[name]], B157-Estimates_of_the_use_of_water__2000_2020[[#This Row],[year]],"")</f>
        <v>5</v>
      </c>
      <c r="D156">
        <v>1947.6899410000001</v>
      </c>
      <c r="E156">
        <v>88.117996219999995</v>
      </c>
      <c r="F156">
        <v>83.858486549999995</v>
      </c>
      <c r="G156">
        <f>((F157-Estimates_of_the_use_of_water__2000_2020[[#This Row],[wat_bas_n]])/(B157-Estimates_of_the_use_of_water__2000_2020[[#This Row],[year]]))</f>
        <v>0.29668881000000058</v>
      </c>
      <c r="H156">
        <f>((N157-Estimates_of_the_use_of_water__2000_2020[[#This Row],[wat_bas_r]])/(B157-Estimates_of_the_use_of_water__2000_2020[[#This Row],[year]]))</f>
        <v>0.27117116999999952</v>
      </c>
      <c r="I156">
        <f>(R157-Estimates_of_the_use_of_water__2000_2020[[#This Row],[wat_bas_u]])/(B157-Estimates_of_the_use_of_water__2000_2020[[#This Row],[year]])</f>
        <v>9.824145999999985E-2</v>
      </c>
      <c r="J156">
        <f>ABS(Estimates_of_the_use_of_water__2000_2020[[#This Row],[ARC_r]]-Estimates_of_the_use_of_water__2000_2020[[#This Row],[ARC_u]])</f>
        <v>0.17292970999999968</v>
      </c>
      <c r="K156">
        <v>7.7224304339999996</v>
      </c>
      <c r="L156">
        <v>4.9241821100000003</v>
      </c>
      <c r="M156">
        <v>3.4949009009999998</v>
      </c>
      <c r="N156">
        <v>43.390033160000002</v>
      </c>
      <c r="O156">
        <v>10.192647770000001</v>
      </c>
      <c r="P156">
        <v>21.81093263</v>
      </c>
      <c r="Q156">
        <v>24.606386440000001</v>
      </c>
      <c r="R156">
        <v>89.315331869999994</v>
      </c>
      <c r="S156">
        <v>7.3893416170000004</v>
      </c>
      <c r="T156">
        <v>2.6471391450000001</v>
      </c>
      <c r="U156">
        <v>0.6481873668</v>
      </c>
    </row>
    <row r="157" spans="1:21" x14ac:dyDescent="0.25">
      <c r="A157" s="1" t="s">
        <v>193</v>
      </c>
      <c r="B157">
        <v>2020</v>
      </c>
      <c r="C157" t="str">
        <f>IF(A158=Estimates_of_the_use_of_water__2000_2020[[#This Row],[name]], B158-Estimates_of_the_use_of_water__2000_2020[[#This Row],[year]],"")</f>
        <v/>
      </c>
      <c r="D157">
        <v>2225.7280270000001</v>
      </c>
      <c r="E157">
        <v>90.092002870000002</v>
      </c>
      <c r="F157">
        <v>85.341930599999998</v>
      </c>
      <c r="G157">
        <f>((F158-Estimates_of_the_use_of_water__2000_2020[[#This Row],[wat_bas_n]])/(B158-Estimates_of_the_use_of_water__2000_2020[[#This Row],[year]]))</f>
        <v>1.2263528199999996</v>
      </c>
      <c r="H157">
        <f>((N158-Estimates_of_the_use_of_water__2000_2020[[#This Row],[wat_bas_r]])/(B158-Estimates_of_the_use_of_water__2000_2020[[#This Row],[year]]))</f>
        <v>-4.7018007119999989</v>
      </c>
      <c r="I157">
        <f>(R158-Estimates_of_the_use_of_water__2000_2020[[#This Row],[wat_bas_u]])/(B158-Estimates_of_the_use_of_water__2000_2020[[#This Row],[year]])</f>
        <v>0.61097358199999974</v>
      </c>
      <c r="J157">
        <f>ABS(Estimates_of_the_use_of_water__2000_2020[[#This Row],[ARC_r]]-Estimates_of_the_use_of_water__2000_2020[[#This Row],[ARC_u]])</f>
        <v>5.3127742939999987</v>
      </c>
      <c r="K157">
        <v>7.7352631030000003</v>
      </c>
      <c r="L157">
        <v>6.9228083570000001</v>
      </c>
      <c r="N157">
        <v>44.745889009999999</v>
      </c>
      <c r="O157">
        <v>10.511148589999999</v>
      </c>
      <c r="P157">
        <v>44.742962400000003</v>
      </c>
      <c r="R157">
        <v>89.806539169999994</v>
      </c>
      <c r="S157">
        <v>7.4299807600000003</v>
      </c>
      <c r="T157">
        <v>2.7634800720000001</v>
      </c>
    </row>
    <row r="158" spans="1:21" x14ac:dyDescent="0.25">
      <c r="A158" s="1" t="s">
        <v>201</v>
      </c>
      <c r="B158">
        <v>2015</v>
      </c>
      <c r="C158">
        <f>IF(A159=Estimates_of_the_use_of_water__2000_2020[[#This Row],[name]], B159-Estimates_of_the_use_of_water__2000_2020[[#This Row],[year]],"")</f>
        <v>5</v>
      </c>
      <c r="D158">
        <v>2085.860107</v>
      </c>
      <c r="E158">
        <v>59.228000639999998</v>
      </c>
      <c r="F158">
        <v>79.2101665</v>
      </c>
      <c r="G158">
        <f>((F159-Estimates_of_the_use_of_water__2000_2020[[#This Row],[wat_bas_n]])/(B159-Estimates_of_the_use_of_water__2000_2020[[#This Row],[year]]))</f>
        <v>0.34604812800000107</v>
      </c>
      <c r="H158">
        <f>((N159-Estimates_of_the_use_of_water__2000_2020[[#This Row],[wat_bas_r]])/(B159-Estimates_of_the_use_of_water__2000_2020[[#This Row],[year]]))</f>
        <v>0.18672612800000082</v>
      </c>
      <c r="I158">
        <f>(R159-Estimates_of_the_use_of_water__2000_2020[[#This Row],[wat_bas_u]])/(B159-Estimates_of_the_use_of_water__2000_2020[[#This Row],[year]])</f>
        <v>0.24304660200000114</v>
      </c>
      <c r="J158">
        <f>ABS(Estimates_of_the_use_of_water__2000_2020[[#This Row],[ARC_r]]-Estimates_of_the_use_of_water__2000_2020[[#This Row],[ARC_u]])</f>
        <v>5.6320474000000315E-2</v>
      </c>
      <c r="K158">
        <v>9.0733700059999993</v>
      </c>
      <c r="L158">
        <v>11.624014620000001</v>
      </c>
      <c r="M158">
        <v>9.2448870380000006E-2</v>
      </c>
      <c r="N158">
        <v>68.254892569999996</v>
      </c>
      <c r="O158">
        <v>15.340084539999999</v>
      </c>
      <c r="P158">
        <v>16.322389959999999</v>
      </c>
      <c r="Q158">
        <v>8.263292471E-2</v>
      </c>
      <c r="R158">
        <v>86.751671259999995</v>
      </c>
      <c r="S158">
        <v>4.7594215670000004</v>
      </c>
      <c r="T158">
        <v>8.3897011020000001</v>
      </c>
      <c r="U158">
        <v>9.9206071500000007E-2</v>
      </c>
    </row>
    <row r="159" spans="1:21" x14ac:dyDescent="0.25">
      <c r="A159" s="1" t="s">
        <v>201</v>
      </c>
      <c r="B159">
        <v>2020</v>
      </c>
      <c r="C159" t="str">
        <f>IF(A160=Estimates_of_the_use_of_water__2000_2020[[#This Row],[name]], B160-Estimates_of_the_use_of_water__2000_2020[[#This Row],[year]],"")</f>
        <v/>
      </c>
      <c r="D159">
        <v>2416.6640630000002</v>
      </c>
      <c r="E159">
        <v>62.581996920000002</v>
      </c>
      <c r="F159">
        <v>80.940407140000005</v>
      </c>
      <c r="G159">
        <f>((F160-Estimates_of_the_use_of_water__2000_2020[[#This Row],[wat_bas_n]])/(B160-Estimates_of_the_use_of_water__2000_2020[[#This Row],[year]]))</f>
        <v>-2.9628644739999999</v>
      </c>
      <c r="H159">
        <f>((N160-Estimates_of_the_use_of_water__2000_2020[[#This Row],[wat_bas_r]])/(B160-Estimates_of_the_use_of_water__2000_2020[[#This Row],[year]]))</f>
        <v>-4.4213254760000016</v>
      </c>
      <c r="I159">
        <f>(R160-Estimates_of_the_use_of_water__2000_2020[[#This Row],[wat_bas_u]])/(B160-Estimates_of_the_use_of_water__2000_2020[[#This Row],[year]])</f>
        <v>-2.2182122359999994</v>
      </c>
      <c r="J159">
        <f>ABS(Estimates_of_the_use_of_water__2000_2020[[#This Row],[ARC_r]]-Estimates_of_the_use_of_water__2000_2020[[#This Row],[ARC_u]])</f>
        <v>2.2031132400000022</v>
      </c>
      <c r="K159">
        <v>8.5973913910000004</v>
      </c>
      <c r="L159">
        <v>10.352852070000001</v>
      </c>
      <c r="M159">
        <v>0.10934939270000001</v>
      </c>
      <c r="N159">
        <v>69.18852321</v>
      </c>
      <c r="O159">
        <v>16.497832389999999</v>
      </c>
      <c r="P159">
        <v>14.24376547</v>
      </c>
      <c r="Q159">
        <v>6.9878936799999999E-2</v>
      </c>
      <c r="R159">
        <v>87.966904270000001</v>
      </c>
      <c r="S159">
        <v>3.8736895219999998</v>
      </c>
      <c r="T159">
        <v>8.0264572780000005</v>
      </c>
      <c r="U159">
        <v>0.13294892529999999</v>
      </c>
    </row>
    <row r="160" spans="1:21" x14ac:dyDescent="0.25">
      <c r="A160" s="1" t="s">
        <v>129</v>
      </c>
      <c r="B160">
        <v>2015</v>
      </c>
      <c r="C160">
        <f>IF(A161=Estimates_of_the_use_of_water__2000_2020[[#This Row],[name]], B161-Estimates_of_the_use_of_water__2000_2020[[#This Row],[year]],"")</f>
        <v>5</v>
      </c>
      <c r="D160">
        <v>4024.179932</v>
      </c>
      <c r="E160">
        <v>57.447998050000002</v>
      </c>
      <c r="F160">
        <v>95.754729510000004</v>
      </c>
      <c r="G160">
        <f>((F161-Estimates_of_the_use_of_water__2000_2020[[#This Row],[wat_bas_n]])/(B161-Estimates_of_the_use_of_water__2000_2020[[#This Row],[year]]))</f>
        <v>0.31868203800000006</v>
      </c>
      <c r="H160">
        <f>((N161-Estimates_of_the_use_of_water__2000_2020[[#This Row],[wat_bas_r]])/(B161-Estimates_of_the_use_of_water__2000_2020[[#This Row],[year]]))</f>
        <v>0.59534672199999927</v>
      </c>
      <c r="I160">
        <f>(R161-Estimates_of_the_use_of_water__2000_2020[[#This Row],[wat_bas_u]])/(B161-Estimates_of_the_use_of_water__2000_2020[[#This Row],[year]])</f>
        <v>7.7637698000000907E-2</v>
      </c>
      <c r="J160">
        <f>ABS(Estimates_of_the_use_of_water__2000_2020[[#This Row],[ARC_r]]-Estimates_of_the_use_of_water__2000_2020[[#This Row],[ARC_u]])</f>
        <v>0.51770902399999841</v>
      </c>
      <c r="K160">
        <v>0.95196455830000004</v>
      </c>
      <c r="L160">
        <v>3.2398949309999998</v>
      </c>
      <c r="M160">
        <v>5.3410995400000001E-2</v>
      </c>
      <c r="N160">
        <v>91.295150590000006</v>
      </c>
      <c r="O160">
        <v>1.893756292</v>
      </c>
      <c r="P160">
        <v>6.7002163880000003</v>
      </c>
      <c r="Q160">
        <v>0.1108767321</v>
      </c>
      <c r="R160">
        <v>99.057965449999998</v>
      </c>
      <c r="S160">
        <v>0.25437508559999999</v>
      </c>
      <c r="T160">
        <v>0.67681360540000002</v>
      </c>
      <c r="U160">
        <v>1.084585945E-2</v>
      </c>
    </row>
    <row r="161" spans="1:21" x14ac:dyDescent="0.25">
      <c r="A161" s="1" t="s">
        <v>129</v>
      </c>
      <c r="B161">
        <v>2020</v>
      </c>
      <c r="C161" t="str">
        <f>IF(A162=Estimates_of_the_use_of_water__2000_2020[[#This Row],[name]], B162-Estimates_of_the_use_of_water__2000_2020[[#This Row],[year]],"")</f>
        <v/>
      </c>
      <c r="D161">
        <v>3989.1750489999999</v>
      </c>
      <c r="E161">
        <v>59.452995299999998</v>
      </c>
      <c r="F161">
        <v>97.348139700000004</v>
      </c>
      <c r="G161">
        <f>((F162-Estimates_of_the_use_of_water__2000_2020[[#This Row],[wat_bas_n]])/(B162-Estimates_of_the_use_of_water__2000_2020[[#This Row],[year]]))</f>
        <v>-0.530372539999999</v>
      </c>
      <c r="H161">
        <f>((N162-Estimates_of_the_use_of_water__2000_2020[[#This Row],[wat_bas_r]])/(B162-Estimates_of_the_use_of_water__2000_2020[[#This Row],[year]]))</f>
        <v>-1.1456231599999995</v>
      </c>
      <c r="I161">
        <f>(R162-Estimates_of_the_use_of_water__2000_2020[[#This Row],[wat_bas_u]])/(B162-Estimates_of_the_use_of_water__2000_2020[[#This Row],[year]])</f>
        <v>-0.11076921199999959</v>
      </c>
      <c r="J161">
        <f>ABS(Estimates_of_the_use_of_water__2000_2020[[#This Row],[ARC_r]]-Estimates_of_the_use_of_water__2000_2020[[#This Row],[ARC_u]])</f>
        <v>1.0348539479999999</v>
      </c>
      <c r="K161">
        <v>0</v>
      </c>
      <c r="L161">
        <v>2.6327613790000002</v>
      </c>
      <c r="M161">
        <v>1.9098923269999998E-2</v>
      </c>
      <c r="N161">
        <v>94.271884200000002</v>
      </c>
      <c r="O161">
        <v>0</v>
      </c>
      <c r="P161">
        <v>5.7039236180000001</v>
      </c>
      <c r="Q161">
        <v>2.4192183450000002E-2</v>
      </c>
      <c r="R161">
        <v>99.446153940000002</v>
      </c>
      <c r="S161">
        <v>0</v>
      </c>
      <c r="T161">
        <v>0.53822074200000003</v>
      </c>
      <c r="U161">
        <v>1.5625315859999999E-2</v>
      </c>
    </row>
    <row r="162" spans="1:21" x14ac:dyDescent="0.25">
      <c r="A162" s="1" t="s">
        <v>22</v>
      </c>
      <c r="B162">
        <v>2015</v>
      </c>
      <c r="C162">
        <f>IF(A163=Estimates_of_the_use_of_water__2000_2020[[#This Row],[name]], B163-Estimates_of_the_use_of_water__2000_2020[[#This Row],[year]],"")</f>
        <v>5</v>
      </c>
      <c r="D162">
        <v>81787.414059999996</v>
      </c>
      <c r="E162">
        <v>77.200004579999998</v>
      </c>
      <c r="F162">
        <v>100.0000024</v>
      </c>
      <c r="G162">
        <f>((F163-Estimates_of_the_use_of_water__2000_2020[[#This Row],[wat_bas_n]])/(B163-Estimates_of_the_use_of_water__2000_2020[[#This Row],[year]]))</f>
        <v>-1.9999998812636478E-8</v>
      </c>
      <c r="H162">
        <f>((N163-Estimates_of_the_use_of_water__2000_2020[[#This Row],[wat_bas_r]])/(B163-Estimates_of_the_use_of_water__2000_2020[[#This Row],[year]]))</f>
        <v>0</v>
      </c>
      <c r="I162">
        <f>(R163-Estimates_of_the_use_of_water__2000_2020[[#This Row],[wat_bas_u]])/(B163-Estimates_of_the_use_of_water__2000_2020[[#This Row],[year]])</f>
        <v>0</v>
      </c>
      <c r="J162">
        <f>ABS(Estimates_of_the_use_of_water__2000_2020[[#This Row],[ARC_r]]-Estimates_of_the_use_of_water__2000_2020[[#This Row],[ARC_u]])</f>
        <v>0</v>
      </c>
      <c r="K162">
        <v>0</v>
      </c>
      <c r="L162">
        <v>0</v>
      </c>
      <c r="M162">
        <v>0</v>
      </c>
      <c r="N162">
        <v>100</v>
      </c>
      <c r="O162">
        <v>0</v>
      </c>
      <c r="P162">
        <v>0</v>
      </c>
      <c r="Q162">
        <v>0</v>
      </c>
      <c r="R162">
        <v>100</v>
      </c>
      <c r="S162">
        <v>0</v>
      </c>
      <c r="T162">
        <v>0</v>
      </c>
      <c r="U162">
        <v>0</v>
      </c>
    </row>
    <row r="163" spans="1:21" x14ac:dyDescent="0.25">
      <c r="A163" s="1" t="s">
        <v>22</v>
      </c>
      <c r="B163">
        <v>2020</v>
      </c>
      <c r="C163" t="str">
        <f>IF(A164=Estimates_of_the_use_of_water__2000_2020[[#This Row],[name]], B164-Estimates_of_the_use_of_water__2000_2020[[#This Row],[year]],"")</f>
        <v/>
      </c>
      <c r="D163">
        <v>83783.945309999996</v>
      </c>
      <c r="E163">
        <v>77.453002929999997</v>
      </c>
      <c r="F163">
        <v>100.00000230000001</v>
      </c>
      <c r="G163">
        <f>((F164-Estimates_of_the_use_of_water__2000_2020[[#This Row],[wat_bas_n]])/(B164-Estimates_of_the_use_of_water__2000_2020[[#This Row],[year]]))</f>
        <v>3.9684082140000014</v>
      </c>
      <c r="H163">
        <f>((N164-Estimates_of_the_use_of_water__2000_2020[[#This Row],[wat_bas_r]])/(B164-Estimates_of_the_use_of_water__2000_2020[[#This Row],[year]]))</f>
        <v>6.5583390460000004</v>
      </c>
      <c r="I163">
        <f>(R164-Estimates_of_the_use_of_water__2000_2020[[#This Row],[wat_bas_u]])/(B164-Estimates_of_the_use_of_water__2000_2020[[#This Row],[year]])</f>
        <v>1.7697960319999992</v>
      </c>
      <c r="J163">
        <f>ABS(Estimates_of_the_use_of_water__2000_2020[[#This Row],[ARC_r]]-Estimates_of_the_use_of_water__2000_2020[[#This Row],[ARC_u]])</f>
        <v>4.7885430140000009</v>
      </c>
      <c r="K163">
        <v>0</v>
      </c>
      <c r="L163">
        <v>0</v>
      </c>
      <c r="M163">
        <v>0</v>
      </c>
      <c r="N163">
        <v>100</v>
      </c>
      <c r="O163">
        <v>0</v>
      </c>
      <c r="P163">
        <v>0</v>
      </c>
      <c r="Q163">
        <v>0</v>
      </c>
      <c r="R163">
        <v>100</v>
      </c>
      <c r="S163">
        <v>0</v>
      </c>
      <c r="T163">
        <v>0</v>
      </c>
      <c r="U163">
        <v>0</v>
      </c>
    </row>
    <row r="164" spans="1:21" x14ac:dyDescent="0.25">
      <c r="A164" s="1" t="s">
        <v>190</v>
      </c>
      <c r="B164">
        <v>2015</v>
      </c>
      <c r="C164">
        <f>IF(A165=Estimates_of_the_use_of_water__2000_2020[[#This Row],[name]], B165-Estimates_of_the_use_of_water__2000_2020[[#This Row],[year]],"")</f>
        <v>5</v>
      </c>
      <c r="D164">
        <v>27849.203130000002</v>
      </c>
      <c r="E164">
        <v>54.085998539999999</v>
      </c>
      <c r="F164">
        <v>80.157961229999998</v>
      </c>
      <c r="G164">
        <f>((F165-Estimates_of_the_use_of_water__2000_2020[[#This Row],[wat_bas_n]])/(B165-Estimates_of_the_use_of_water__2000_2020[[#This Row],[year]]))</f>
        <v>1.1266070839999998</v>
      </c>
      <c r="H164">
        <f>((N165-Estimates_of_the_use_of_water__2000_2020[[#This Row],[wat_bas_r]])/(B165-Estimates_of_the_use_of_water__2000_2020[[#This Row],[year]]))</f>
        <v>0.93688905600000116</v>
      </c>
      <c r="I164">
        <f>(R165-Estimates_of_the_use_of_water__2000_2020[[#This Row],[wat_bas_u]])/(B165-Estimates_of_the_use_of_water__2000_2020[[#This Row],[year]])</f>
        <v>0.99524793599999839</v>
      </c>
      <c r="J164">
        <f>ABS(Estimates_of_the_use_of_water__2000_2020[[#This Row],[ARC_r]]-Estimates_of_the_use_of_water__2000_2020[[#This Row],[ARC_u]])</f>
        <v>5.8358879999997226E-2</v>
      </c>
      <c r="K164">
        <v>7.8975991900000002</v>
      </c>
      <c r="L164">
        <v>4.4266436760000003</v>
      </c>
      <c r="M164">
        <v>7.5177958990000002</v>
      </c>
      <c r="N164">
        <v>67.208304769999998</v>
      </c>
      <c r="O164">
        <v>11.1534648</v>
      </c>
      <c r="P164">
        <v>6.3352592420000002</v>
      </c>
      <c r="Q164">
        <v>15.302971189999999</v>
      </c>
      <c r="R164">
        <v>91.151019840000004</v>
      </c>
      <c r="S164">
        <v>5.133670929</v>
      </c>
      <c r="T164">
        <v>2.806405888</v>
      </c>
      <c r="U164">
        <v>0.90890334449999999</v>
      </c>
    </row>
    <row r="165" spans="1:21" x14ac:dyDescent="0.25">
      <c r="A165" s="1" t="s">
        <v>190</v>
      </c>
      <c r="B165">
        <v>2020</v>
      </c>
      <c r="C165" t="str">
        <f>IF(A166=Estimates_of_the_use_of_water__2000_2020[[#This Row],[name]], B166-Estimates_of_the_use_of_water__2000_2020[[#This Row],[year]],"")</f>
        <v/>
      </c>
      <c r="D165">
        <v>31072.945309999999</v>
      </c>
      <c r="E165">
        <v>57.348999020000001</v>
      </c>
      <c r="F165">
        <v>85.790996649999997</v>
      </c>
      <c r="G165">
        <f>((F166-Estimates_of_the_use_of_water__2000_2020[[#This Row],[wat_bas_n]])/(B166-Estimates_of_the_use_of_water__2000_2020[[#This Row],[year]]))</f>
        <v>-2.8418006700000005</v>
      </c>
      <c r="H165">
        <f>((N166-Estimates_of_the_use_of_water__2000_2020[[#This Row],[wat_bas_r]])/(B166-Estimates_of_the_use_of_water__2000_2020[[#This Row],[year]]))</f>
        <v>14.378550010000001</v>
      </c>
      <c r="I165">
        <f>(R166-Estimates_of_the_use_of_water__2000_2020[[#This Row],[wat_bas_u]])/(B166-Estimates_of_the_use_of_water__2000_2020[[#This Row],[year]])</f>
        <v>-0.77454809600000085</v>
      </c>
      <c r="J165">
        <f>ABS(Estimates_of_the_use_of_water__2000_2020[[#This Row],[ARC_r]]-Estimates_of_the_use_of_water__2000_2020[[#This Row],[ARC_u]])</f>
        <v>15.153098106000002</v>
      </c>
      <c r="K165">
        <v>6.5860621129999997</v>
      </c>
      <c r="L165">
        <v>2.8122161760000002</v>
      </c>
      <c r="M165">
        <v>4.8107250580000001</v>
      </c>
      <c r="N165">
        <v>71.892750050000004</v>
      </c>
      <c r="O165">
        <v>11.934548270000001</v>
      </c>
      <c r="P165">
        <v>4.9993564829999997</v>
      </c>
      <c r="Q165">
        <v>11.173345189999999</v>
      </c>
      <c r="R165">
        <v>96.127259519999996</v>
      </c>
      <c r="S165">
        <v>2.6083424549999998</v>
      </c>
      <c r="T165">
        <v>1.1856138030000001</v>
      </c>
      <c r="U165">
        <v>7.8784218190000005E-2</v>
      </c>
    </row>
    <row r="166" spans="1:21" x14ac:dyDescent="0.25">
      <c r="A166" s="1" t="s">
        <v>35</v>
      </c>
      <c r="B166">
        <v>2015</v>
      </c>
      <c r="C166">
        <f>IF(A167=Estimates_of_the_use_of_water__2000_2020[[#This Row],[name]], B167-Estimates_of_the_use_of_water__2000_2020[[#This Row],[year]],"")</f>
        <v>5</v>
      </c>
      <c r="D166">
        <v>33.742000580000003</v>
      </c>
      <c r="E166">
        <v>100</v>
      </c>
      <c r="F166">
        <v>100</v>
      </c>
      <c r="G166">
        <f>((F167-Estimates_of_the_use_of_water__2000_2020[[#This Row],[wat_bas_n]])/(B167-Estimates_of_the_use_of_water__2000_2020[[#This Row],[year]]))</f>
        <v>0</v>
      </c>
      <c r="H166">
        <f>((N167-Estimates_of_the_use_of_water__2000_2020[[#This Row],[wat_bas_r]])/(B167-Estimates_of_the_use_of_water__2000_2020[[#This Row],[year]]))</f>
        <v>0</v>
      </c>
      <c r="I166">
        <f>(R167-Estimates_of_the_use_of_water__2000_2020[[#This Row],[wat_bas_u]])/(B167-Estimates_of_the_use_of_water__2000_2020[[#This Row],[year]])</f>
        <v>0</v>
      </c>
      <c r="J166">
        <f>ABS(Estimates_of_the_use_of_water__2000_2020[[#This Row],[ARC_r]]-Estimates_of_the_use_of_water__2000_2020[[#This Row],[ARC_u]])</f>
        <v>0</v>
      </c>
      <c r="K166">
        <v>0</v>
      </c>
      <c r="L166">
        <v>0</v>
      </c>
      <c r="M166">
        <v>0</v>
      </c>
      <c r="R166">
        <v>100</v>
      </c>
      <c r="S166">
        <v>0</v>
      </c>
      <c r="T166">
        <v>0</v>
      </c>
      <c r="U166">
        <v>0</v>
      </c>
    </row>
    <row r="167" spans="1:21" x14ac:dyDescent="0.25">
      <c r="A167" s="1" t="s">
        <v>35</v>
      </c>
      <c r="B167">
        <v>2020</v>
      </c>
      <c r="C167" t="str">
        <f>IF(A168=Estimates_of_the_use_of_water__2000_2020[[#This Row],[name]], B168-Estimates_of_the_use_of_water__2000_2020[[#This Row],[year]],"")</f>
        <v/>
      </c>
      <c r="D167">
        <v>33.691001890000003</v>
      </c>
      <c r="E167">
        <v>100</v>
      </c>
      <c r="F167">
        <v>100</v>
      </c>
      <c r="G167">
        <f>((F168-Estimates_of_the_use_of_water__2000_2020[[#This Row],[wat_bas_n]])/(B168-Estimates_of_the_use_of_water__2000_2020[[#This Row],[year]]))</f>
        <v>-9.1999999938252588E-7</v>
      </c>
      <c r="H167">
        <f>((N168-Estimates_of_the_use_of_water__2000_2020[[#This Row],[wat_bas_r]])/(B168-Estimates_of_the_use_of_water__2000_2020[[#This Row],[year]]))</f>
        <v>-20</v>
      </c>
      <c r="I167">
        <f>(R168-Estimates_of_the_use_of_water__2000_2020[[#This Row],[wat_bas_u]])/(B168-Estimates_of_the_use_of_water__2000_2020[[#This Row],[year]])</f>
        <v>0</v>
      </c>
      <c r="J167">
        <f>ABS(Estimates_of_the_use_of_water__2000_2020[[#This Row],[ARC_r]]-Estimates_of_the_use_of_water__2000_2020[[#This Row],[ARC_u]])</f>
        <v>20</v>
      </c>
      <c r="K167">
        <v>0</v>
      </c>
      <c r="L167">
        <v>0</v>
      </c>
      <c r="M167">
        <v>0</v>
      </c>
      <c r="R167">
        <v>100</v>
      </c>
      <c r="S167">
        <v>0</v>
      </c>
      <c r="T167">
        <v>0</v>
      </c>
      <c r="U167">
        <v>0</v>
      </c>
    </row>
    <row r="168" spans="1:21" x14ac:dyDescent="0.25">
      <c r="A168" s="1" t="s">
        <v>18</v>
      </c>
      <c r="B168">
        <v>2015</v>
      </c>
      <c r="C168">
        <f>IF(A169=Estimates_of_the_use_of_water__2000_2020[[#This Row],[name]], B169-Estimates_of_the_use_of_water__2000_2020[[#This Row],[year]],"")</f>
        <v>5</v>
      </c>
      <c r="D168">
        <v>10659.737300000001</v>
      </c>
      <c r="E168">
        <v>78.046005249999993</v>
      </c>
      <c r="F168">
        <v>100.0000046</v>
      </c>
      <c r="G168">
        <f>((F169-Estimates_of_the_use_of_water__2000_2020[[#This Row],[wat_bas_n]])/(B169-Estimates_of_the_use_of_water__2000_2020[[#This Row],[year]]))</f>
        <v>-4.5999999827017745E-7</v>
      </c>
      <c r="H168">
        <f>((N169-Estimates_of_the_use_of_water__2000_2020[[#This Row],[wat_bas_r]])/(B169-Estimates_of_the_use_of_water__2000_2020[[#This Row],[year]]))</f>
        <v>0</v>
      </c>
      <c r="I168">
        <f>(R169-Estimates_of_the_use_of_water__2000_2020[[#This Row],[wat_bas_u]])/(B169-Estimates_of_the_use_of_water__2000_2020[[#This Row],[year]])</f>
        <v>0</v>
      </c>
      <c r="J168">
        <f>ABS(Estimates_of_the_use_of_water__2000_2020[[#This Row],[ARC_r]]-Estimates_of_the_use_of_water__2000_2020[[#This Row],[ARC_u]])</f>
        <v>0</v>
      </c>
      <c r="K168">
        <v>0</v>
      </c>
      <c r="L168">
        <v>0</v>
      </c>
      <c r="M168">
        <v>0</v>
      </c>
      <c r="N168">
        <v>100</v>
      </c>
      <c r="O168">
        <v>0</v>
      </c>
      <c r="P168">
        <v>0</v>
      </c>
      <c r="Q168">
        <v>0</v>
      </c>
      <c r="R168">
        <v>100</v>
      </c>
      <c r="S168">
        <v>0</v>
      </c>
      <c r="T168">
        <v>0</v>
      </c>
      <c r="U168">
        <v>0</v>
      </c>
    </row>
    <row r="169" spans="1:21" x14ac:dyDescent="0.25">
      <c r="A169" s="1" t="s">
        <v>18</v>
      </c>
      <c r="B169">
        <v>2020</v>
      </c>
      <c r="C169" t="str">
        <f>IF(A170=Estimates_of_the_use_of_water__2000_2020[[#This Row],[name]], B170-Estimates_of_the_use_of_water__2000_2020[[#This Row],[year]],"")</f>
        <v/>
      </c>
      <c r="D169">
        <v>10423.05566</v>
      </c>
      <c r="E169">
        <v>79.715003969999998</v>
      </c>
      <c r="F169">
        <v>100.00000230000001</v>
      </c>
      <c r="G169">
        <f>((F170-Estimates_of_the_use_of_water__2000_2020[[#This Row],[wat_bas_n]])/(B170-Estimates_of_the_use_of_water__2000_2020[[#This Row],[year]]))</f>
        <v>4.6000000111234838E-7</v>
      </c>
      <c r="H169">
        <f>((N170-Estimates_of_the_use_of_water__2000_2020[[#This Row],[wat_bas_r]])/(B170-Estimates_of_the_use_of_water__2000_2020[[#This Row],[year]]))</f>
        <v>0</v>
      </c>
      <c r="I169">
        <f>(R170-Estimates_of_the_use_of_water__2000_2020[[#This Row],[wat_bas_u]])/(B170-Estimates_of_the_use_of_water__2000_2020[[#This Row],[year]])</f>
        <v>0</v>
      </c>
      <c r="J169">
        <f>ABS(Estimates_of_the_use_of_water__2000_2020[[#This Row],[ARC_r]]-Estimates_of_the_use_of_water__2000_2020[[#This Row],[ARC_u]])</f>
        <v>0</v>
      </c>
      <c r="K169">
        <v>0</v>
      </c>
      <c r="L169">
        <v>0</v>
      </c>
      <c r="M169">
        <v>0</v>
      </c>
      <c r="N169">
        <v>100</v>
      </c>
      <c r="O169">
        <v>0</v>
      </c>
      <c r="P169">
        <v>0</v>
      </c>
      <c r="Q169">
        <v>0</v>
      </c>
      <c r="R169">
        <v>100</v>
      </c>
      <c r="S169">
        <v>0</v>
      </c>
      <c r="T169">
        <v>0</v>
      </c>
      <c r="U169">
        <v>0</v>
      </c>
    </row>
    <row r="170" spans="1:21" x14ac:dyDescent="0.25">
      <c r="A170" s="1" t="s">
        <v>24</v>
      </c>
      <c r="B170">
        <v>2015</v>
      </c>
      <c r="C170">
        <f>IF(A171=Estimates_of_the_use_of_water__2000_2020[[#This Row],[name]], B171-Estimates_of_the_use_of_water__2000_2020[[#This Row],[year]],"")</f>
        <v>5</v>
      </c>
      <c r="D170">
        <v>56.377998349999999</v>
      </c>
      <c r="E170">
        <v>86.070999150000006</v>
      </c>
      <c r="F170">
        <v>100</v>
      </c>
      <c r="G170">
        <f>((F171-Estimates_of_the_use_of_water__2000_2020[[#This Row],[wat_bas_n]])/(B171-Estimates_of_the_use_of_water__2000_2020[[#This Row],[year]]))</f>
        <v>3.3999999971001671E-7</v>
      </c>
      <c r="H170">
        <f>((N171-Estimates_of_the_use_of_water__2000_2020[[#This Row],[wat_bas_r]])/(B171-Estimates_of_the_use_of_water__2000_2020[[#This Row],[year]]))</f>
        <v>0</v>
      </c>
      <c r="I170">
        <f>(R171-Estimates_of_the_use_of_water__2000_2020[[#This Row],[wat_bas_u]])/(B171-Estimates_of_the_use_of_water__2000_2020[[#This Row],[year]])</f>
        <v>0</v>
      </c>
      <c r="J170">
        <f>ABS(Estimates_of_the_use_of_water__2000_2020[[#This Row],[ARC_r]]-Estimates_of_the_use_of_water__2000_2020[[#This Row],[ARC_u]])</f>
        <v>0</v>
      </c>
      <c r="K170">
        <v>0</v>
      </c>
      <c r="L170">
        <v>0</v>
      </c>
      <c r="M170">
        <v>0</v>
      </c>
      <c r="N170">
        <v>100</v>
      </c>
      <c r="O170">
        <v>0</v>
      </c>
      <c r="P170">
        <v>0</v>
      </c>
      <c r="Q170">
        <v>0</v>
      </c>
      <c r="R170">
        <v>100</v>
      </c>
      <c r="S170">
        <v>0</v>
      </c>
      <c r="T170">
        <v>0</v>
      </c>
      <c r="U170">
        <v>0</v>
      </c>
    </row>
    <row r="171" spans="1:21" x14ac:dyDescent="0.25">
      <c r="A171" s="1" t="s">
        <v>24</v>
      </c>
      <c r="B171">
        <v>2020</v>
      </c>
      <c r="C171" t="str">
        <f>IF(A172=Estimates_of_the_use_of_water__2000_2020[[#This Row],[name]], B172-Estimates_of_the_use_of_water__2000_2020[[#This Row],[year]],"")</f>
        <v/>
      </c>
      <c r="D171">
        <v>56.771999360000002</v>
      </c>
      <c r="E171">
        <v>87.282005310000002</v>
      </c>
      <c r="F171">
        <v>100.0000017</v>
      </c>
      <c r="G171">
        <f>((F172-Estimates_of_the_use_of_water__2000_2020[[#This Row],[wat_bas_n]])/(B172-Estimates_of_the_use_of_water__2000_2020[[#This Row],[year]]))</f>
        <v>0.87427025199999941</v>
      </c>
      <c r="H171">
        <f>((N172-Estimates_of_the_use_of_water__2000_2020[[#This Row],[wat_bas_r]])/(B172-Estimates_of_the_use_of_water__2000_2020[[#This Row],[year]]))</f>
        <v>20</v>
      </c>
      <c r="I171">
        <f>(R172-Estimates_of_the_use_of_water__2000_2020[[#This Row],[wat_bas_u]])/(B172-Estimates_of_the_use_of_water__2000_2020[[#This Row],[year]])</f>
        <v>20</v>
      </c>
      <c r="J171">
        <f>ABS(Estimates_of_the_use_of_water__2000_2020[[#This Row],[ARC_r]]-Estimates_of_the_use_of_water__2000_2020[[#This Row],[ARC_u]])</f>
        <v>0</v>
      </c>
      <c r="K171">
        <v>0</v>
      </c>
      <c r="L171">
        <v>0</v>
      </c>
      <c r="M171">
        <v>0</v>
      </c>
      <c r="N171">
        <v>100</v>
      </c>
      <c r="O171">
        <v>0</v>
      </c>
      <c r="P171">
        <v>0</v>
      </c>
      <c r="Q171">
        <v>0</v>
      </c>
      <c r="R171">
        <v>100</v>
      </c>
      <c r="S171">
        <v>0</v>
      </c>
      <c r="T171">
        <v>0</v>
      </c>
      <c r="U171">
        <v>0</v>
      </c>
    </row>
    <row r="172" spans="1:21" x14ac:dyDescent="0.25">
      <c r="A172" s="1" t="s">
        <v>146</v>
      </c>
      <c r="B172">
        <v>2015</v>
      </c>
      <c r="C172">
        <f>IF(A173=Estimates_of_the_use_of_water__2000_2020[[#This Row],[name]], B173-Estimates_of_the_use_of_water__2000_2020[[#This Row],[year]],"")</f>
        <v>2</v>
      </c>
      <c r="D172">
        <v>109.6029968</v>
      </c>
      <c r="E172">
        <v>35.997001650000001</v>
      </c>
      <c r="F172">
        <v>95.628650440000001</v>
      </c>
      <c r="G172">
        <f>((F173-Estimates_of_the_use_of_water__2000_2020[[#This Row],[wat_bas_n]])/(B173-Estimates_of_the_use_of_water__2000_2020[[#This Row],[year]]))</f>
        <v>0</v>
      </c>
      <c r="H172">
        <f>((N173-Estimates_of_the_use_of_water__2000_2020[[#This Row],[wat_bas_r]])/(B173-Estimates_of_the_use_of_water__2000_2020[[#This Row],[year]]))</f>
        <v>0</v>
      </c>
      <c r="I172">
        <f>(R173-Estimates_of_the_use_of_water__2000_2020[[#This Row],[wat_bas_u]])/(B173-Estimates_of_the_use_of_water__2000_2020[[#This Row],[year]])</f>
        <v>0</v>
      </c>
      <c r="J172">
        <f>ABS(Estimates_of_the_use_of_water__2000_2020[[#This Row],[ARC_r]]-Estimates_of_the_use_of_water__2000_2020[[#This Row],[ARC_u]])</f>
        <v>0</v>
      </c>
      <c r="K172">
        <v>1.1614815839999999</v>
      </c>
      <c r="L172">
        <v>0</v>
      </c>
      <c r="M172">
        <v>3.2098679720000001</v>
      </c>
    </row>
    <row r="173" spans="1:21" x14ac:dyDescent="0.25">
      <c r="A173" s="1" t="s">
        <v>146</v>
      </c>
      <c r="B173">
        <v>2017</v>
      </c>
      <c r="C173" t="str">
        <f>IF(A174=Estimates_of_the_use_of_water__2000_2020[[#This Row],[name]], B174-Estimates_of_the_use_of_water__2000_2020[[#This Row],[year]],"")</f>
        <v/>
      </c>
      <c r="D173">
        <v>110.87400049999999</v>
      </c>
      <c r="E173">
        <v>36.164001460000001</v>
      </c>
      <c r="F173">
        <v>95.628650440000001</v>
      </c>
      <c r="G173">
        <f>((F174-Estimates_of_the_use_of_water__2000_2020[[#This Row],[wat_bas_n]])/(B174-Estimates_of_the_use_of_water__2000_2020[[#This Row],[year]]))</f>
        <v>-1.9911888449999964</v>
      </c>
      <c r="H173">
        <f>((N174-Estimates_of_the_use_of_water__2000_2020[[#This Row],[wat_bas_r]])/(B174-Estimates_of_the_use_of_water__2000_2020[[#This Row],[year]]))</f>
        <v>0</v>
      </c>
      <c r="I173">
        <f>(R174-Estimates_of_the_use_of_water__2000_2020[[#This Row],[wat_bas_u]])/(B174-Estimates_of_the_use_of_water__2000_2020[[#This Row],[year]])</f>
        <v>0</v>
      </c>
      <c r="J173">
        <f>ABS(Estimates_of_the_use_of_water__2000_2020[[#This Row],[ARC_r]]-Estimates_of_the_use_of_water__2000_2020[[#This Row],[ARC_u]])</f>
        <v>0</v>
      </c>
      <c r="K173">
        <v>1.1614815839999999</v>
      </c>
      <c r="L173">
        <v>0</v>
      </c>
      <c r="M173">
        <v>3.2098679720000001</v>
      </c>
    </row>
    <row r="174" spans="1:21" x14ac:dyDescent="0.25">
      <c r="A174" s="1" t="s">
        <v>79</v>
      </c>
      <c r="B174">
        <v>2015</v>
      </c>
      <c r="C174">
        <f>IF(A175=Estimates_of_the_use_of_water__2000_2020[[#This Row],[name]], B175-Estimates_of_the_use_of_water__2000_2020[[#This Row],[year]],"")</f>
        <v>5</v>
      </c>
      <c r="D174">
        <v>400.26000979999998</v>
      </c>
      <c r="E174">
        <v>98.443000789999999</v>
      </c>
      <c r="F174">
        <v>99.611028129999994</v>
      </c>
      <c r="G174">
        <f>((F175-Estimates_of_the_use_of_water__2000_2020[[#This Row],[wat_bas_n]])/(B175-Estimates_of_the_use_of_water__2000_2020[[#This Row],[year]]))</f>
        <v>3.8419582000000216E-2</v>
      </c>
      <c r="H174">
        <f>((N175-Estimates_of_the_use_of_water__2000_2020[[#This Row],[wat_bas_r]])/(B175-Estimates_of_the_use_of_water__2000_2020[[#This Row],[year]]))</f>
        <v>0</v>
      </c>
      <c r="I174">
        <f>(R175-Estimates_of_the_use_of_water__2000_2020[[#This Row],[wat_bas_u]])/(B175-Estimates_of_the_use_of_water__2000_2020[[#This Row],[year]])</f>
        <v>0</v>
      </c>
      <c r="J174">
        <f>ABS(Estimates_of_the_use_of_water__2000_2020[[#This Row],[ARC_r]]-Estimates_of_the_use_of_water__2000_2020[[#This Row],[ARC_u]])</f>
        <v>0</v>
      </c>
      <c r="K174">
        <v>0</v>
      </c>
      <c r="L174">
        <v>0.38897187239999997</v>
      </c>
      <c r="M174">
        <v>0</v>
      </c>
    </row>
    <row r="175" spans="1:21" x14ac:dyDescent="0.25">
      <c r="A175" s="1" t="s">
        <v>79</v>
      </c>
      <c r="B175">
        <v>2020</v>
      </c>
      <c r="C175" t="str">
        <f>IF(A176=Estimates_of_the_use_of_water__2000_2020[[#This Row],[name]], B176-Estimates_of_the_use_of_water__2000_2020[[#This Row],[year]],"")</f>
        <v/>
      </c>
      <c r="D175">
        <v>400.12701420000002</v>
      </c>
      <c r="E175">
        <v>98.498992920000006</v>
      </c>
      <c r="F175">
        <v>99.803126039999995</v>
      </c>
      <c r="G175">
        <f>((F176-Estimates_of_the_use_of_water__2000_2020[[#This Row],[wat_bas_n]])/(B176-Estimates_of_the_use_of_water__2000_2020[[#This Row],[year]]))</f>
        <v>2.1585207999999058E-2</v>
      </c>
      <c r="H175">
        <f>((N176-Estimates_of_the_use_of_water__2000_2020[[#This Row],[wat_bas_r]])/(B176-Estimates_of_the_use_of_water__2000_2020[[#This Row],[year]]))</f>
        <v>0</v>
      </c>
      <c r="I175">
        <f>(R176-Estimates_of_the_use_of_water__2000_2020[[#This Row],[wat_bas_u]])/(B176-Estimates_of_the_use_of_water__2000_2020[[#This Row],[year]])</f>
        <v>0</v>
      </c>
      <c r="J175">
        <f>ABS(Estimates_of_the_use_of_water__2000_2020[[#This Row],[ARC_r]]-Estimates_of_the_use_of_water__2000_2020[[#This Row],[ARC_u]])</f>
        <v>0</v>
      </c>
      <c r="K175">
        <v>0</v>
      </c>
      <c r="L175">
        <v>0.19687396130000001</v>
      </c>
      <c r="M175">
        <v>0</v>
      </c>
    </row>
    <row r="176" spans="1:21" x14ac:dyDescent="0.25">
      <c r="A176" s="1" t="s">
        <v>85</v>
      </c>
      <c r="B176">
        <v>2015</v>
      </c>
      <c r="C176">
        <f>IF(A177=Estimates_of_the_use_of_water__2000_2020[[#This Row],[name]], B177-Estimates_of_the_use_of_water__2000_2020[[#This Row],[year]],"")</f>
        <v>5</v>
      </c>
      <c r="D176">
        <v>161.85099790000001</v>
      </c>
      <c r="E176">
        <v>94.533996579999993</v>
      </c>
      <c r="F176">
        <v>99.6952</v>
      </c>
      <c r="G176">
        <f>((F177-Estimates_of_the_use_of_water__2000_2020[[#This Row],[wat_bas_n]])/(B177-Estimates_of_the_use_of_water__2000_2020[[#This Row],[year]]))</f>
        <v>0</v>
      </c>
      <c r="H176">
        <f>((N177-Estimates_of_the_use_of_water__2000_2020[[#This Row],[wat_bas_r]])/(B177-Estimates_of_the_use_of_water__2000_2020[[#This Row],[year]]))</f>
        <v>0</v>
      </c>
      <c r="I176">
        <f>(R177-Estimates_of_the_use_of_water__2000_2020[[#This Row],[wat_bas_u]])/(B177-Estimates_of_the_use_of_water__2000_2020[[#This Row],[year]])</f>
        <v>0</v>
      </c>
      <c r="J176">
        <f>ABS(Estimates_of_the_use_of_water__2000_2020[[#This Row],[ARC_r]]-Estimates_of_the_use_of_water__2000_2020[[#This Row],[ARC_u]])</f>
        <v>0</v>
      </c>
      <c r="K176">
        <v>0</v>
      </c>
      <c r="L176">
        <v>0.30480000000000002</v>
      </c>
      <c r="M176">
        <v>0</v>
      </c>
    </row>
    <row r="177" spans="1:21" x14ac:dyDescent="0.25">
      <c r="A177" s="1" t="s">
        <v>85</v>
      </c>
      <c r="B177">
        <v>2020</v>
      </c>
      <c r="C177" t="str">
        <f>IF(A178=Estimates_of_the_use_of_water__2000_2020[[#This Row],[name]], B178-Estimates_of_the_use_of_water__2000_2020[[#This Row],[year]],"")</f>
        <v/>
      </c>
      <c r="D177">
        <v>168.78300479999999</v>
      </c>
      <c r="E177">
        <v>94.938003539999997</v>
      </c>
      <c r="F177">
        <v>99.6952</v>
      </c>
      <c r="G177">
        <f>((F178-Estimates_of_the_use_of_water__2000_2020[[#This Row],[wat_bas_n]])/(B178-Estimates_of_the_use_of_water__2000_2020[[#This Row],[year]]))</f>
        <v>1.512233230000001</v>
      </c>
      <c r="H177">
        <f>((N178-Estimates_of_the_use_of_water__2000_2020[[#This Row],[wat_bas_r]])/(B178-Estimates_of_the_use_of_water__2000_2020[[#This Row],[year]]))</f>
        <v>-17.448551236</v>
      </c>
      <c r="I177">
        <f>(R178-Estimates_of_the_use_of_water__2000_2020[[#This Row],[wat_bas_u]])/(B178-Estimates_of_the_use_of_water__2000_2020[[#This Row],[year]])</f>
        <v>-19.406197782</v>
      </c>
      <c r="J177">
        <f>ABS(Estimates_of_the_use_of_water__2000_2020[[#This Row],[ARC_r]]-Estimates_of_the_use_of_water__2000_2020[[#This Row],[ARC_u]])</f>
        <v>1.9576465459999994</v>
      </c>
      <c r="K177">
        <v>0</v>
      </c>
      <c r="L177">
        <v>0.30480000000000002</v>
      </c>
      <c r="M177">
        <v>0</v>
      </c>
    </row>
    <row r="178" spans="1:21" x14ac:dyDescent="0.25">
      <c r="A178" s="1" t="s">
        <v>165</v>
      </c>
      <c r="B178">
        <v>2015</v>
      </c>
      <c r="C178">
        <f>IF(A179=Estimates_of_the_use_of_water__2000_2020[[#This Row],[name]], B179-Estimates_of_the_use_of_water__2000_2020[[#This Row],[year]],"")</f>
        <v>5</v>
      </c>
      <c r="D178">
        <v>16252.424800000001</v>
      </c>
      <c r="E178">
        <v>49.971000670000002</v>
      </c>
      <c r="F178">
        <v>92.134033849999994</v>
      </c>
      <c r="G178">
        <f>((F179-Estimates_of_the_use_of_water__2000_2020[[#This Row],[wat_bas_n]])/(B179-Estimates_of_the_use_of_water__2000_2020[[#This Row],[year]]))</f>
        <v>0.37447888400000123</v>
      </c>
      <c r="H178">
        <f>((N179-Estimates_of_the_use_of_water__2000_2020[[#This Row],[wat_bas_r]])/(B179-Estimates_of_the_use_of_water__2000_2020[[#This Row],[year]]))</f>
        <v>0.57531472400000039</v>
      </c>
      <c r="I178">
        <f>(R179-Estimates_of_the_use_of_water__2000_2020[[#This Row],[wat_bas_u]])/(B179-Estimates_of_the_use_of_water__2000_2020[[#This Row],[year]])</f>
        <v>0.11743610599999954</v>
      </c>
      <c r="J178">
        <f>ABS(Estimates_of_the_use_of_water__2000_2020[[#This Row],[ARC_r]]-Estimates_of_the_use_of_water__2000_2020[[#This Row],[ARC_u]])</f>
        <v>0.45787861800000085</v>
      </c>
      <c r="K178">
        <v>0.96845174850000004</v>
      </c>
      <c r="L178">
        <v>4.7652610869999998</v>
      </c>
      <c r="M178">
        <v>2.1322533130000001</v>
      </c>
      <c r="N178">
        <v>87.242756180000001</v>
      </c>
      <c r="O178">
        <v>1.6509012869999999</v>
      </c>
      <c r="P178">
        <v>7.052091828</v>
      </c>
      <c r="Q178">
        <v>4.0542507089999997</v>
      </c>
      <c r="R178">
        <v>97.030988910000005</v>
      </c>
      <c r="S178">
        <v>0.2852100796</v>
      </c>
      <c r="T178">
        <v>2.4757759840000002</v>
      </c>
      <c r="U178">
        <v>0.20802502270000001</v>
      </c>
    </row>
    <row r="179" spans="1:21" x14ac:dyDescent="0.25">
      <c r="A179" s="1" t="s">
        <v>165</v>
      </c>
      <c r="B179">
        <v>2020</v>
      </c>
      <c r="C179" t="str">
        <f>IF(A180=Estimates_of_the_use_of_water__2000_2020[[#This Row],[name]], B180-Estimates_of_the_use_of_water__2000_2020[[#This Row],[year]],"")</f>
        <v/>
      </c>
      <c r="D179">
        <v>17915.566409999999</v>
      </c>
      <c r="E179">
        <v>51.835998539999999</v>
      </c>
      <c r="F179">
        <v>94.006428270000001</v>
      </c>
      <c r="G179">
        <f>((F180-Estimates_of_the_use_of_water__2000_2020[[#This Row],[wat_bas_n]])/(B180-Estimates_of_the_use_of_water__2000_2020[[#This Row],[year]]))</f>
        <v>6.0782077459999995</v>
      </c>
      <c r="H179">
        <f>((N180-Estimates_of_the_use_of_water__2000_2020[[#This Row],[wat_bas_r]])/(B180-Estimates_of_the_use_of_water__2000_2020[[#This Row],[year]]))</f>
        <v>7.6340348920000007</v>
      </c>
      <c r="I179">
        <f>(R180-Estimates_of_the_use_of_water__2000_2020[[#This Row],[wat_bas_u]])/(B180-Estimates_of_the_use_of_water__2000_2020[[#This Row],[year]])</f>
        <v>2.494132350000001</v>
      </c>
      <c r="J179">
        <f>ABS(Estimates_of_the_use_of_water__2000_2020[[#This Row],[ARC_r]]-Estimates_of_the_use_of_water__2000_2020[[#This Row],[ARC_u]])</f>
        <v>5.1399025419999997</v>
      </c>
      <c r="K179">
        <v>1.034150511</v>
      </c>
      <c r="L179">
        <v>3.2159118150000001</v>
      </c>
      <c r="M179">
        <v>1.7435094040000001</v>
      </c>
      <c r="N179">
        <v>90.119329800000003</v>
      </c>
      <c r="O179">
        <v>1.8491699989999999</v>
      </c>
      <c r="P179">
        <v>4.5834386909999996</v>
      </c>
      <c r="Q179">
        <v>3.4480615079999999</v>
      </c>
      <c r="R179">
        <v>97.618169440000003</v>
      </c>
      <c r="S179">
        <v>0.27686600569999997</v>
      </c>
      <c r="T179">
        <v>1.94525887</v>
      </c>
      <c r="U179">
        <v>0.15970568490000001</v>
      </c>
    </row>
    <row r="180" spans="1:21" x14ac:dyDescent="0.25">
      <c r="A180" s="1" t="s">
        <v>224</v>
      </c>
      <c r="B180">
        <v>2015</v>
      </c>
      <c r="C180">
        <f>IF(A181=Estimates_of_the_use_of_water__2000_2020[[#This Row],[name]], B181-Estimates_of_the_use_of_water__2000_2020[[#This Row],[year]],"")</f>
        <v>5</v>
      </c>
      <c r="D180">
        <v>11432.0957</v>
      </c>
      <c r="E180">
        <v>35.140998840000002</v>
      </c>
      <c r="F180">
        <v>63.615389540000002</v>
      </c>
      <c r="G180">
        <f>((F181-Estimates_of_the_use_of_water__2000_2020[[#This Row],[wat_bas_n]])/(B181-Estimates_of_the_use_of_water__2000_2020[[#This Row],[year]]))</f>
        <v>6.9279840000000092E-2</v>
      </c>
      <c r="H180">
        <f>((N181-Estimates_of_the_use_of_water__2000_2020[[#This Row],[wat_bas_r]])/(B181-Estimates_of_the_use_of_water__2000_2020[[#This Row],[year]]))</f>
        <v>-0.24019526999999954</v>
      </c>
      <c r="I180">
        <f>(R181-Estimates_of_the_use_of_water__2000_2020[[#This Row],[wat_bas_u]])/(B181-Estimates_of_the_use_of_water__2000_2020[[#This Row],[year]])</f>
        <v>0.28683647599999917</v>
      </c>
      <c r="J180">
        <f>ABS(Estimates_of_the_use_of_water__2000_2020[[#This Row],[ARC_r]]-Estimates_of_the_use_of_water__2000_2020[[#This Row],[ARC_u]])</f>
        <v>0.52703174599999869</v>
      </c>
      <c r="K180">
        <v>16.090256029999999</v>
      </c>
      <c r="L180">
        <v>9.7579804439999993</v>
      </c>
      <c r="M180">
        <v>10.53637399</v>
      </c>
      <c r="N180">
        <v>51.949155339999997</v>
      </c>
      <c r="O180">
        <v>18.760629779999999</v>
      </c>
      <c r="P180">
        <v>13.309717210000001</v>
      </c>
      <c r="Q180">
        <v>15.980497679999999</v>
      </c>
      <c r="R180">
        <v>85.147507689999998</v>
      </c>
      <c r="S180">
        <v>11.161602630000001</v>
      </c>
      <c r="T180">
        <v>3.202620418</v>
      </c>
      <c r="U180">
        <v>0.48826926510000002</v>
      </c>
    </row>
    <row r="181" spans="1:21" x14ac:dyDescent="0.25">
      <c r="A181" s="1" t="s">
        <v>224</v>
      </c>
      <c r="B181">
        <v>2020</v>
      </c>
      <c r="C181" t="str">
        <f>IF(A182=Estimates_of_the_use_of_water__2000_2020[[#This Row],[name]], B182-Estimates_of_the_use_of_water__2000_2020[[#This Row],[year]],"")</f>
        <v/>
      </c>
      <c r="D181">
        <v>13132.79199</v>
      </c>
      <c r="E181">
        <v>36.875</v>
      </c>
      <c r="F181">
        <v>63.961788740000003</v>
      </c>
      <c r="G181">
        <f>((F182-Estimates_of_the_use_of_water__2000_2020[[#This Row],[wat_bas_n]])/(B182-Estimates_of_the_use_of_water__2000_2020[[#This Row],[year]]))</f>
        <v>1.0394882240000001</v>
      </c>
      <c r="H181">
        <f>((N182-Estimates_of_the_use_of_water__2000_2020[[#This Row],[wat_bas_r]])/(B182-Estimates_of_the_use_of_water__2000_2020[[#This Row],[year]]))</f>
        <v>0.46508978800000023</v>
      </c>
      <c r="I181">
        <f>(R182-Estimates_of_the_use_of_water__2000_2020[[#This Row],[wat_bas_u]])/(B182-Estimates_of_the_use_of_water__2000_2020[[#This Row],[year]])</f>
        <v>2.7215917699999976</v>
      </c>
      <c r="J181">
        <f>ABS(Estimates_of_the_use_of_water__2000_2020[[#This Row],[ARC_r]]-Estimates_of_the_use_of_water__2000_2020[[#This Row],[ARC_u]])</f>
        <v>2.2565019819999974</v>
      </c>
      <c r="K181">
        <v>21.281591500000001</v>
      </c>
      <c r="L181">
        <v>6.2961194059999999</v>
      </c>
      <c r="M181">
        <v>8.4605003540000006</v>
      </c>
      <c r="N181">
        <v>50.74817899</v>
      </c>
      <c r="O181">
        <v>26.14432944</v>
      </c>
      <c r="P181">
        <v>9.7047191430000002</v>
      </c>
      <c r="Q181">
        <v>13.402772430000001</v>
      </c>
      <c r="R181">
        <v>86.581690069999993</v>
      </c>
      <c r="S181">
        <v>12.957241529999999</v>
      </c>
      <c r="T181">
        <v>0.46106839799999999</v>
      </c>
      <c r="U181">
        <v>0</v>
      </c>
    </row>
    <row r="182" spans="1:21" x14ac:dyDescent="0.25">
      <c r="A182" s="1" t="s">
        <v>233</v>
      </c>
      <c r="B182">
        <v>2015</v>
      </c>
      <c r="C182">
        <f>IF(A183=Estimates_of_the_use_of_water__2000_2020[[#This Row],[name]], B183-Estimates_of_the_use_of_water__2000_2020[[#This Row],[year]],"")</f>
        <v>5</v>
      </c>
      <c r="D182">
        <v>1737.2070309999999</v>
      </c>
      <c r="E182">
        <v>42.12299728</v>
      </c>
      <c r="F182">
        <v>58.764347620000002</v>
      </c>
      <c r="G182">
        <f>((F183-Estimates_of_the_use_of_water__2000_2020[[#This Row],[wat_bas_n]])/(B183-Estimates_of_the_use_of_water__2000_2020[[#This Row],[year]]))</f>
        <v>5.0512917999999726E-2</v>
      </c>
      <c r="H182">
        <f>((N183-Estimates_of_the_use_of_water__2000_2020[[#This Row],[wat_bas_r]])/(B183-Estimates_of_the_use_of_water__2000_2020[[#This Row],[year]]))</f>
        <v>0.28183505000000081</v>
      </c>
      <c r="I182">
        <f>(R183-Estimates_of_the_use_of_water__2000_2020[[#This Row],[wat_bas_u]])/(B183-Estimates_of_the_use_of_water__2000_2020[[#This Row],[year]])</f>
        <v>-0.47187666199999967</v>
      </c>
      <c r="J182">
        <f>ABS(Estimates_of_the_use_of_water__2000_2020[[#This Row],[ARC_r]]-Estimates_of_the_use_of_water__2000_2020[[#This Row],[ARC_u]])</f>
        <v>0.75371171200000053</v>
      </c>
      <c r="K182">
        <v>10.59149221</v>
      </c>
      <c r="L182">
        <v>29.744379070000001</v>
      </c>
      <c r="M182">
        <v>0.89978109260000005</v>
      </c>
      <c r="N182">
        <v>48.422730049999998</v>
      </c>
      <c r="O182">
        <v>7.5662803609999996</v>
      </c>
      <c r="P182">
        <v>42.58264827</v>
      </c>
      <c r="Q182">
        <v>1.428341318</v>
      </c>
      <c r="R182">
        <v>72.973731220000005</v>
      </c>
      <c r="S182">
        <v>14.748133599999999</v>
      </c>
      <c r="T182">
        <v>12.104595890000001</v>
      </c>
      <c r="U182">
        <v>0.17353928900000001</v>
      </c>
    </row>
    <row r="183" spans="1:21" x14ac:dyDescent="0.25">
      <c r="A183" s="1" t="s">
        <v>233</v>
      </c>
      <c r="B183">
        <v>2020</v>
      </c>
      <c r="C183" t="str">
        <f>IF(A184=Estimates_of_the_use_of_water__2000_2020[[#This Row],[name]], B184-Estimates_of_the_use_of_water__2000_2020[[#This Row],[year]],"")</f>
        <v/>
      </c>
      <c r="D183">
        <v>1967.998047</v>
      </c>
      <c r="E183">
        <v>44.195999149999999</v>
      </c>
      <c r="F183">
        <v>59.016912210000001</v>
      </c>
      <c r="G183">
        <f>((F184-Estimates_of_the_use_of_water__2000_2020[[#This Row],[wat_bas_n]])/(B184-Estimates_of_the_use_of_water__2000_2020[[#This Row],[year]]))</f>
        <v>-7.2289889479999996</v>
      </c>
      <c r="H183">
        <f>((N184-Estimates_of_the_use_of_water__2000_2020[[#This Row],[wat_bas_r]])/(B184-Estimates_of_the_use_of_water__2000_2020[[#This Row],[year]]))</f>
        <v>-8.7181728819999993</v>
      </c>
      <c r="I183">
        <f>(R184-Estimates_of_the_use_of_water__2000_2020[[#This Row],[wat_bas_u]])/(B184-Estimates_of_the_use_of_water__2000_2020[[#This Row],[year]])</f>
        <v>-5.8771304179999984</v>
      </c>
      <c r="J183">
        <f>ABS(Estimates_of_the_use_of_water__2000_2020[[#This Row],[ARC_r]]-Estimates_of_the_use_of_water__2000_2020[[#This Row],[ARC_u]])</f>
        <v>2.8410424640000009</v>
      </c>
      <c r="K183">
        <v>14.03457137</v>
      </c>
      <c r="L183">
        <v>26.6263769</v>
      </c>
      <c r="M183">
        <v>0.3221395192</v>
      </c>
      <c r="N183">
        <v>49.831905300000003</v>
      </c>
      <c r="O183">
        <v>9.2857730259999993</v>
      </c>
      <c r="P183">
        <v>40.316451290000003</v>
      </c>
      <c r="Q183">
        <v>0.56587038450000005</v>
      </c>
      <c r="R183">
        <v>70.614347910000006</v>
      </c>
      <c r="S183">
        <v>20.03063358</v>
      </c>
      <c r="T183">
        <v>9.3406252839999997</v>
      </c>
      <c r="U183">
        <v>1.4393226929999999E-2</v>
      </c>
    </row>
    <row r="184" spans="1:21" x14ac:dyDescent="0.25">
      <c r="A184" s="1" t="s">
        <v>147</v>
      </c>
      <c r="B184">
        <v>2015</v>
      </c>
      <c r="C184">
        <f>IF(A185=Estimates_of_the_use_of_water__2000_2020[[#This Row],[name]], B185-Estimates_of_the_use_of_water__2000_2020[[#This Row],[year]],"")</f>
        <v>5</v>
      </c>
      <c r="D184">
        <v>767.43298340000001</v>
      </c>
      <c r="E184">
        <v>26.44099808</v>
      </c>
      <c r="F184">
        <v>95.161856950000001</v>
      </c>
      <c r="G184">
        <f>((F185-Estimates_of_the_use_of_water__2000_2020[[#This Row],[wat_bas_n]])/(B185-Estimates_of_the_use_of_water__2000_2020[[#This Row],[year]]))</f>
        <v>7.8589980000000989E-2</v>
      </c>
      <c r="H184">
        <f>((N185-Estimates_of_the_use_of_water__2000_2020[[#This Row],[wat_bas_r]])/(B185-Estimates_of_the_use_of_water__2000_2020[[#This Row],[year]]))</f>
        <v>0.10114415799999961</v>
      </c>
      <c r="I184">
        <f>(R185-Estimates_of_the_use_of_water__2000_2020[[#This Row],[wat_bas_u]])/(B185-Estimates_of_the_use_of_water__2000_2020[[#This Row],[year]])</f>
        <v>0</v>
      </c>
      <c r="J184">
        <f>ABS(Estimates_of_the_use_of_water__2000_2020[[#This Row],[ARC_r]]-Estimates_of_the_use_of_water__2000_2020[[#This Row],[ARC_u]])</f>
        <v>0.10114415799999961</v>
      </c>
      <c r="K184">
        <v>1.233247953</v>
      </c>
      <c r="L184">
        <v>1.344803287</v>
      </c>
      <c r="M184">
        <v>2.2600918079999999</v>
      </c>
      <c r="N184">
        <v>93.422769709999997</v>
      </c>
      <c r="O184">
        <v>1.6765425039999999</v>
      </c>
      <c r="P184">
        <v>1.82819943</v>
      </c>
      <c r="Q184">
        <v>3.0724883580000002</v>
      </c>
      <c r="R184">
        <v>100</v>
      </c>
      <c r="S184">
        <v>0</v>
      </c>
      <c r="T184">
        <v>0</v>
      </c>
      <c r="U184">
        <v>0</v>
      </c>
    </row>
    <row r="185" spans="1:21" x14ac:dyDescent="0.25">
      <c r="A185" s="1" t="s">
        <v>147</v>
      </c>
      <c r="B185">
        <v>2020</v>
      </c>
      <c r="C185" t="str">
        <f>IF(A186=Estimates_of_the_use_of_water__2000_2020[[#This Row],[name]], B186-Estimates_of_the_use_of_water__2000_2020[[#This Row],[year]],"")</f>
        <v/>
      </c>
      <c r="D185">
        <v>786.55902100000003</v>
      </c>
      <c r="E185">
        <v>26.7859993</v>
      </c>
      <c r="F185">
        <v>95.554806850000006</v>
      </c>
      <c r="G185">
        <f>((F186-Estimates_of_the_use_of_water__2000_2020[[#This Row],[wat_bas_n]])/(B186-Estimates_of_the_use_of_water__2000_2020[[#This Row],[year]]))</f>
        <v>6.1974641820000018</v>
      </c>
      <c r="H185">
        <f>((N186-Estimates_of_the_use_of_water__2000_2020[[#This Row],[wat_bas_r]])/(B186-Estimates_of_the_use_of_water__2000_2020[[#This Row],[year]]))</f>
        <v>10.30241449</v>
      </c>
      <c r="I185">
        <f>(R186-Estimates_of_the_use_of_water__2000_2020[[#This Row],[wat_bas_u]])/(B186-Estimates_of_the_use_of_water__2000_2020[[#This Row],[year]])</f>
        <v>3.0664641740000009</v>
      </c>
      <c r="J185">
        <f>ABS(Estimates_of_the_use_of_water__2000_2020[[#This Row],[ARC_r]]-Estimates_of_the_use_of_water__2000_2020[[#This Row],[ARC_u]])</f>
        <v>7.2359503159999994</v>
      </c>
      <c r="K185">
        <v>1.205244408</v>
      </c>
      <c r="L185">
        <v>1.143069849</v>
      </c>
      <c r="M185">
        <v>2.0968788969999999</v>
      </c>
      <c r="N185">
        <v>93.928490499999995</v>
      </c>
      <c r="O185">
        <v>1.6461938620000001</v>
      </c>
      <c r="P185">
        <v>1.5612748329999999</v>
      </c>
      <c r="Q185">
        <v>2.864040809</v>
      </c>
      <c r="R185">
        <v>100</v>
      </c>
      <c r="S185">
        <v>0</v>
      </c>
      <c r="T185">
        <v>0</v>
      </c>
      <c r="U185">
        <v>0</v>
      </c>
    </row>
    <row r="186" spans="1:21" x14ac:dyDescent="0.25">
      <c r="A186" s="1" t="s">
        <v>218</v>
      </c>
      <c r="B186">
        <v>2015</v>
      </c>
      <c r="C186">
        <f>IF(A187=Estimates_of_the_use_of_water__2000_2020[[#This Row],[name]], B187-Estimates_of_the_use_of_water__2000_2020[[#This Row],[year]],"")</f>
        <v>5</v>
      </c>
      <c r="D186">
        <v>10695.54004</v>
      </c>
      <c r="E186">
        <v>52.426998140000002</v>
      </c>
      <c r="F186">
        <v>64.567485939999997</v>
      </c>
      <c r="G186">
        <f>((F187-Estimates_of_the_use_of_water__2000_2020[[#This Row],[wat_bas_n]])/(B187-Estimates_of_the_use_of_water__2000_2020[[#This Row],[year]]))</f>
        <v>0.4255644920000009</v>
      </c>
      <c r="H186">
        <f>((N187-Estimates_of_the_use_of_water__2000_2020[[#This Row],[wat_bas_r]])/(B187-Estimates_of_the_use_of_water__2000_2020[[#This Row],[year]]))</f>
        <v>8.5856410000000952E-2</v>
      </c>
      <c r="I186">
        <f>(R187-Estimates_of_the_use_of_water__2000_2020[[#This Row],[wat_bas_u]])/(B187-Estimates_of_the_use_of_water__2000_2020[[#This Row],[year]])</f>
        <v>-9.0115679999996697E-3</v>
      </c>
      <c r="J186">
        <f>ABS(Estimates_of_the_use_of_water__2000_2020[[#This Row],[ARC_r]]-Estimates_of_the_use_of_water__2000_2020[[#This Row],[ARC_u]])</f>
        <v>9.4867978000000616E-2</v>
      </c>
      <c r="K186">
        <v>9.2184870100000005</v>
      </c>
      <c r="L186">
        <v>25.477839450000001</v>
      </c>
      <c r="M186">
        <v>0.73618759609999995</v>
      </c>
      <c r="N186">
        <v>42.416418049999997</v>
      </c>
      <c r="O186">
        <v>12.228897890000001</v>
      </c>
      <c r="P186">
        <v>43.807193750000003</v>
      </c>
      <c r="Q186">
        <v>1.5474903170000001</v>
      </c>
      <c r="R186">
        <v>84.667679129999996</v>
      </c>
      <c r="S186">
        <v>6.4867974830000001</v>
      </c>
      <c r="T186">
        <v>8.8455233880000002</v>
      </c>
      <c r="U186">
        <v>0</v>
      </c>
    </row>
    <row r="187" spans="1:21" x14ac:dyDescent="0.25">
      <c r="A187" s="1" t="s">
        <v>218</v>
      </c>
      <c r="B187">
        <v>2020</v>
      </c>
      <c r="C187" t="str">
        <f>IF(A188=Estimates_of_the_use_of_water__2000_2020[[#This Row],[name]], B188-Estimates_of_the_use_of_water__2000_2020[[#This Row],[year]],"")</f>
        <v/>
      </c>
      <c r="D187">
        <v>11402.5332</v>
      </c>
      <c r="E187">
        <v>57.087997440000002</v>
      </c>
      <c r="F187">
        <v>66.695308400000002</v>
      </c>
      <c r="G187">
        <f>((F188-Estimates_of_the_use_of_water__2000_2020[[#This Row],[wat_bas_n]])/(B188-Estimates_of_the_use_of_water__2000_2020[[#This Row],[year]]))</f>
        <v>-5.311820462</v>
      </c>
      <c r="H187">
        <f>((N188-Estimates_of_the_use_of_water__2000_2020[[#This Row],[wat_bas_r]])/(B188-Estimates_of_the_use_of_water__2000_2020[[#This Row],[year]]))</f>
        <v>-8.7182747299999992</v>
      </c>
      <c r="I187">
        <f>(R188-Estimates_of_the_use_of_water__2000_2020[[#This Row],[wat_bas_u]])/(B188-Estimates_of_the_use_of_water__2000_2020[[#This Row],[year]])</f>
        <v>-2.8345082780000013</v>
      </c>
      <c r="J187">
        <f>ABS(Estimates_of_the_use_of_water__2000_2020[[#This Row],[ARC_r]]-Estimates_of_the_use_of_water__2000_2020[[#This Row],[ARC_u]])</f>
        <v>5.8837664519999979</v>
      </c>
      <c r="K187">
        <v>9.8145436519999993</v>
      </c>
      <c r="L187">
        <v>23.490147950000001</v>
      </c>
      <c r="M187">
        <v>0</v>
      </c>
      <c r="N187">
        <v>42.845700100000002</v>
      </c>
      <c r="O187">
        <v>13.25598695</v>
      </c>
      <c r="P187">
        <v>43.898312949999998</v>
      </c>
      <c r="Q187">
        <v>0</v>
      </c>
      <c r="R187">
        <v>84.622621289999998</v>
      </c>
      <c r="S187">
        <v>7.2276738790000001</v>
      </c>
      <c r="T187">
        <v>8.1497048349999996</v>
      </c>
      <c r="U187">
        <v>0</v>
      </c>
    </row>
    <row r="188" spans="1:21" x14ac:dyDescent="0.25">
      <c r="A188" s="1" t="s">
        <v>145</v>
      </c>
      <c r="B188">
        <v>2015</v>
      </c>
      <c r="C188">
        <f>IF(A189=Estimates_of_the_use_of_water__2000_2020[[#This Row],[name]], B189-Estimates_of_the_use_of_water__2000_2020[[#This Row],[year]],"")</f>
        <v>5</v>
      </c>
      <c r="D188">
        <v>9112.9042969999991</v>
      </c>
      <c r="E188">
        <v>55.164997100000001</v>
      </c>
      <c r="F188">
        <v>93.254410710000002</v>
      </c>
      <c r="G188">
        <f>((F189-Estimates_of_the_use_of_water__2000_2020[[#This Row],[wat_bas_n]])/(B189-Estimates_of_the_use_of_water__2000_2020[[#This Row],[year]]))</f>
        <v>0.48696208400000102</v>
      </c>
      <c r="H188">
        <f>((N189-Estimates_of_the_use_of_water__2000_2020[[#This Row],[wat_bas_r]])/(B189-Estimates_of_the_use_of_water__2000_2020[[#This Row],[year]]))</f>
        <v>0.68774516000000008</v>
      </c>
      <c r="I188">
        <f>(R189-Estimates_of_the_use_of_water__2000_2020[[#This Row],[wat_bas_u]])/(B189-Estimates_of_the_use_of_water__2000_2020[[#This Row],[year]])</f>
        <v>0.20842402600000015</v>
      </c>
      <c r="J188">
        <f>ABS(Estimates_of_the_use_of_water__2000_2020[[#This Row],[ARC_r]]-Estimates_of_the_use_of_water__2000_2020[[#This Row],[ARC_u]])</f>
        <v>0.47932113399999993</v>
      </c>
      <c r="K188">
        <v>0.43175410669999997</v>
      </c>
      <c r="L188">
        <v>6.0221561560000003</v>
      </c>
      <c r="M188">
        <v>0.29167902839999998</v>
      </c>
      <c r="N188">
        <v>86.437073749999996</v>
      </c>
      <c r="O188">
        <v>0.77584410459999997</v>
      </c>
      <c r="P188">
        <v>12.14597638</v>
      </c>
      <c r="Q188">
        <v>0.6411057671</v>
      </c>
      <c r="R188">
        <v>98.795162680000004</v>
      </c>
      <c r="S188">
        <v>0.15209716100000001</v>
      </c>
      <c r="T188">
        <v>1.04505549</v>
      </c>
      <c r="U188">
        <v>7.6846736400000004E-3</v>
      </c>
    </row>
    <row r="189" spans="1:21" x14ac:dyDescent="0.25">
      <c r="A189" s="1" t="s">
        <v>145</v>
      </c>
      <c r="B189">
        <v>2020</v>
      </c>
      <c r="C189" t="str">
        <f>IF(A190=Estimates_of_the_use_of_water__2000_2020[[#This Row],[name]], B190-Estimates_of_the_use_of_water__2000_2020[[#This Row],[year]],"")</f>
        <v/>
      </c>
      <c r="D189">
        <v>9904.6083980000003</v>
      </c>
      <c r="E189">
        <v>58.358997340000002</v>
      </c>
      <c r="F189">
        <v>95.689221130000007</v>
      </c>
      <c r="G189">
        <f>((F190-Estimates_of_the_use_of_water__2000_2020[[#This Row],[wat_bas_n]])/(B190-Estimates_of_the_use_of_water__2000_2020[[#This Row],[year]]))</f>
        <v>-0.8562615659999977</v>
      </c>
      <c r="H189">
        <f>((N190-Estimates_of_the_use_of_water__2000_2020[[#This Row],[wat_bas_r]])/(B190-Estimates_of_the_use_of_water__2000_2020[[#This Row],[year]]))</f>
        <v>-2.0048580340000002</v>
      </c>
      <c r="I189">
        <f>(R190-Estimates_of_the_use_of_water__2000_2020[[#This Row],[wat_bas_u]])/(B190-Estimates_of_the_use_of_water__2000_2020[[#This Row],[year]])</f>
        <v>-3.2543437999999016E-2</v>
      </c>
      <c r="J189">
        <f>ABS(Estimates_of_the_use_of_water__2000_2020[[#This Row],[ARC_r]]-Estimates_of_the_use_of_water__2000_2020[[#This Row],[ARC_u]])</f>
        <v>1.9723145960000013</v>
      </c>
      <c r="K189">
        <v>0.4256206085</v>
      </c>
      <c r="L189">
        <v>3.8851582640000002</v>
      </c>
      <c r="M189">
        <v>0</v>
      </c>
      <c r="N189">
        <v>89.875799549999996</v>
      </c>
      <c r="O189">
        <v>0.80670950789999996</v>
      </c>
      <c r="P189">
        <v>9.3174909459999995</v>
      </c>
      <c r="Q189">
        <v>0</v>
      </c>
      <c r="R189">
        <v>99.837282810000005</v>
      </c>
      <c r="S189">
        <v>0.15370152619999999</v>
      </c>
      <c r="T189">
        <v>9.0156632960000007E-3</v>
      </c>
      <c r="U189">
        <v>0</v>
      </c>
    </row>
    <row r="190" spans="1:21" x14ac:dyDescent="0.25">
      <c r="A190" s="1" t="s">
        <v>57</v>
      </c>
      <c r="B190">
        <v>2015</v>
      </c>
      <c r="C190">
        <f>IF(A191=Estimates_of_the_use_of_water__2000_2020[[#This Row],[name]], B191-Estimates_of_the_use_of_water__2000_2020[[#This Row],[year]],"")</f>
        <v>5</v>
      </c>
      <c r="D190">
        <v>9777.9248050000006</v>
      </c>
      <c r="E190">
        <v>70.5</v>
      </c>
      <c r="F190">
        <v>99.970528959999996</v>
      </c>
      <c r="G190">
        <f>((F191-Estimates_of_the_use_of_water__2000_2020[[#This Row],[wat_bas_n]])/(B191-Estimates_of_the_use_of_water__2000_2020[[#This Row],[year]]))</f>
        <v>5.8937020000001897E-3</v>
      </c>
      <c r="H190">
        <f>((N191-Estimates_of_the_use_of_water__2000_2020[[#This Row],[wat_bas_r]])/(B191-Estimates_of_the_use_of_water__2000_2020[[#This Row],[year]]))</f>
        <v>1.9982056000000626E-2</v>
      </c>
      <c r="I190">
        <f>(R191-Estimates_of_the_use_of_water__2000_2020[[#This Row],[wat_bas_u]])/(B191-Estimates_of_the_use_of_water__2000_2020[[#This Row],[year]])</f>
        <v>0</v>
      </c>
      <c r="J190">
        <f>ABS(Estimates_of_the_use_of_water__2000_2020[[#This Row],[ARC_r]]-Estimates_of_the_use_of_water__2000_2020[[#This Row],[ARC_u]])</f>
        <v>1.9982056000000626E-2</v>
      </c>
      <c r="K190">
        <v>0</v>
      </c>
      <c r="L190">
        <v>2.9471039399999999E-2</v>
      </c>
      <c r="M190">
        <v>0</v>
      </c>
      <c r="N190">
        <v>99.900089719999997</v>
      </c>
      <c r="O190">
        <v>0</v>
      </c>
      <c r="P190">
        <v>9.9910284789999998E-2</v>
      </c>
      <c r="Q190">
        <v>0</v>
      </c>
      <c r="R190">
        <v>100</v>
      </c>
      <c r="S190">
        <v>0</v>
      </c>
      <c r="T190">
        <v>0</v>
      </c>
      <c r="U190">
        <v>0</v>
      </c>
    </row>
    <row r="191" spans="1:21" x14ac:dyDescent="0.25">
      <c r="A191" s="1" t="s">
        <v>57</v>
      </c>
      <c r="B191">
        <v>2020</v>
      </c>
      <c r="C191" t="str">
        <f>IF(A192=Estimates_of_the_use_of_water__2000_2020[[#This Row],[name]], B192-Estimates_of_the_use_of_water__2000_2020[[#This Row],[year]],"")</f>
        <v/>
      </c>
      <c r="D191">
        <v>9660.3496090000008</v>
      </c>
      <c r="E191">
        <v>71.942001340000004</v>
      </c>
      <c r="F191">
        <v>99.999997469999997</v>
      </c>
      <c r="G191">
        <f>((F192-Estimates_of_the_use_of_water__2000_2020[[#This Row],[wat_bas_n]])/(B192-Estimates_of_the_use_of_water__2000_2020[[#This Row],[year]]))</f>
        <v>-9.6600000176749745E-7</v>
      </c>
      <c r="H191">
        <f>((N192-Estimates_of_the_use_of_water__2000_2020[[#This Row],[wat_bas_r]])/(B192-Estimates_of_the_use_of_water__2000_2020[[#This Row],[year]]))</f>
        <v>0</v>
      </c>
      <c r="I191">
        <f>(R192-Estimates_of_the_use_of_water__2000_2020[[#This Row],[wat_bas_u]])/(B192-Estimates_of_the_use_of_water__2000_2020[[#This Row],[year]])</f>
        <v>0</v>
      </c>
      <c r="J191">
        <f>ABS(Estimates_of_the_use_of_water__2000_2020[[#This Row],[ARC_r]]-Estimates_of_the_use_of_water__2000_2020[[#This Row],[ARC_u]])</f>
        <v>0</v>
      </c>
      <c r="K191">
        <v>0</v>
      </c>
      <c r="L191">
        <v>2.5272441919999999E-6</v>
      </c>
      <c r="M191">
        <v>0</v>
      </c>
      <c r="N191">
        <v>100</v>
      </c>
      <c r="O191">
        <v>0</v>
      </c>
      <c r="P191">
        <v>0</v>
      </c>
      <c r="Q191">
        <v>0</v>
      </c>
      <c r="R191">
        <v>100</v>
      </c>
      <c r="S191">
        <v>0</v>
      </c>
      <c r="T191">
        <v>0</v>
      </c>
      <c r="U191">
        <v>0</v>
      </c>
    </row>
    <row r="192" spans="1:21" x14ac:dyDescent="0.25">
      <c r="A192" s="1" t="s">
        <v>23</v>
      </c>
      <c r="B192">
        <v>2015</v>
      </c>
      <c r="C192">
        <f>IF(A193=Estimates_of_the_use_of_water__2000_2020[[#This Row],[name]], B193-Estimates_of_the_use_of_water__2000_2020[[#This Row],[year]],"")</f>
        <v>5</v>
      </c>
      <c r="D192">
        <v>330.23699950000002</v>
      </c>
      <c r="E192">
        <v>93.699996949999999</v>
      </c>
      <c r="F192">
        <v>100.00000230000001</v>
      </c>
      <c r="G192">
        <f>((F193-Estimates_of_the_use_of_water__2000_2020[[#This Row],[wat_bas_n]])/(B193-Estimates_of_the_use_of_water__2000_2020[[#This Row],[year]]))</f>
        <v>-1.0180000003856548E-6</v>
      </c>
      <c r="H192">
        <f>((N193-Estimates_of_the_use_of_water__2000_2020[[#This Row],[wat_bas_r]])/(B193-Estimates_of_the_use_of_water__2000_2020[[#This Row],[year]]))</f>
        <v>0</v>
      </c>
      <c r="I192">
        <f>(R193-Estimates_of_the_use_of_water__2000_2020[[#This Row],[wat_bas_u]])/(B193-Estimates_of_the_use_of_water__2000_2020[[#This Row],[year]])</f>
        <v>0</v>
      </c>
      <c r="J192">
        <f>ABS(Estimates_of_the_use_of_water__2000_2020[[#This Row],[ARC_r]]-Estimates_of_the_use_of_water__2000_2020[[#This Row],[ARC_u]])</f>
        <v>0</v>
      </c>
      <c r="K192">
        <v>0</v>
      </c>
      <c r="L192">
        <v>0</v>
      </c>
      <c r="M192">
        <v>0</v>
      </c>
      <c r="N192">
        <v>100</v>
      </c>
      <c r="O192">
        <v>0</v>
      </c>
      <c r="P192">
        <v>0</v>
      </c>
      <c r="Q192">
        <v>0</v>
      </c>
      <c r="R192">
        <v>100</v>
      </c>
      <c r="S192">
        <v>0</v>
      </c>
      <c r="T192">
        <v>0</v>
      </c>
      <c r="U192">
        <v>0</v>
      </c>
    </row>
    <row r="193" spans="1:21" x14ac:dyDescent="0.25">
      <c r="A193" s="1" t="s">
        <v>23</v>
      </c>
      <c r="B193">
        <v>2020</v>
      </c>
      <c r="C193" t="str">
        <f>IF(A194=Estimates_of_the_use_of_water__2000_2020[[#This Row],[name]], B194-Estimates_of_the_use_of_water__2000_2020[[#This Row],[year]],"")</f>
        <v/>
      </c>
      <c r="D193">
        <v>341.25</v>
      </c>
      <c r="E193">
        <v>93.897994999999995</v>
      </c>
      <c r="F193">
        <v>99.999997210000004</v>
      </c>
      <c r="G193">
        <f>((F194-Estimates_of_the_use_of_water__2000_2020[[#This Row],[wat_bas_n]])/(B194-Estimates_of_the_use_of_water__2000_2020[[#This Row],[year]]))</f>
        <v>2.3723729160000007</v>
      </c>
      <c r="H193">
        <f>((N194-Estimates_of_the_use_of_water__2000_2020[[#This Row],[wat_bas_r]])/(B194-Estimates_of_the_use_of_water__2000_2020[[#This Row],[year]]))</f>
        <v>2.8855999300000006</v>
      </c>
      <c r="I193">
        <f>(R194-Estimates_of_the_use_of_water__2000_2020[[#This Row],[wat_bas_u]])/(B194-Estimates_of_the_use_of_water__2000_2020[[#This Row],[year]])</f>
        <v>1.3197870779999987</v>
      </c>
      <c r="J193">
        <f>ABS(Estimates_of_the_use_of_water__2000_2020[[#This Row],[ARC_r]]-Estimates_of_the_use_of_water__2000_2020[[#This Row],[ARC_u]])</f>
        <v>1.5658128520000019</v>
      </c>
      <c r="K193">
        <v>0</v>
      </c>
      <c r="L193">
        <v>2.7946500150000002E-6</v>
      </c>
      <c r="M193">
        <v>0</v>
      </c>
      <c r="N193">
        <v>100</v>
      </c>
      <c r="O193">
        <v>0</v>
      </c>
      <c r="P193">
        <v>0</v>
      </c>
      <c r="Q193">
        <v>0</v>
      </c>
      <c r="R193">
        <v>100</v>
      </c>
      <c r="S193">
        <v>0</v>
      </c>
      <c r="T193">
        <v>0</v>
      </c>
      <c r="U193">
        <v>0</v>
      </c>
    </row>
    <row r="194" spans="1:21" x14ac:dyDescent="0.25">
      <c r="A194" s="1" t="s">
        <v>183</v>
      </c>
      <c r="B194">
        <v>2015</v>
      </c>
      <c r="C194">
        <f>IF(A195=Estimates_of_the_use_of_water__2000_2020[[#This Row],[name]], B195-Estimates_of_the_use_of_water__2000_2020[[#This Row],[year]],"")</f>
        <v>5</v>
      </c>
      <c r="D194">
        <v>1310152.375</v>
      </c>
      <c r="E194">
        <v>32.777000430000001</v>
      </c>
      <c r="F194">
        <v>88.138132630000001</v>
      </c>
      <c r="G194">
        <f>((F195-Estimates_of_the_use_of_water__2000_2020[[#This Row],[wat_bas_n]])/(B195-Estimates_of_the_use_of_water__2000_2020[[#This Row],[year]]))</f>
        <v>0.47027847999999894</v>
      </c>
      <c r="H194">
        <f>((N195-Estimates_of_the_use_of_water__2000_2020[[#This Row],[wat_bas_r]])/(B195-Estimates_of_the_use_of_water__2000_2020[[#This Row],[year]]))</f>
        <v>0.64210055599999971</v>
      </c>
      <c r="I194">
        <f>(R195-Estimates_of_the_use_of_water__2000_2020[[#This Row],[wat_bas_u]])/(B195-Estimates_of_the_use_of_water__2000_2020[[#This Row],[year]])</f>
        <v>5.379433800000015E-2</v>
      </c>
      <c r="J194">
        <f>ABS(Estimates_of_the_use_of_water__2000_2020[[#This Row],[ARC_r]]-Estimates_of_the_use_of_water__2000_2020[[#This Row],[ARC_u]])</f>
        <v>0.5883062179999996</v>
      </c>
      <c r="K194">
        <v>4.6925990149999999</v>
      </c>
      <c r="L194">
        <v>6.4124515520000003</v>
      </c>
      <c r="M194">
        <v>0.75681680389999995</v>
      </c>
      <c r="N194">
        <v>85.572000349999996</v>
      </c>
      <c r="O194">
        <v>5.5421338929999999</v>
      </c>
      <c r="P194">
        <v>7.8808700040000002</v>
      </c>
      <c r="Q194">
        <v>1.004995751</v>
      </c>
      <c r="R194">
        <v>93.401064610000006</v>
      </c>
      <c r="S194">
        <v>2.9502709540000001</v>
      </c>
      <c r="T194">
        <v>3.4008427999999999</v>
      </c>
      <c r="U194">
        <v>0.2478216409</v>
      </c>
    </row>
    <row r="195" spans="1:21" x14ac:dyDescent="0.25">
      <c r="A195" s="1" t="s">
        <v>183</v>
      </c>
      <c r="B195">
        <v>2020</v>
      </c>
      <c r="C195" t="str">
        <f>IF(A196=Estimates_of_the_use_of_water__2000_2020[[#This Row],[name]], B196-Estimates_of_the_use_of_water__2000_2020[[#This Row],[year]],"")</f>
        <v/>
      </c>
      <c r="D195">
        <v>1380004.375</v>
      </c>
      <c r="E195">
        <v>34.926002500000003</v>
      </c>
      <c r="F195">
        <v>90.489525029999996</v>
      </c>
      <c r="G195">
        <f>((F196-Estimates_of_the_use_of_water__2000_2020[[#This Row],[wat_bas_n]])/(B196-Estimates_of_the_use_of_water__2000_2020[[#This Row],[year]]))</f>
        <v>0.39243441399999879</v>
      </c>
      <c r="H195">
        <f>((N196-Estimates_of_the_use_of_water__2000_2020[[#This Row],[wat_bas_r]])/(B196-Estimates_of_the_use_of_water__2000_2020[[#This Row],[year]]))</f>
        <v>1.6303423879999996</v>
      </c>
      <c r="I195">
        <f>(R196-Estimates_of_the_use_of_water__2000_2020[[#This Row],[wat_bas_u]])/(B196-Estimates_of_the_use_of_water__2000_2020[[#This Row],[year]])</f>
        <v>-0.35449109199999784</v>
      </c>
      <c r="J195">
        <f>ABS(Estimates_of_the_use_of_water__2000_2020[[#This Row],[ARC_r]]-Estimates_of_the_use_of_water__2000_2020[[#This Row],[ARC_u]])</f>
        <v>1.9848334799999976</v>
      </c>
      <c r="K195">
        <v>4.9836025619999997</v>
      </c>
      <c r="L195">
        <v>3.9631539450000002</v>
      </c>
      <c r="M195">
        <v>0.56371846260000003</v>
      </c>
      <c r="N195">
        <v>88.782503129999995</v>
      </c>
      <c r="O195">
        <v>5.9022100540000002</v>
      </c>
      <c r="P195">
        <v>4.5763757299999996</v>
      </c>
      <c r="Q195">
        <v>0.73891108559999996</v>
      </c>
      <c r="R195">
        <v>93.670036300000007</v>
      </c>
      <c r="S195">
        <v>3.2720560270000001</v>
      </c>
      <c r="T195">
        <v>2.8206075230000001</v>
      </c>
      <c r="U195">
        <v>0.2373001538</v>
      </c>
    </row>
    <row r="196" spans="1:21" x14ac:dyDescent="0.25">
      <c r="A196" s="1" t="s">
        <v>173</v>
      </c>
      <c r="B196">
        <v>2015</v>
      </c>
      <c r="C196">
        <f>IF(A197=Estimates_of_the_use_of_water__2000_2020[[#This Row],[name]], B197-Estimates_of_the_use_of_water__2000_2020[[#This Row],[year]],"")</f>
        <v>5</v>
      </c>
      <c r="D196">
        <v>258383.25</v>
      </c>
      <c r="E196">
        <v>53.312999730000001</v>
      </c>
      <c r="F196">
        <v>88.527352960000002</v>
      </c>
      <c r="G196">
        <f>((F197-Estimates_of_the_use_of_water__2000_2020[[#This Row],[wat_bas_n]])/(B197-Estimates_of_the_use_of_water__2000_2020[[#This Row],[year]]))</f>
        <v>0.77759933000000103</v>
      </c>
      <c r="H196">
        <f>((N197-Estimates_of_the_use_of_water__2000_2020[[#This Row],[wat_bas_r]])/(B197-Estimates_of_the_use_of_water__2000_2020[[#This Row],[year]]))</f>
        <v>1.0074342380000019</v>
      </c>
      <c r="I196">
        <f>(R197-Estimates_of_the_use_of_water__2000_2020[[#This Row],[wat_bas_u]])/(B197-Estimates_of_the_use_of_water__2000_2020[[#This Row],[year]])</f>
        <v>0.42760406200000034</v>
      </c>
      <c r="J196">
        <f>ABS(Estimates_of_the_use_of_water__2000_2020[[#This Row],[ARC_r]]-Estimates_of_the_use_of_water__2000_2020[[#This Row],[ARC_u]])</f>
        <v>0.57983017600000153</v>
      </c>
      <c r="K196">
        <v>0.79413052260000006</v>
      </c>
      <c r="L196">
        <v>8.9438595640000003</v>
      </c>
      <c r="M196">
        <v>1.7346569540000001</v>
      </c>
      <c r="N196">
        <v>80.630791189999997</v>
      </c>
      <c r="O196">
        <v>0.97404573149999996</v>
      </c>
      <c r="P196">
        <v>14.98518808</v>
      </c>
      <c r="Q196">
        <v>3.4099750009999998</v>
      </c>
      <c r="R196">
        <v>95.442491759999996</v>
      </c>
      <c r="S196">
        <v>0.63657604779999999</v>
      </c>
      <c r="T196">
        <v>3.6533766409999999</v>
      </c>
      <c r="U196">
        <v>0.26755555320000002</v>
      </c>
    </row>
    <row r="197" spans="1:21" x14ac:dyDescent="0.25">
      <c r="A197" s="1" t="s">
        <v>173</v>
      </c>
      <c r="B197">
        <v>2020</v>
      </c>
      <c r="C197" t="str">
        <f>IF(A198=Estimates_of_the_use_of_water__2000_2020[[#This Row],[name]], B198-Estimates_of_the_use_of_water__2000_2020[[#This Row],[year]],"")</f>
        <v/>
      </c>
      <c r="D197">
        <v>273523.625</v>
      </c>
      <c r="E197">
        <v>56.640998840000002</v>
      </c>
      <c r="F197">
        <v>92.415349610000007</v>
      </c>
      <c r="G197">
        <f>((F198-Estimates_of_the_use_of_water__2000_2020[[#This Row],[wat_bas_n]])/(B198-Estimates_of_the_use_of_water__2000_2020[[#This Row],[year]]))</f>
        <v>-0.87832749399999843</v>
      </c>
      <c r="H197">
        <f>((N198-Estimates_of_the_use_of_water__2000_2020[[#This Row],[wat_bas_r]])/(B198-Estimates_of_the_use_of_water__2000_2020[[#This Row],[year]]))</f>
        <v>-1.2989080539999975</v>
      </c>
      <c r="I197">
        <f>(R198-Estimates_of_the_use_of_water__2000_2020[[#This Row],[wat_bas_u]])/(B198-Estimates_of_the_use_of_water__2000_2020[[#This Row],[year]])</f>
        <v>-0.18264976000000105</v>
      </c>
      <c r="J197">
        <f>ABS(Estimates_of_the_use_of_water__2000_2020[[#This Row],[ARC_r]]-Estimates_of_the_use_of_water__2000_2020[[#This Row],[ARC_u]])</f>
        <v>1.1162582939999965</v>
      </c>
      <c r="K197">
        <v>0.85547463349999997</v>
      </c>
      <c r="L197">
        <v>5.553871666</v>
      </c>
      <c r="M197">
        <v>1.175304087</v>
      </c>
      <c r="N197">
        <v>85.667962380000006</v>
      </c>
      <c r="O197">
        <v>1.1780912299999999</v>
      </c>
      <c r="P197">
        <v>10.61491462</v>
      </c>
      <c r="Q197">
        <v>2.539031772</v>
      </c>
      <c r="R197">
        <v>97.580512069999997</v>
      </c>
      <c r="S197">
        <v>0.60850983449999996</v>
      </c>
      <c r="T197">
        <v>1.679615139</v>
      </c>
      <c r="U197">
        <v>0.13136295880000001</v>
      </c>
    </row>
    <row r="198" spans="1:21" x14ac:dyDescent="0.25">
      <c r="A198" s="1" t="s">
        <v>126</v>
      </c>
      <c r="B198">
        <v>2015</v>
      </c>
      <c r="C198">
        <f>IF(A199=Estimates_of_the_use_of_water__2000_2020[[#This Row],[name]], B199-Estimates_of_the_use_of_water__2000_2020[[#This Row],[year]],"")</f>
        <v>5</v>
      </c>
      <c r="D198">
        <v>78492.210940000004</v>
      </c>
      <c r="E198">
        <v>73.358001709999996</v>
      </c>
      <c r="F198">
        <v>96.806987079999999</v>
      </c>
      <c r="G198">
        <f>((F199-Estimates_of_the_use_of_water__2000_2020[[#This Row],[wat_bas_n]])/(B199-Estimates_of_the_use_of_water__2000_2020[[#This Row],[year]]))</f>
        <v>0.13512985000000127</v>
      </c>
      <c r="H198">
        <f>((N199-Estimates_of_the_use_of_water__2000_2020[[#This Row],[wat_bas_r]])/(B199-Estimates_of_the_use_of_water__2000_2020[[#This Row],[year]]))</f>
        <v>0.33324654600000087</v>
      </c>
      <c r="I198">
        <f>(R199-Estimates_of_the_use_of_water__2000_2020[[#This Row],[wat_bas_u]])/(B199-Estimates_of_the_use_of_water__2000_2020[[#This Row],[year]])</f>
        <v>3.014517000000012E-2</v>
      </c>
      <c r="J198">
        <f>ABS(Estimates_of_the_use_of_water__2000_2020[[#This Row],[ARC_r]]-Estimates_of_the_use_of_water__2000_2020[[#This Row],[ARC_u]])</f>
        <v>0.30310137600000076</v>
      </c>
      <c r="K198">
        <v>1.9948915730000001</v>
      </c>
      <c r="L198">
        <v>1.126061081</v>
      </c>
      <c r="M198">
        <v>7.2060265609999993E-2</v>
      </c>
      <c r="N198">
        <v>92.162502649999993</v>
      </c>
      <c r="O198">
        <v>4.221624781</v>
      </c>
      <c r="P198">
        <v>3.3453963830000002</v>
      </c>
      <c r="Q198">
        <v>0.27047619049999999</v>
      </c>
      <c r="R198">
        <v>98.493760870000003</v>
      </c>
      <c r="S198">
        <v>1.186191432</v>
      </c>
      <c r="T198">
        <v>0.3200476961</v>
      </c>
      <c r="U198">
        <v>0</v>
      </c>
    </row>
    <row r="199" spans="1:21" x14ac:dyDescent="0.25">
      <c r="A199" s="1" t="s">
        <v>126</v>
      </c>
      <c r="B199">
        <v>2020</v>
      </c>
      <c r="C199" t="str">
        <f>IF(A200=Estimates_of_the_use_of_water__2000_2020[[#This Row],[name]], B200-Estimates_of_the_use_of_water__2000_2020[[#This Row],[year]],"")</f>
        <v/>
      </c>
      <c r="D199">
        <v>83992.953129999994</v>
      </c>
      <c r="E199">
        <v>75.874000550000005</v>
      </c>
      <c r="F199">
        <v>97.482636330000005</v>
      </c>
      <c r="G199">
        <f>((F200-Estimates_of_the_use_of_water__2000_2020[[#This Row],[wat_bas_n]])/(B200-Estimates_of_the_use_of_water__2000_2020[[#This Row],[year]]))</f>
        <v>0.64700860599999999</v>
      </c>
      <c r="H199">
        <f>((N200-Estimates_of_the_use_of_water__2000_2020[[#This Row],[wat_bas_r]])/(B200-Estimates_of_the_use_of_water__2000_2020[[#This Row],[year]]))</f>
        <v>1.8132050539999995</v>
      </c>
      <c r="I199">
        <f>(R200-Estimates_of_the_use_of_water__2000_2020[[#This Row],[wat_bas_u]])/(B200-Estimates_of_the_use_of_water__2000_2020[[#This Row],[year]])</f>
        <v>6.332682400000067E-2</v>
      </c>
      <c r="J199">
        <f>ABS(Estimates_of_the_use_of_water__2000_2020[[#This Row],[ARC_r]]-Estimates_of_the_use_of_water__2000_2020[[#This Row],[ARC_u]])</f>
        <v>1.7498782299999989</v>
      </c>
      <c r="K199">
        <v>1.938311229</v>
      </c>
      <c r="L199">
        <v>0.51379736310000002</v>
      </c>
      <c r="M199">
        <v>6.5255081849999994E-2</v>
      </c>
      <c r="N199">
        <v>93.828735379999998</v>
      </c>
      <c r="O199">
        <v>4.2979487650000001</v>
      </c>
      <c r="P199">
        <v>1.602839669</v>
      </c>
      <c r="Q199">
        <v>0.27047619049999999</v>
      </c>
      <c r="R199">
        <v>98.644486720000003</v>
      </c>
      <c r="S199">
        <v>1.1880066709999999</v>
      </c>
      <c r="T199">
        <v>0.1675066077</v>
      </c>
      <c r="U199">
        <v>0</v>
      </c>
    </row>
    <row r="200" spans="1:21" x14ac:dyDescent="0.25">
      <c r="A200" s="1" t="s">
        <v>113</v>
      </c>
      <c r="B200">
        <v>2015</v>
      </c>
      <c r="C200">
        <f>IF(A201=Estimates_of_the_use_of_water__2000_2020[[#This Row],[name]], B201-Estimates_of_the_use_of_water__2000_2020[[#This Row],[year]],"")</f>
        <v>5</v>
      </c>
      <c r="D200">
        <v>35572.269529999998</v>
      </c>
      <c r="E200">
        <v>69.920997619999994</v>
      </c>
      <c r="F200">
        <v>94.247593300000005</v>
      </c>
      <c r="G200">
        <f>((F201-Estimates_of_the_use_of_water__2000_2020[[#This Row],[wat_bas_n]])/(B201-Estimates_of_the_use_of_water__2000_2020[[#This Row],[year]]))</f>
        <v>0.82246198999999931</v>
      </c>
      <c r="H200">
        <f>((N201-Estimates_of_the_use_of_water__2000_2020[[#This Row],[wat_bas_r]])/(B201-Estimates_of_the_use_of_water__2000_2020[[#This Row],[year]]))</f>
        <v>2.0136873339999992</v>
      </c>
      <c r="I200">
        <f>(R201-Estimates_of_the_use_of_water__2000_2020[[#This Row],[wat_bas_u]])/(B201-Estimates_of_the_use_of_water__2000_2020[[#This Row],[year]])</f>
        <v>0.29617568600000083</v>
      </c>
      <c r="J200">
        <f>ABS(Estimates_of_the_use_of_water__2000_2020[[#This Row],[ARC_r]]-Estimates_of_the_use_of_water__2000_2020[[#This Row],[ARC_u]])</f>
        <v>1.7175116479999983</v>
      </c>
      <c r="K200">
        <v>1.056676215</v>
      </c>
      <c r="L200">
        <v>1.7379110360000001</v>
      </c>
      <c r="M200">
        <v>2.9578194500000001</v>
      </c>
      <c r="N200">
        <v>84.76271011</v>
      </c>
      <c r="O200">
        <v>2.8306169350000001</v>
      </c>
      <c r="P200">
        <v>2.77640479</v>
      </c>
      <c r="Q200">
        <v>9.630268161</v>
      </c>
      <c r="R200">
        <v>98.3278526</v>
      </c>
      <c r="S200">
        <v>0.29355262310000002</v>
      </c>
      <c r="T200">
        <v>1.2911660709999999</v>
      </c>
      <c r="U200">
        <v>8.74287017E-2</v>
      </c>
    </row>
    <row r="201" spans="1:21" x14ac:dyDescent="0.25">
      <c r="A201" s="1" t="s">
        <v>113</v>
      </c>
      <c r="B201">
        <v>2020</v>
      </c>
      <c r="C201" t="str">
        <f>IF(A202=Estimates_of_the_use_of_water__2000_2020[[#This Row],[name]], B202-Estimates_of_the_use_of_water__2000_2020[[#This Row],[year]],"")</f>
        <v/>
      </c>
      <c r="D201">
        <v>40222.503909999999</v>
      </c>
      <c r="E201">
        <v>70.892997739999998</v>
      </c>
      <c r="F201">
        <v>98.359903250000002</v>
      </c>
      <c r="G201">
        <f>((F202-Estimates_of_the_use_of_water__2000_2020[[#This Row],[wat_bas_n]])/(B202-Estimates_of_the_use_of_water__2000_2020[[#This Row],[year]]))</f>
        <v>0.19755505200000129</v>
      </c>
      <c r="H201">
        <f>((N202-Estimates_of_the_use_of_water__2000_2020[[#This Row],[wat_bas_r]])/(B202-Estimates_of_the_use_of_water__2000_2020[[#This Row],[year]]))</f>
        <v>-0.63713388200000054</v>
      </c>
      <c r="I201">
        <f>(R202-Estimates_of_the_use_of_water__2000_2020[[#This Row],[wat_bas_u]])/(B202-Estimates_of_the_use_of_water__2000_2020[[#This Row],[year]])</f>
        <v>0.56455784400000086</v>
      </c>
      <c r="J201">
        <f>ABS(Estimates_of_the_use_of_water__2000_2020[[#This Row],[ARC_r]]-Estimates_of_the_use_of_water__2000_2020[[#This Row],[ARC_u]])</f>
        <v>1.2016917260000013</v>
      </c>
      <c r="K201">
        <v>0.89216034950000001</v>
      </c>
      <c r="L201">
        <v>2.427900808E-6</v>
      </c>
      <c r="M201">
        <v>0.74793397130000006</v>
      </c>
      <c r="N201">
        <v>94.831146779999997</v>
      </c>
      <c r="O201">
        <v>2.5992513389999998</v>
      </c>
      <c r="P201">
        <v>0</v>
      </c>
      <c r="Q201">
        <v>2.5696018770000002</v>
      </c>
      <c r="R201">
        <v>99.808731030000004</v>
      </c>
      <c r="S201">
        <v>0.19126897000000001</v>
      </c>
      <c r="T201">
        <v>0</v>
      </c>
      <c r="U201">
        <v>0</v>
      </c>
    </row>
    <row r="202" spans="1:21" x14ac:dyDescent="0.25">
      <c r="A202" s="1" t="s">
        <v>128</v>
      </c>
      <c r="B202">
        <v>2015</v>
      </c>
      <c r="C202">
        <f>IF(A203=Estimates_of_the_use_of_water__2000_2020[[#This Row],[name]], B203-Estimates_of_the_use_of_water__2000_2020[[#This Row],[year]],"")</f>
        <v>5</v>
      </c>
      <c r="D202">
        <v>4652.419922</v>
      </c>
      <c r="E202">
        <v>62.537998199999997</v>
      </c>
      <c r="F202">
        <v>97.372127989999996</v>
      </c>
      <c r="G202">
        <f>((F203-Estimates_of_the_use_of_water__2000_2020[[#This Row],[wat_bas_n]])/(B203-Estimates_of_the_use_of_water__2000_2020[[#This Row],[year]]))</f>
        <v>5.5157040000011646E-3</v>
      </c>
      <c r="H202">
        <f>((N203-Estimates_of_the_use_of_water__2000_2020[[#This Row],[wat_bas_r]])/(B203-Estimates_of_the_use_of_water__2000_2020[[#This Row],[year]]))</f>
        <v>2.3620912000001226E-2</v>
      </c>
      <c r="I202">
        <f>(R203-Estimates_of_the_use_of_water__2000_2020[[#This Row],[wat_bas_u]])/(B203-Estimates_of_the_use_of_water__2000_2020[[#This Row],[year]])</f>
        <v>-1.2111559999993915E-3</v>
      </c>
      <c r="J202">
        <f>ABS(Estimates_of_the_use_of_water__2000_2020[[#This Row],[ARC_r]]-Estimates_of_the_use_of_water__2000_2020[[#This Row],[ARC_u]])</f>
        <v>2.4832068000000616E-2</v>
      </c>
      <c r="K202">
        <v>0</v>
      </c>
      <c r="L202">
        <v>2.6278720080000002</v>
      </c>
      <c r="M202">
        <v>0</v>
      </c>
      <c r="N202">
        <v>98.01681619</v>
      </c>
      <c r="O202">
        <v>0</v>
      </c>
      <c r="P202">
        <v>1.983183812</v>
      </c>
      <c r="Q202">
        <v>0</v>
      </c>
      <c r="R202">
        <v>96.98594181</v>
      </c>
      <c r="S202">
        <v>0</v>
      </c>
      <c r="T202">
        <v>3.014058189</v>
      </c>
      <c r="U202">
        <v>0</v>
      </c>
    </row>
    <row r="203" spans="1:21" x14ac:dyDescent="0.25">
      <c r="A203" s="1" t="s">
        <v>128</v>
      </c>
      <c r="B203">
        <v>2020</v>
      </c>
      <c r="C203" t="str">
        <f>IF(A204=Estimates_of_the_use_of_water__2000_2020[[#This Row],[name]], B204-Estimates_of_the_use_of_water__2000_2020[[#This Row],[year]],"")</f>
        <v/>
      </c>
      <c r="D203">
        <v>4937.7958980000003</v>
      </c>
      <c r="E203">
        <v>63.652999880000003</v>
      </c>
      <c r="F203">
        <v>97.399706510000001</v>
      </c>
      <c r="G203">
        <f>((F204-Estimates_of_the_use_of_water__2000_2020[[#This Row],[wat_bas_n]])/(B204-Estimates_of_the_use_of_water__2000_2020[[#This Row],[year]]))</f>
        <v>-0.33505869800000027</v>
      </c>
      <c r="H203">
        <f>((N204-Estimates_of_the_use_of_water__2000_2020[[#This Row],[wat_bas_r]])/(B204-Estimates_of_the_use_of_water__2000_2020[[#This Row],[year]]))</f>
        <v>19.626984150000002</v>
      </c>
      <c r="I203">
        <f>(R204-Estimates_of_the_use_of_water__2000_2020[[#This Row],[wat_bas_u]])/(B204-Estimates_of_the_use_of_water__2000_2020[[#This Row],[year]])</f>
        <v>19.395977206000001</v>
      </c>
      <c r="J203">
        <f>ABS(Estimates_of_the_use_of_water__2000_2020[[#This Row],[ARC_r]]-Estimates_of_the_use_of_water__2000_2020[[#This Row],[ARC_u]])</f>
        <v>0.23100694400000066</v>
      </c>
      <c r="K203">
        <v>0</v>
      </c>
      <c r="L203">
        <v>2.6002934849999999</v>
      </c>
      <c r="M203">
        <v>0</v>
      </c>
      <c r="N203">
        <v>98.134920750000006</v>
      </c>
      <c r="O203">
        <v>0</v>
      </c>
      <c r="P203">
        <v>1.8650792469999999</v>
      </c>
      <c r="Q203">
        <v>0</v>
      </c>
      <c r="R203">
        <v>96.979886030000003</v>
      </c>
      <c r="S203">
        <v>0</v>
      </c>
      <c r="T203">
        <v>3.0201139659999998</v>
      </c>
      <c r="U203">
        <v>0</v>
      </c>
    </row>
    <row r="204" spans="1:21" x14ac:dyDescent="0.25">
      <c r="A204" s="1" t="s">
        <v>102</v>
      </c>
      <c r="B204">
        <v>2015</v>
      </c>
      <c r="C204">
        <f>IF(A205=Estimates_of_the_use_of_water__2000_2020[[#This Row],[name]], B205-Estimates_of_the_use_of_water__2000_2020[[#This Row],[year]],"")</f>
        <v>5</v>
      </c>
      <c r="D204">
        <v>83.232002260000002</v>
      </c>
      <c r="E204">
        <v>52.244998930000001</v>
      </c>
      <c r="F204">
        <v>99.075000000000003</v>
      </c>
      <c r="G204">
        <f>((F205-Estimates_of_the_use_of_water__2000_2020[[#This Row],[wat_bas_n]])/(B205-Estimates_of_the_use_of_water__2000_2020[[#This Row],[year]]))</f>
        <v>0</v>
      </c>
      <c r="H204">
        <f>((N205-Estimates_of_the_use_of_water__2000_2020[[#This Row],[wat_bas_r]])/(B205-Estimates_of_the_use_of_water__2000_2020[[#This Row],[year]]))</f>
        <v>0</v>
      </c>
      <c r="I204">
        <f>(R205-Estimates_of_the_use_of_water__2000_2020[[#This Row],[wat_bas_u]])/(B205-Estimates_of_the_use_of_water__2000_2020[[#This Row],[year]])</f>
        <v>0</v>
      </c>
      <c r="J204">
        <f>ABS(Estimates_of_the_use_of_water__2000_2020[[#This Row],[ARC_r]]-Estimates_of_the_use_of_water__2000_2020[[#This Row],[ARC_u]])</f>
        <v>0</v>
      </c>
      <c r="K204">
        <v>0</v>
      </c>
      <c r="L204">
        <v>0.92500000000000004</v>
      </c>
      <c r="M204">
        <v>0</v>
      </c>
    </row>
    <row r="205" spans="1:21" x14ac:dyDescent="0.25">
      <c r="A205" s="1" t="s">
        <v>102</v>
      </c>
      <c r="B205">
        <v>2020</v>
      </c>
      <c r="C205" t="str">
        <f>IF(A206=Estimates_of_the_use_of_water__2000_2020[[#This Row],[name]], B206-Estimates_of_the_use_of_water__2000_2020[[#This Row],[year]],"")</f>
        <v/>
      </c>
      <c r="D205">
        <v>85.031997680000003</v>
      </c>
      <c r="E205">
        <v>52.89800262</v>
      </c>
      <c r="F205">
        <v>99.075000000000003</v>
      </c>
      <c r="G205">
        <f>((F206-Estimates_of_the_use_of_water__2000_2020[[#This Row],[wat_bas_n]])/(B206-Estimates_of_the_use_of_water__2000_2020[[#This Row],[year]]))</f>
        <v>-0.18500029999999867</v>
      </c>
      <c r="H205">
        <f>((N206-Estimates_of_the_use_of_water__2000_2020[[#This Row],[wat_bas_r]])/(B206-Estimates_of_the_use_of_water__2000_2020[[#This Row],[year]]))</f>
        <v>-20</v>
      </c>
      <c r="I205">
        <f>(R206-Estimates_of_the_use_of_water__2000_2020[[#This Row],[wat_bas_u]])/(B206-Estimates_of_the_use_of_water__2000_2020[[#This Row],[year]])</f>
        <v>-20</v>
      </c>
      <c r="J205">
        <f>ABS(Estimates_of_the_use_of_water__2000_2020[[#This Row],[ARC_r]]-Estimates_of_the_use_of_water__2000_2020[[#This Row],[ARC_u]])</f>
        <v>0</v>
      </c>
      <c r="K205">
        <v>0</v>
      </c>
      <c r="L205">
        <v>0.92500000000000004</v>
      </c>
      <c r="M205">
        <v>0</v>
      </c>
    </row>
    <row r="206" spans="1:21" x14ac:dyDescent="0.25">
      <c r="A206" s="1" t="s">
        <v>25</v>
      </c>
      <c r="B206">
        <v>2015</v>
      </c>
      <c r="C206">
        <f>IF(A207=Estimates_of_the_use_of_water__2000_2020[[#This Row],[name]], B207-Estimates_of_the_use_of_water__2000_2020[[#This Row],[year]],"")</f>
        <v>5</v>
      </c>
      <c r="D206">
        <v>7978.4960940000001</v>
      </c>
      <c r="E206">
        <v>92.179000849999994</v>
      </c>
      <c r="F206">
        <v>100.0000015</v>
      </c>
      <c r="G206">
        <f>((F207-Estimates_of_the_use_of_water__2000_2020[[#This Row],[wat_bas_n]])/(B207-Estimates_of_the_use_of_water__2000_2020[[#This Row],[year]]))</f>
        <v>-2.999999992425728E-7</v>
      </c>
      <c r="H206">
        <f>((N207-Estimates_of_the_use_of_water__2000_2020[[#This Row],[wat_bas_r]])/(B207-Estimates_of_the_use_of_water__2000_2020[[#This Row],[year]]))</f>
        <v>0</v>
      </c>
      <c r="I206">
        <f>(R207-Estimates_of_the_use_of_water__2000_2020[[#This Row],[wat_bas_u]])/(B207-Estimates_of_the_use_of_water__2000_2020[[#This Row],[year]])</f>
        <v>0</v>
      </c>
      <c r="J206">
        <f>ABS(Estimates_of_the_use_of_water__2000_2020[[#This Row],[ARC_r]]-Estimates_of_the_use_of_water__2000_2020[[#This Row],[ARC_u]])</f>
        <v>0</v>
      </c>
      <c r="K206">
        <v>0</v>
      </c>
      <c r="L206">
        <v>0</v>
      </c>
      <c r="M206">
        <v>0</v>
      </c>
      <c r="N206">
        <v>100</v>
      </c>
      <c r="O206">
        <v>0</v>
      </c>
      <c r="P206">
        <v>0</v>
      </c>
      <c r="Q206">
        <v>0</v>
      </c>
      <c r="R206">
        <v>100</v>
      </c>
      <c r="S206">
        <v>0</v>
      </c>
      <c r="T206">
        <v>0</v>
      </c>
      <c r="U206">
        <v>0</v>
      </c>
    </row>
    <row r="207" spans="1:21" x14ac:dyDescent="0.25">
      <c r="A207" s="1" t="s">
        <v>25</v>
      </c>
      <c r="B207">
        <v>2020</v>
      </c>
      <c r="C207" t="str">
        <f>IF(A208=Estimates_of_the_use_of_water__2000_2020[[#This Row],[name]], B208-Estimates_of_the_use_of_water__2000_2020[[#This Row],[year]],"")</f>
        <v/>
      </c>
      <c r="D207">
        <v>8655.5410159999992</v>
      </c>
      <c r="E207">
        <v>92.58699799</v>
      </c>
      <c r="F207">
        <v>100</v>
      </c>
      <c r="G207">
        <f>((F208-Estimates_of_the_use_of_water__2000_2020[[#This Row],[wat_bas_n]])/(B208-Estimates_of_the_use_of_water__2000_2020[[#This Row],[year]]))</f>
        <v>1.6593186000000058E-2</v>
      </c>
      <c r="H207">
        <f>((N208-Estimates_of_the_use_of_water__2000_2020[[#This Row],[wat_bas_r]])/(B208-Estimates_of_the_use_of_water__2000_2020[[#This Row],[year]]))</f>
        <v>20</v>
      </c>
      <c r="I207">
        <f>(R208-Estimates_of_the_use_of_water__2000_2020[[#This Row],[wat_bas_u]])/(B208-Estimates_of_the_use_of_water__2000_2020[[#This Row],[year]])</f>
        <v>20</v>
      </c>
      <c r="J207">
        <f>ABS(Estimates_of_the_use_of_water__2000_2020[[#This Row],[ARC_r]]-Estimates_of_the_use_of_water__2000_2020[[#This Row],[ARC_u]])</f>
        <v>0</v>
      </c>
      <c r="K207">
        <v>0</v>
      </c>
      <c r="L207">
        <v>0</v>
      </c>
      <c r="M207">
        <v>0</v>
      </c>
      <c r="N207">
        <v>100</v>
      </c>
      <c r="O207">
        <v>0</v>
      </c>
      <c r="P207">
        <v>0</v>
      </c>
      <c r="Q207">
        <v>0</v>
      </c>
      <c r="R207">
        <v>100</v>
      </c>
      <c r="S207">
        <v>0</v>
      </c>
      <c r="T207">
        <v>0</v>
      </c>
      <c r="U207">
        <v>0</v>
      </c>
    </row>
    <row r="208" spans="1:21" x14ac:dyDescent="0.25">
      <c r="A208" s="1" t="s">
        <v>67</v>
      </c>
      <c r="B208">
        <v>2015</v>
      </c>
      <c r="C208">
        <f>IF(A209=Estimates_of_the_use_of_water__2000_2020[[#This Row],[name]], B209-Estimates_of_the_use_of_water__2000_2020[[#This Row],[year]],"")</f>
        <v>5</v>
      </c>
      <c r="D208">
        <v>60578.488279999998</v>
      </c>
      <c r="E208">
        <v>69.565002440000001</v>
      </c>
      <c r="F208">
        <v>99.91703407</v>
      </c>
      <c r="G208">
        <f>((F209-Estimates_of_the_use_of_water__2000_2020[[#This Row],[wat_bas_n]])/(B209-Estimates_of_the_use_of_water__2000_2020[[#This Row],[year]]))</f>
        <v>0</v>
      </c>
      <c r="H208">
        <f>((N209-Estimates_of_the_use_of_water__2000_2020[[#This Row],[wat_bas_r]])/(B209-Estimates_of_the_use_of_water__2000_2020[[#This Row],[year]]))</f>
        <v>0</v>
      </c>
      <c r="I208">
        <f>(R209-Estimates_of_the_use_of_water__2000_2020[[#This Row],[wat_bas_u]])/(B209-Estimates_of_the_use_of_water__2000_2020[[#This Row],[year]])</f>
        <v>0</v>
      </c>
      <c r="J208">
        <f>ABS(Estimates_of_the_use_of_water__2000_2020[[#This Row],[ARC_r]]-Estimates_of_the_use_of_water__2000_2020[[#This Row],[ARC_u]])</f>
        <v>0</v>
      </c>
      <c r="K208">
        <v>0</v>
      </c>
      <c r="L208">
        <v>8.2965925910000002E-2</v>
      </c>
      <c r="M208">
        <v>0</v>
      </c>
    </row>
    <row r="209" spans="1:21" x14ac:dyDescent="0.25">
      <c r="A209" s="1" t="s">
        <v>67</v>
      </c>
      <c r="B209">
        <v>2020</v>
      </c>
      <c r="C209" t="str">
        <f>IF(A210=Estimates_of_the_use_of_water__2000_2020[[#This Row],[name]], B210-Estimates_of_the_use_of_water__2000_2020[[#This Row],[year]],"")</f>
        <v/>
      </c>
      <c r="D209">
        <v>60461.828130000002</v>
      </c>
      <c r="E209">
        <v>71.038993840000003</v>
      </c>
      <c r="F209">
        <v>99.91703407</v>
      </c>
      <c r="G209">
        <f>((F210-Estimates_of_the_use_of_water__2000_2020[[#This Row],[wat_bas_n]])/(B210-Estimates_of_the_use_of_water__2000_2020[[#This Row],[year]]))</f>
        <v>1.9000475560000012</v>
      </c>
      <c r="H209">
        <f>((N210-Estimates_of_the_use_of_water__2000_2020[[#This Row],[wat_bas_r]])/(B210-Estimates_of_the_use_of_water__2000_2020[[#This Row],[year]]))</f>
        <v>-16.900141980000001</v>
      </c>
      <c r="I209">
        <f>(R210-Estimates_of_the_use_of_water__2000_2020[[#This Row],[wat_bas_u]])/(B210-Estimates_of_the_use_of_water__2000_2020[[#This Row],[year]])</f>
        <v>-19.057998047999998</v>
      </c>
      <c r="J209">
        <f>ABS(Estimates_of_the_use_of_water__2000_2020[[#This Row],[ARC_r]]-Estimates_of_the_use_of_water__2000_2020[[#This Row],[ARC_u]])</f>
        <v>2.1578560679999974</v>
      </c>
      <c r="K209">
        <v>0</v>
      </c>
      <c r="L209">
        <v>8.2965925910000002E-2</v>
      </c>
      <c r="M209">
        <v>0</v>
      </c>
    </row>
    <row r="210" spans="1:21" x14ac:dyDescent="0.25">
      <c r="A210" s="1" t="s">
        <v>181</v>
      </c>
      <c r="B210">
        <v>2015</v>
      </c>
      <c r="C210">
        <f>IF(A211=Estimates_of_the_use_of_water__2000_2020[[#This Row],[name]], B211-Estimates_of_the_use_of_water__2000_2020[[#This Row],[year]],"")</f>
        <v>5</v>
      </c>
      <c r="D210">
        <v>2891.0239259999998</v>
      </c>
      <c r="E210">
        <v>54.833004000000003</v>
      </c>
      <c r="F210">
        <v>90.416796289999994</v>
      </c>
      <c r="G210">
        <f>((F211-Estimates_of_the_use_of_water__2000_2020[[#This Row],[wat_bas_n]])/(B211-Estimates_of_the_use_of_water__2000_2020[[#This Row],[year]]))</f>
        <v>0.12262964200000112</v>
      </c>
      <c r="H210">
        <f>((N211-Estimates_of_the_use_of_water__2000_2020[[#This Row],[wat_bas_r]])/(B211-Estimates_of_the_use_of_water__2000_2020[[#This Row],[year]]))</f>
        <v>0.17984045199999912</v>
      </c>
      <c r="I210">
        <f>(R211-Estimates_of_the_use_of_water__2000_2020[[#This Row],[wat_bas_u]])/(B211-Estimates_of_the_use_of_water__2000_2020[[#This Row],[year]])</f>
        <v>2.1605134000000702E-2</v>
      </c>
      <c r="J210">
        <f>ABS(Estimates_of_the_use_of_water__2000_2020[[#This Row],[ARC_r]]-Estimates_of_the_use_of_water__2000_2020[[#This Row],[ARC_u]])</f>
        <v>0.15823531799999843</v>
      </c>
      <c r="K210">
        <v>5.4073366030000001</v>
      </c>
      <c r="L210">
        <v>2.169821217</v>
      </c>
      <c r="M210">
        <v>2.006045893</v>
      </c>
      <c r="N210">
        <v>84.500709900000004</v>
      </c>
      <c r="O210">
        <v>8.4013357529999997</v>
      </c>
      <c r="P210">
        <v>3.055395678</v>
      </c>
      <c r="Q210">
        <v>4.0425586710000001</v>
      </c>
      <c r="R210">
        <v>95.289990239999995</v>
      </c>
      <c r="S210">
        <v>2.9411220149999999</v>
      </c>
      <c r="T210">
        <v>1.440356529</v>
      </c>
      <c r="U210">
        <v>0.32853121530000001</v>
      </c>
    </row>
    <row r="211" spans="1:21" x14ac:dyDescent="0.25">
      <c r="A211" s="1" t="s">
        <v>181</v>
      </c>
      <c r="B211">
        <v>2020</v>
      </c>
      <c r="C211" t="str">
        <f>IF(A212=Estimates_of_the_use_of_water__2000_2020[[#This Row],[name]], B212-Estimates_of_the_use_of_water__2000_2020[[#This Row],[year]],"")</f>
        <v/>
      </c>
      <c r="D211">
        <v>2961.1608890000002</v>
      </c>
      <c r="E211">
        <v>56.311000819999997</v>
      </c>
      <c r="F211">
        <v>91.029944499999999</v>
      </c>
      <c r="G211">
        <f>((F212-Estimates_of_the_use_of_water__2000_2020[[#This Row],[wat_bas_n]])/(B212-Estimates_of_the_use_of_water__2000_2020[[#This Row],[year]]))</f>
        <v>-1.578572195999999</v>
      </c>
      <c r="H211">
        <f>((N212-Estimates_of_the_use_of_water__2000_2020[[#This Row],[wat_bas_r]])/(B212-Estimates_of_the_use_of_water__2000_2020[[#This Row],[year]]))</f>
        <v>17.079982432000001</v>
      </c>
      <c r="I211">
        <f>(R212-Estimates_of_the_use_of_water__2000_2020[[#This Row],[wat_bas_u]])/(B212-Estimates_of_the_use_of_water__2000_2020[[#This Row],[year]])</f>
        <v>19.079603182</v>
      </c>
      <c r="J211">
        <f>ABS(Estimates_of_the_use_of_water__2000_2020[[#This Row],[ARC_r]]-Estimates_of_the_use_of_water__2000_2020[[#This Row],[ARC_u]])</f>
        <v>1.9996207499999983</v>
      </c>
      <c r="K211">
        <v>5.3675709139999999</v>
      </c>
      <c r="L211">
        <v>1.8640102030000001</v>
      </c>
      <c r="M211">
        <v>1.7384743789999999</v>
      </c>
      <c r="N211">
        <v>85.39991216</v>
      </c>
      <c r="O211">
        <v>8.4907373709999998</v>
      </c>
      <c r="P211">
        <v>2.5689718949999998</v>
      </c>
      <c r="Q211">
        <v>3.540378574</v>
      </c>
      <c r="R211">
        <v>95.398015909999998</v>
      </c>
      <c r="S211">
        <v>2.944456223</v>
      </c>
      <c r="T211">
        <v>1.317064322</v>
      </c>
      <c r="U211">
        <v>0.34046355</v>
      </c>
    </row>
    <row r="212" spans="1:21" x14ac:dyDescent="0.25">
      <c r="A212" s="1" t="s">
        <v>101</v>
      </c>
      <c r="B212">
        <v>2015</v>
      </c>
      <c r="C212">
        <f>IF(A213=Estimates_of_the_use_of_water__2000_2020[[#This Row],[name]], B213-Estimates_of_the_use_of_water__2000_2020[[#This Row],[year]],"")</f>
        <v>5</v>
      </c>
      <c r="D212">
        <v>127985.1406</v>
      </c>
      <c r="E212">
        <v>91.380996699999997</v>
      </c>
      <c r="F212">
        <v>98.922805479999994</v>
      </c>
      <c r="G212">
        <f>((F213-Estimates_of_the_use_of_water__2000_2020[[#This Row],[wat_bas_n]])/(B213-Estimates_of_the_use_of_water__2000_2020[[#This Row],[year]]))</f>
        <v>3.1221394000002078E-2</v>
      </c>
      <c r="H212">
        <f>((N213-Estimates_of_the_use_of_water__2000_2020[[#This Row],[wat_bas_r]])/(B213-Estimates_of_the_use_of_water__2000_2020[[#This Row],[year]]))</f>
        <v>0</v>
      </c>
      <c r="I212">
        <f>(R213-Estimates_of_the_use_of_water__2000_2020[[#This Row],[wat_bas_u]])/(B213-Estimates_of_the_use_of_water__2000_2020[[#This Row],[year]])</f>
        <v>0</v>
      </c>
      <c r="J212">
        <f>ABS(Estimates_of_the_use_of_water__2000_2020[[#This Row],[ARC_r]]-Estimates_of_the_use_of_water__2000_2020[[#This Row],[ARC_u]])</f>
        <v>0</v>
      </c>
      <c r="K212">
        <v>0</v>
      </c>
      <c r="L212">
        <v>1.0771945169999999</v>
      </c>
      <c r="M212">
        <v>0</v>
      </c>
    </row>
    <row r="213" spans="1:21" x14ac:dyDescent="0.25">
      <c r="A213" s="1" t="s">
        <v>101</v>
      </c>
      <c r="B213">
        <v>2020</v>
      </c>
      <c r="C213" t="str">
        <f>IF(A214=Estimates_of_the_use_of_water__2000_2020[[#This Row],[name]], B214-Estimates_of_the_use_of_water__2000_2020[[#This Row],[year]],"")</f>
        <v/>
      </c>
      <c r="D213">
        <v>126476.46090000001</v>
      </c>
      <c r="E213">
        <v>91.781997680000003</v>
      </c>
      <c r="F213">
        <v>99.078912450000004</v>
      </c>
      <c r="G213">
        <f>((F214-Estimates_of_the_use_of_water__2000_2020[[#This Row],[wat_bas_n]])/(B214-Estimates_of_the_use_of_water__2000_2020[[#This Row],[year]]))</f>
        <v>1.4425508000002196E-2</v>
      </c>
      <c r="H213">
        <f>((N214-Estimates_of_the_use_of_water__2000_2020[[#This Row],[wat_bas_r]])/(B214-Estimates_of_the_use_of_water__2000_2020[[#This Row],[year]]))</f>
        <v>-19.472463078000001</v>
      </c>
      <c r="I213">
        <f>(R214-Estimates_of_the_use_of_water__2000_2020[[#This Row],[wat_bas_u]])/(B214-Estimates_of_the_use_of_water__2000_2020[[#This Row],[year]])</f>
        <v>-19.836863364000003</v>
      </c>
      <c r="J213">
        <f>ABS(Estimates_of_the_use_of_water__2000_2020[[#This Row],[ARC_r]]-Estimates_of_the_use_of_water__2000_2020[[#This Row],[ARC_u]])</f>
        <v>0.36440028600000218</v>
      </c>
      <c r="K213">
        <v>0</v>
      </c>
      <c r="L213">
        <v>0.92108754670000004</v>
      </c>
      <c r="M213">
        <v>0</v>
      </c>
    </row>
    <row r="214" spans="1:21" x14ac:dyDescent="0.25">
      <c r="A214" s="1" t="s">
        <v>103</v>
      </c>
      <c r="B214">
        <v>2015</v>
      </c>
      <c r="C214">
        <f>IF(A215=Estimates_of_the_use_of_water__2000_2020[[#This Row],[name]], B215-Estimates_of_the_use_of_water__2000_2020[[#This Row],[year]],"")</f>
        <v>5</v>
      </c>
      <c r="D214">
        <v>9266.5732420000004</v>
      </c>
      <c r="E214">
        <v>90.256004329999996</v>
      </c>
      <c r="F214">
        <v>99.006784909999993</v>
      </c>
      <c r="G214">
        <f>((F215-Estimates_of_the_use_of_water__2000_2020[[#This Row],[wat_bas_n]])/(B215-Estimates_of_the_use_of_water__2000_2020[[#This Row],[year]]))</f>
        <v>-1.3296389999999292E-2</v>
      </c>
      <c r="H214">
        <f>((N215-Estimates_of_the_use_of_water__2000_2020[[#This Row],[wat_bas_r]])/(B215-Estimates_of_the_use_of_water__2000_2020[[#This Row],[year]]))</f>
        <v>-1.0167340000000991E-2</v>
      </c>
      <c r="I214">
        <f>(R215-Estimates_of_the_use_of_water__2000_2020[[#This Row],[wat_bas_u]])/(B215-Estimates_of_the_use_of_water__2000_2020[[#This Row],[year]])</f>
        <v>-1.8220846000002667E-2</v>
      </c>
      <c r="J214">
        <f>ABS(Estimates_of_the_use_of_water__2000_2020[[#This Row],[ARC_r]]-Estimates_of_the_use_of_water__2000_2020[[#This Row],[ARC_u]])</f>
        <v>8.0535060000016759E-3</v>
      </c>
      <c r="K214">
        <v>0.15240298360000001</v>
      </c>
      <c r="L214">
        <v>0.78123116479999999</v>
      </c>
      <c r="M214">
        <v>5.958093834E-2</v>
      </c>
      <c r="N214">
        <v>97.362315390000006</v>
      </c>
      <c r="O214">
        <v>0.62427255179999996</v>
      </c>
      <c r="P214">
        <v>1.973552059</v>
      </c>
      <c r="Q214">
        <v>3.986E-2</v>
      </c>
      <c r="R214">
        <v>99.184316820000006</v>
      </c>
      <c r="S214">
        <v>0.10146013550000001</v>
      </c>
      <c r="T214">
        <v>0.65251304369999996</v>
      </c>
      <c r="U214">
        <v>6.1710000000000001E-2</v>
      </c>
    </row>
    <row r="215" spans="1:21" x14ac:dyDescent="0.25">
      <c r="A215" s="1" t="s">
        <v>103</v>
      </c>
      <c r="B215">
        <v>2020</v>
      </c>
      <c r="C215" t="str">
        <f>IF(A216=Estimates_of_the_use_of_water__2000_2020[[#This Row],[name]], B216-Estimates_of_the_use_of_water__2000_2020[[#This Row],[year]],"")</f>
        <v/>
      </c>
      <c r="D215">
        <v>10203.139649999999</v>
      </c>
      <c r="E215">
        <v>91.417999269999996</v>
      </c>
      <c r="F215">
        <v>98.940302959999997</v>
      </c>
      <c r="G215">
        <f>((F216-Estimates_of_the_use_of_water__2000_2020[[#This Row],[wat_bas_n]])/(B216-Estimates_of_the_use_of_water__2000_2020[[#This Row],[year]]))</f>
        <v>0.78299370999999951</v>
      </c>
      <c r="H215">
        <f>((N216-Estimates_of_the_use_of_water__2000_2020[[#This Row],[wat_bas_r]])/(B216-Estimates_of_the_use_of_water__2000_2020[[#This Row],[year]]))</f>
        <v>1.3127961700000015</v>
      </c>
      <c r="I215">
        <f>(R216-Estimates_of_the_use_of_water__2000_2020[[#This Row],[wat_bas_u]])/(B216-Estimates_of_the_use_of_water__2000_2020[[#This Row],[year]])</f>
        <v>0.17316055999999946</v>
      </c>
      <c r="J215">
        <f>ABS(Estimates_of_the_use_of_water__2000_2020[[#This Row],[ARC_r]]-Estimates_of_the_use_of_water__2000_2020[[#This Row],[ARC_u]])</f>
        <v>1.139635610000002</v>
      </c>
      <c r="K215">
        <v>0.1462147369</v>
      </c>
      <c r="L215">
        <v>0.8536474704</v>
      </c>
      <c r="M215">
        <v>5.9834831790000001E-2</v>
      </c>
      <c r="N215">
        <v>97.311478690000001</v>
      </c>
      <c r="O215">
        <v>0.62394659450000001</v>
      </c>
      <c r="P215">
        <v>2.0247147160000001</v>
      </c>
      <c r="Q215">
        <v>3.986E-2</v>
      </c>
      <c r="R215">
        <v>99.093212589999993</v>
      </c>
      <c r="S215">
        <v>0.1013669408</v>
      </c>
      <c r="T215">
        <v>0.74371047069999996</v>
      </c>
      <c r="U215">
        <v>6.1710000000000001E-2</v>
      </c>
    </row>
    <row r="216" spans="1:21" x14ac:dyDescent="0.25">
      <c r="A216" s="1" t="s">
        <v>148</v>
      </c>
      <c r="B216">
        <v>2015</v>
      </c>
      <c r="C216">
        <f>IF(A217=Estimates_of_the_use_of_water__2000_2020[[#This Row],[name]], B217-Estimates_of_the_use_of_water__2000_2020[[#This Row],[year]],"")</f>
        <v>5</v>
      </c>
      <c r="D216">
        <v>17572.009770000001</v>
      </c>
      <c r="E216">
        <v>57.191001890000003</v>
      </c>
      <c r="F216">
        <v>95.025334409999999</v>
      </c>
      <c r="G216">
        <f>((F217-Estimates_of_the_use_of_water__2000_2020[[#This Row],[wat_bas_n]])/(B217-Estimates_of_the_use_of_water__2000_2020[[#This Row],[year]]))</f>
        <v>8.1927182000001153E-2</v>
      </c>
      <c r="H216">
        <f>((N217-Estimates_of_the_use_of_water__2000_2020[[#This Row],[wat_bas_r]])/(B217-Estimates_of_the_use_of_water__2000_2020[[#This Row],[year]]))</f>
        <v>0.23835090000000037</v>
      </c>
      <c r="I216">
        <f>(R217-Estimates_of_the_use_of_water__2000_2020[[#This Row],[wat_bas_u]])/(B217-Estimates_of_the_use_of_water__2000_2020[[#This Row],[year]])</f>
        <v>-4.5335692000000448E-2</v>
      </c>
      <c r="J216">
        <f>ABS(Estimates_of_the_use_of_water__2000_2020[[#This Row],[ARC_r]]-Estimates_of_the_use_of_water__2000_2020[[#This Row],[ARC_u]])</f>
        <v>0.28368659200000079</v>
      </c>
      <c r="K216">
        <v>1.812908425</v>
      </c>
      <c r="L216">
        <v>2.9043926519999999</v>
      </c>
      <c r="M216">
        <v>0.25736451110000003</v>
      </c>
      <c r="N216">
        <v>90.747497839999994</v>
      </c>
      <c r="O216">
        <v>1.8667718499999999</v>
      </c>
      <c r="P216">
        <v>6.7845377490000001</v>
      </c>
      <c r="Q216">
        <v>0.60119255559999996</v>
      </c>
      <c r="R216">
        <v>98.227409789999996</v>
      </c>
      <c r="S216">
        <v>1.7725902060000001</v>
      </c>
      <c r="T216">
        <v>0</v>
      </c>
      <c r="U216">
        <v>0</v>
      </c>
    </row>
    <row r="217" spans="1:21" x14ac:dyDescent="0.25">
      <c r="A217" s="1" t="s">
        <v>148</v>
      </c>
      <c r="B217">
        <v>2020</v>
      </c>
      <c r="C217" t="str">
        <f>IF(A218=Estimates_of_the_use_of_water__2000_2020[[#This Row],[name]], B218-Estimates_of_the_use_of_water__2000_2020[[#This Row],[year]],"")</f>
        <v/>
      </c>
      <c r="D217">
        <v>18776.707030000001</v>
      </c>
      <c r="E217">
        <v>57.671001429999997</v>
      </c>
      <c r="F217">
        <v>95.434970320000005</v>
      </c>
      <c r="G217">
        <f>((F218-Estimates_of_the_use_of_water__2000_2020[[#This Row],[wat_bas_n]])/(B218-Estimates_of_the_use_of_water__2000_2020[[#This Row],[year]]))</f>
        <v>7.4476084680000012</v>
      </c>
      <c r="H217">
        <f>((N218-Estimates_of_the_use_of_water__2000_2020[[#This Row],[wat_bas_r]])/(B218-Estimates_of_the_use_of_water__2000_2020[[#This Row],[year]]))</f>
        <v>8.7334180859999986</v>
      </c>
      <c r="I217">
        <f>(R218-Estimates_of_the_use_of_water__2000_2020[[#This Row],[wat_bas_u]])/(B218-Estimates_of_the_use_of_water__2000_2020[[#This Row],[year]])</f>
        <v>2.2095166819999976</v>
      </c>
      <c r="J217">
        <f>ABS(Estimates_of_the_use_of_water__2000_2020[[#This Row],[ARC_r]]-Estimates_of_the_use_of_water__2000_2020[[#This Row],[ARC_u]])</f>
        <v>6.523901404000001</v>
      </c>
      <c r="K217">
        <v>1.9414250390000001</v>
      </c>
      <c r="L217">
        <v>2.5459569339999999</v>
      </c>
      <c r="M217">
        <v>7.7647704710000001E-2</v>
      </c>
      <c r="N217">
        <v>91.939252339999996</v>
      </c>
      <c r="O217">
        <v>1.862616064</v>
      </c>
      <c r="P217">
        <v>6.0146930489999999</v>
      </c>
      <c r="Q217">
        <v>0.18343854379999999</v>
      </c>
      <c r="R217">
        <v>98.000731329999994</v>
      </c>
      <c r="S217">
        <v>1.999268673</v>
      </c>
      <c r="T217">
        <v>0</v>
      </c>
      <c r="U217">
        <v>0</v>
      </c>
    </row>
    <row r="218" spans="1:21" x14ac:dyDescent="0.25">
      <c r="A218" s="1" t="s">
        <v>228</v>
      </c>
      <c r="B218">
        <v>2015</v>
      </c>
      <c r="C218">
        <f>IF(A219=Estimates_of_the_use_of_water__2000_2020[[#This Row],[name]], B219-Estimates_of_the_use_of_water__2000_2020[[#This Row],[year]],"")</f>
        <v>5</v>
      </c>
      <c r="D218">
        <v>47878.339840000001</v>
      </c>
      <c r="E218">
        <v>25.65799904</v>
      </c>
      <c r="F218">
        <v>58.196927979999998</v>
      </c>
      <c r="G218">
        <f>((F219-Estimates_of_the_use_of_water__2000_2020[[#This Row],[wat_bas_n]])/(B219-Estimates_of_the_use_of_water__2000_2020[[#This Row],[year]]))</f>
        <v>0.6871927200000002</v>
      </c>
      <c r="H218">
        <f>((N219-Estimates_of_the_use_of_water__2000_2020[[#This Row],[wat_bas_r]])/(B219-Estimates_of_the_use_of_water__2000_2020[[#This Row],[year]]))</f>
        <v>0.7015634039999995</v>
      </c>
      <c r="I218">
        <f>(R219-Estimates_of_the_use_of_water__2000_2020[[#This Row],[wat_bas_u]])/(B219-Estimates_of_the_use_of_water__2000_2020[[#This Row],[year]])</f>
        <v>4.4167059999978163E-3</v>
      </c>
      <c r="J218">
        <f>ABS(Estimates_of_the_use_of_water__2000_2020[[#This Row],[ARC_r]]-Estimates_of_the_use_of_water__2000_2020[[#This Row],[ARC_u]])</f>
        <v>0.69714669800000173</v>
      </c>
      <c r="K218">
        <v>8.7967539769999998</v>
      </c>
      <c r="L218">
        <v>11.522918349999999</v>
      </c>
      <c r="M218">
        <v>21.483399689999999</v>
      </c>
      <c r="N218">
        <v>48.272161910000001</v>
      </c>
      <c r="O218">
        <v>10.37313934</v>
      </c>
      <c r="P218">
        <v>14.21683468</v>
      </c>
      <c r="Q218">
        <v>27.13786408</v>
      </c>
      <c r="R218">
        <v>86.953147920000006</v>
      </c>
      <c r="S218">
        <v>4.2293042700000001</v>
      </c>
      <c r="T218">
        <v>3.7175043830000001</v>
      </c>
      <c r="U218">
        <v>5.1000434290000003</v>
      </c>
    </row>
    <row r="219" spans="1:21" x14ac:dyDescent="0.25">
      <c r="A219" s="1" t="s">
        <v>228</v>
      </c>
      <c r="B219">
        <v>2020</v>
      </c>
      <c r="C219" t="str">
        <f>IF(A220=Estimates_of_the_use_of_water__2000_2020[[#This Row],[name]], B220-Estimates_of_the_use_of_water__2000_2020[[#This Row],[year]],"")</f>
        <v/>
      </c>
      <c r="D219">
        <v>53771.300779999998</v>
      </c>
      <c r="E219">
        <v>27.994998930000001</v>
      </c>
      <c r="F219">
        <v>61.632891579999999</v>
      </c>
      <c r="G219">
        <f>((F220-Estimates_of_the_use_of_water__2000_2020[[#This Row],[wat_bas_n]])/(B220-Estimates_of_the_use_of_water__2000_2020[[#This Row],[year]]))</f>
        <v>-2.4430410019999997</v>
      </c>
      <c r="H219">
        <f>((N220-Estimates_of_the_use_of_water__2000_2020[[#This Row],[wat_bas_r]])/(B220-Estimates_of_the_use_of_water__2000_2020[[#This Row],[year]]))</f>
        <v>-1.2284547320000001</v>
      </c>
      <c r="I219">
        <f>(R220-Estimates_of_the_use_of_water__2000_2020[[#This Row],[wat_bas_u]])/(B220-Estimates_of_the_use_of_water__2000_2020[[#This Row],[year]])</f>
        <v>-0.35994011000000226</v>
      </c>
      <c r="J219">
        <f>ABS(Estimates_of_the_use_of_water__2000_2020[[#This Row],[ARC_r]]-Estimates_of_the_use_of_water__2000_2020[[#This Row],[ARC_u]])</f>
        <v>0.86851462199999785</v>
      </c>
      <c r="K219">
        <v>9.54187005</v>
      </c>
      <c r="L219">
        <v>9.7800875240000007</v>
      </c>
      <c r="M219">
        <v>19.045150840000002</v>
      </c>
      <c r="N219">
        <v>51.779978929999999</v>
      </c>
      <c r="O219">
        <v>11.569004189999999</v>
      </c>
      <c r="P219">
        <v>12.519113219999999</v>
      </c>
      <c r="Q219">
        <v>24.131903659999999</v>
      </c>
      <c r="R219">
        <v>86.975231449999995</v>
      </c>
      <c r="S219">
        <v>4.327944725</v>
      </c>
      <c r="T219">
        <v>2.7351426299999999</v>
      </c>
      <c r="U219">
        <v>5.9616811930000004</v>
      </c>
    </row>
    <row r="220" spans="1:21" x14ac:dyDescent="0.25">
      <c r="A220" s="1" t="s">
        <v>204</v>
      </c>
      <c r="B220">
        <v>2015</v>
      </c>
      <c r="C220">
        <f>IF(A221=Estimates_of_the_use_of_water__2000_2020[[#This Row],[name]], B221-Estimates_of_the_use_of_water__2000_2020[[#This Row],[year]],"")</f>
        <v>5</v>
      </c>
      <c r="D220">
        <v>110.927002</v>
      </c>
      <c r="E220">
        <v>51.618999479999999</v>
      </c>
      <c r="F220">
        <v>73.848096589999997</v>
      </c>
      <c r="G220">
        <f>((F221-Estimates_of_the_use_of_water__2000_2020[[#This Row],[wat_bas_n]])/(B221-Estimates_of_the_use_of_water__2000_2020[[#This Row],[year]]))</f>
        <v>0.82456485200000029</v>
      </c>
      <c r="H220">
        <f>((N221-Estimates_of_the_use_of_water__2000_2020[[#This Row],[wat_bas_r]])/(B221-Estimates_of_the_use_of_water__2000_2020[[#This Row],[year]]))</f>
        <v>0.61438646000000008</v>
      </c>
      <c r="I220">
        <f>(R221-Estimates_of_the_use_of_water__2000_2020[[#This Row],[wat_bas_u]])/(B221-Estimates_of_the_use_of_water__2000_2020[[#This Row],[year]])</f>
        <v>0.55124856999999849</v>
      </c>
      <c r="J220">
        <f>ABS(Estimates_of_the_use_of_water__2000_2020[[#This Row],[ARC_r]]-Estimates_of_the_use_of_water__2000_2020[[#This Row],[ARC_u]])</f>
        <v>6.3137890000001584E-2</v>
      </c>
      <c r="K220">
        <v>2.3408915690000001</v>
      </c>
      <c r="L220">
        <v>23.811011839999999</v>
      </c>
      <c r="M220">
        <v>0</v>
      </c>
      <c r="N220">
        <v>57.922252589999999</v>
      </c>
      <c r="O220">
        <v>1.6395879280000001</v>
      </c>
      <c r="P220">
        <v>40.438159480000003</v>
      </c>
      <c r="Q220">
        <v>0</v>
      </c>
      <c r="R220">
        <v>88.774932000000007</v>
      </c>
      <c r="S220">
        <v>2.9982032959999998</v>
      </c>
      <c r="T220">
        <v>8.2268647060000006</v>
      </c>
      <c r="U220">
        <v>0</v>
      </c>
    </row>
    <row r="221" spans="1:21" x14ac:dyDescent="0.25">
      <c r="A221" s="1" t="s">
        <v>204</v>
      </c>
      <c r="B221">
        <v>2020</v>
      </c>
      <c r="C221" t="str">
        <f>IF(A222=Estimates_of_the_use_of_water__2000_2020[[#This Row],[name]], B222-Estimates_of_the_use_of_water__2000_2020[[#This Row],[year]],"")</f>
        <v/>
      </c>
      <c r="D221">
        <v>119.44599909999999</v>
      </c>
      <c r="E221">
        <v>55.593997960000003</v>
      </c>
      <c r="F221">
        <v>77.970920849999999</v>
      </c>
      <c r="G221">
        <f>((F222-Estimates_of_the_use_of_water__2000_2020[[#This Row],[wat_bas_n]])/(B222-Estimates_of_the_use_of_water__2000_2020[[#This Row],[year]]))</f>
        <v>-4.4058158299999999</v>
      </c>
      <c r="H221">
        <f>((N222-Estimates_of_the_use_of_water__2000_2020[[#This Row],[wat_bas_r]])/(B222-Estimates_of_the_use_of_water__2000_2020[[#This Row],[year]]))</f>
        <v>12.198836977999999</v>
      </c>
      <c r="I221">
        <f>(R222-Estimates_of_the_use_of_water__2000_2020[[#This Row],[wat_bas_u]])/(B222-Estimates_of_the_use_of_water__2000_2020[[#This Row],[year]])</f>
        <v>18.306234969999998</v>
      </c>
      <c r="J221">
        <f>ABS(Estimates_of_the_use_of_water__2000_2020[[#This Row],[ARC_r]]-Estimates_of_the_use_of_water__2000_2020[[#This Row],[ARC_u]])</f>
        <v>6.1073979919999992</v>
      </c>
      <c r="K221">
        <v>4.0768996250000002</v>
      </c>
      <c r="L221">
        <v>17.952179529999999</v>
      </c>
      <c r="M221">
        <v>0</v>
      </c>
      <c r="N221">
        <v>60.99418489</v>
      </c>
      <c r="O221">
        <v>2.0966097989999999</v>
      </c>
      <c r="P221">
        <v>36.909205319999998</v>
      </c>
      <c r="Q221">
        <v>0</v>
      </c>
      <c r="R221">
        <v>91.531174849999999</v>
      </c>
      <c r="S221">
        <v>5.6586664610000001</v>
      </c>
      <c r="T221">
        <v>2.8101586909999998</v>
      </c>
      <c r="U221">
        <v>0</v>
      </c>
    </row>
    <row r="222" spans="1:21" x14ac:dyDescent="0.25">
      <c r="A222" s="1" t="s">
        <v>45</v>
      </c>
      <c r="B222">
        <v>2015</v>
      </c>
      <c r="C222">
        <f>IF(A223=Estimates_of_the_use_of_water__2000_2020[[#This Row],[name]], B223-Estimates_of_the_use_of_water__2000_2020[[#This Row],[year]],"")</f>
        <v>5</v>
      </c>
      <c r="D222">
        <v>3835.5878910000001</v>
      </c>
      <c r="E222">
        <v>100</v>
      </c>
      <c r="F222">
        <v>100</v>
      </c>
      <c r="G222">
        <f>((F223-Estimates_of_the_use_of_water__2000_2020[[#This Row],[wat_bas_n]])/(B223-Estimates_of_the_use_of_water__2000_2020[[#This Row],[year]]))</f>
        <v>0</v>
      </c>
      <c r="H222">
        <f>((N223-Estimates_of_the_use_of_water__2000_2020[[#This Row],[wat_bas_r]])/(B223-Estimates_of_the_use_of_water__2000_2020[[#This Row],[year]]))</f>
        <v>0</v>
      </c>
      <c r="I222">
        <f>(R223-Estimates_of_the_use_of_water__2000_2020[[#This Row],[wat_bas_u]])/(B223-Estimates_of_the_use_of_water__2000_2020[[#This Row],[year]])</f>
        <v>0</v>
      </c>
      <c r="J222">
        <f>ABS(Estimates_of_the_use_of_water__2000_2020[[#This Row],[ARC_r]]-Estimates_of_the_use_of_water__2000_2020[[#This Row],[ARC_u]])</f>
        <v>0</v>
      </c>
      <c r="K222">
        <v>0</v>
      </c>
      <c r="L222">
        <v>0</v>
      </c>
      <c r="M222">
        <v>0</v>
      </c>
    </row>
    <row r="223" spans="1:21" x14ac:dyDescent="0.25">
      <c r="A223" s="1" t="s">
        <v>45</v>
      </c>
      <c r="B223">
        <v>2020</v>
      </c>
      <c r="C223" t="str">
        <f>IF(A224=Estimates_of_the_use_of_water__2000_2020[[#This Row],[name]], B224-Estimates_of_the_use_of_water__2000_2020[[#This Row],[year]],"")</f>
        <v/>
      </c>
      <c r="D223">
        <v>4270.5629879999997</v>
      </c>
      <c r="E223">
        <v>100</v>
      </c>
      <c r="F223">
        <v>100</v>
      </c>
      <c r="G223">
        <f>((F224-Estimates_of_the_use_of_water__2000_2020[[#This Row],[wat_bas_n]])/(B224-Estimates_of_the_use_of_water__2000_2020[[#This Row],[year]]))</f>
        <v>2.3116477500000001</v>
      </c>
      <c r="H223">
        <f>((N224-Estimates_of_the_use_of_water__2000_2020[[#This Row],[wat_bas_r]])/(B224-Estimates_of_the_use_of_water__2000_2020[[#This Row],[year]]))</f>
        <v>-16.621043528000001</v>
      </c>
      <c r="I223">
        <f>(R224-Estimates_of_the_use_of_water__2000_2020[[#This Row],[wat_bas_u]])/(B224-Estimates_of_the_use_of_water__2000_2020[[#This Row],[year]])</f>
        <v>-19.604269289999998</v>
      </c>
      <c r="J223">
        <f>ABS(Estimates_of_the_use_of_water__2000_2020[[#This Row],[ARC_r]]-Estimates_of_the_use_of_water__2000_2020[[#This Row],[ARC_u]])</f>
        <v>2.9832257619999965</v>
      </c>
      <c r="K223">
        <v>0</v>
      </c>
      <c r="L223">
        <v>0</v>
      </c>
      <c r="M223">
        <v>0</v>
      </c>
    </row>
    <row r="224" spans="1:21" x14ac:dyDescent="0.25">
      <c r="A224" s="1" t="s">
        <v>178</v>
      </c>
      <c r="B224">
        <v>2015</v>
      </c>
      <c r="C224">
        <f>IF(A225=Estimates_of_the_use_of_water__2000_2020[[#This Row],[name]], B225-Estimates_of_the_use_of_water__2000_2020[[#This Row],[year]],"")</f>
        <v>5</v>
      </c>
      <c r="D224">
        <v>5959.1259769999997</v>
      </c>
      <c r="E224">
        <v>35.777000430000001</v>
      </c>
      <c r="F224">
        <v>88.441761249999999</v>
      </c>
      <c r="G224">
        <f>((F225-Estimates_of_the_use_of_water__2000_2020[[#This Row],[wat_bas_n]])/(B225-Estimates_of_the_use_of_water__2000_2020[[#This Row],[year]]))</f>
        <v>0.65150879400000006</v>
      </c>
      <c r="H224">
        <f>((N225-Estimates_of_the_use_of_water__2000_2020[[#This Row],[wat_bas_r]])/(B225-Estimates_of_the_use_of_water__2000_2020[[#This Row],[year]]))</f>
        <v>0.83064227200000007</v>
      </c>
      <c r="I224">
        <f>(R225-Estimates_of_the_use_of_water__2000_2020[[#This Row],[wat_bas_u]])/(B225-Estimates_of_the_use_of_water__2000_2020[[#This Row],[year]])</f>
        <v>0.25726917199999944</v>
      </c>
      <c r="J224">
        <f>ABS(Estimates_of_the_use_of_water__2000_2020[[#This Row],[ARC_r]]-Estimates_of_the_use_of_water__2000_2020[[#This Row],[ARC_u]])</f>
        <v>0.57337310000000064</v>
      </c>
      <c r="K224">
        <v>1.7899358359999999</v>
      </c>
      <c r="L224">
        <v>2.2480629049999998</v>
      </c>
      <c r="M224">
        <v>7.5202400129999996</v>
      </c>
      <c r="N224">
        <v>83.105217640000006</v>
      </c>
      <c r="O224">
        <v>2.4159736540000001</v>
      </c>
      <c r="P224">
        <v>3.3531687830000001</v>
      </c>
      <c r="Q224">
        <v>11.12563993</v>
      </c>
      <c r="R224">
        <v>98.021346449999996</v>
      </c>
      <c r="S224">
        <v>0.66614053719999999</v>
      </c>
      <c r="T224">
        <v>0.26429650360000001</v>
      </c>
      <c r="U224">
        <v>1.04821651</v>
      </c>
    </row>
    <row r="225" spans="1:21" x14ac:dyDescent="0.25">
      <c r="A225" s="1" t="s">
        <v>178</v>
      </c>
      <c r="B225">
        <v>2020</v>
      </c>
      <c r="C225" t="str">
        <f>IF(A226=Estimates_of_the_use_of_water__2000_2020[[#This Row],[name]], B226-Estimates_of_the_use_of_water__2000_2020[[#This Row],[year]],"")</f>
        <v/>
      </c>
      <c r="D225">
        <v>6524.1909180000002</v>
      </c>
      <c r="E225">
        <v>36.855998990000003</v>
      </c>
      <c r="F225">
        <v>91.699305219999999</v>
      </c>
      <c r="G225">
        <f>((F226-Estimates_of_the_use_of_water__2000_2020[[#This Row],[wat_bas_n]])/(B226-Estimates_of_the_use_of_water__2000_2020[[#This Row],[year]]))</f>
        <v>2.8477466020000008</v>
      </c>
      <c r="H225">
        <f>((N226-Estimates_of_the_use_of_water__2000_2020[[#This Row],[wat_bas_r]])/(B226-Estimates_of_the_use_of_water__2000_2020[[#This Row],[year]]))</f>
        <v>3.4037484900000008</v>
      </c>
      <c r="I225">
        <f>(R226-Estimates_of_the_use_of_water__2000_2020[[#This Row],[wat_bas_u]])/(B226-Estimates_of_the_use_of_water__2000_2020[[#This Row],[year]])</f>
        <v>1.4515824659999992</v>
      </c>
      <c r="J225">
        <f>ABS(Estimates_of_the_use_of_water__2000_2020[[#This Row],[ARC_r]]-Estimates_of_the_use_of_water__2000_2020[[#This Row],[ARC_u]])</f>
        <v>1.9521660240000016</v>
      </c>
      <c r="K225">
        <v>1.900734111</v>
      </c>
      <c r="L225">
        <v>1.8656486999999999</v>
      </c>
      <c r="M225">
        <v>4.5343119649999997</v>
      </c>
      <c r="N225">
        <v>87.258429000000007</v>
      </c>
      <c r="O225">
        <v>2.606070485</v>
      </c>
      <c r="P225">
        <v>2.9545936840000002</v>
      </c>
      <c r="Q225">
        <v>7.1809068319999998</v>
      </c>
      <c r="R225">
        <v>99.307692309999993</v>
      </c>
      <c r="S225">
        <v>0.6923076923</v>
      </c>
      <c r="T225">
        <v>0</v>
      </c>
      <c r="U225">
        <v>0</v>
      </c>
    </row>
    <row r="226" spans="1:21" x14ac:dyDescent="0.25">
      <c r="A226" s="1" t="s">
        <v>194</v>
      </c>
      <c r="B226">
        <v>2015</v>
      </c>
      <c r="C226">
        <f>IF(A227=Estimates_of_the_use_of_water__2000_2020[[#This Row],[name]], B227-Estimates_of_the_use_of_water__2000_2020[[#This Row],[year]],"")</f>
        <v>5</v>
      </c>
      <c r="D226">
        <v>6741.1601559999999</v>
      </c>
      <c r="E226">
        <v>33.10799789</v>
      </c>
      <c r="F226">
        <v>77.460572209999995</v>
      </c>
      <c r="G226">
        <f>((F227-Estimates_of_the_use_of_water__2000_2020[[#This Row],[wat_bas_n]])/(B227-Estimates_of_the_use_of_water__2000_2020[[#This Row],[year]]))</f>
        <v>1.551834194</v>
      </c>
      <c r="H226">
        <f>((N227-Estimates_of_the_use_of_water__2000_2020[[#This Row],[wat_bas_r]])/(B227-Estimates_of_the_use_of_water__2000_2020[[#This Row],[year]]))</f>
        <v>1.6466545739999987</v>
      </c>
      <c r="I226">
        <f>(R227-Estimates_of_the_use_of_water__2000_2020[[#This Row],[wat_bas_u]])/(B227-Estimates_of_the_use_of_water__2000_2020[[#This Row],[year]])</f>
        <v>1.0028964480000013</v>
      </c>
      <c r="J226">
        <f>ABS(Estimates_of_the_use_of_water__2000_2020[[#This Row],[ARC_r]]-Estimates_of_the_use_of_water__2000_2020[[#This Row],[ARC_u]])</f>
        <v>0.64375812599999738</v>
      </c>
      <c r="K226">
        <v>3.0523403340000002</v>
      </c>
      <c r="L226">
        <v>14.22792235</v>
      </c>
      <c r="M226">
        <v>5.2591651080000004</v>
      </c>
      <c r="N226">
        <v>70.239686550000002</v>
      </c>
      <c r="O226">
        <v>4.1702933629999999</v>
      </c>
      <c r="P226">
        <v>18.202221389999998</v>
      </c>
      <c r="Q226">
        <v>7.3877986939999998</v>
      </c>
      <c r="R226">
        <v>92.049779979999997</v>
      </c>
      <c r="S226">
        <v>0.79360784900000003</v>
      </c>
      <c r="T226">
        <v>6.1981767950000002</v>
      </c>
      <c r="U226">
        <v>0.95843537109999999</v>
      </c>
    </row>
    <row r="227" spans="1:21" x14ac:dyDescent="0.25">
      <c r="A227" s="1" t="s">
        <v>194</v>
      </c>
      <c r="B227">
        <v>2020</v>
      </c>
      <c r="C227" t="str">
        <f>IF(A228=Estimates_of_the_use_of_water__2000_2020[[#This Row],[name]], B228-Estimates_of_the_use_of_water__2000_2020[[#This Row],[year]],"")</f>
        <v/>
      </c>
      <c r="D227">
        <v>7275.5561520000001</v>
      </c>
      <c r="E227">
        <v>36.290000919999997</v>
      </c>
      <c r="F227">
        <v>85.219743179999995</v>
      </c>
      <c r="G227">
        <f>((F228-Estimates_of_the_use_of_water__2000_2020[[#This Row],[wat_bas_n]])/(B228-Estimates_of_the_use_of_water__2000_2020[[#This Row],[year]]))</f>
        <v>-2.6610748200000018</v>
      </c>
      <c r="H227">
        <f>((N228-Estimates_of_the_use_of_water__2000_2020[[#This Row],[wat_bas_r]])/(B228-Estimates_of_the_use_of_water__2000_2020[[#This Row],[year]]))</f>
        <v>-3.8763519180000001</v>
      </c>
      <c r="I227">
        <f>(R228-Estimates_of_the_use_of_water__2000_2020[[#This Row],[wat_bas_u]])/(B228-Estimates_of_the_use_of_water__2000_2020[[#This Row],[year]])</f>
        <v>-0.35532622399999808</v>
      </c>
      <c r="J227">
        <f>ABS(Estimates_of_the_use_of_water__2000_2020[[#This Row],[ARC_r]]-Estimates_of_the_use_of_water__2000_2020[[#This Row],[ARC_u]])</f>
        <v>3.5210256940000022</v>
      </c>
      <c r="K227">
        <v>3.566857739</v>
      </c>
      <c r="L227">
        <v>10.62886799</v>
      </c>
      <c r="M227">
        <v>0.58453109380000001</v>
      </c>
      <c r="N227">
        <v>78.472959419999995</v>
      </c>
      <c r="O227">
        <v>5.5985837859999998</v>
      </c>
      <c r="P227">
        <v>15.010969599999999</v>
      </c>
      <c r="Q227">
        <v>0.91748719570000004</v>
      </c>
      <c r="R227">
        <v>97.064262220000003</v>
      </c>
      <c r="S227">
        <v>0</v>
      </c>
      <c r="T227">
        <v>2.935737778</v>
      </c>
      <c r="U227">
        <v>0</v>
      </c>
    </row>
    <row r="228" spans="1:21" x14ac:dyDescent="0.25">
      <c r="A228" s="1" t="s">
        <v>107</v>
      </c>
      <c r="B228">
        <v>2015</v>
      </c>
      <c r="C228">
        <f>IF(A229=Estimates_of_the_use_of_water__2000_2020[[#This Row],[name]], B229-Estimates_of_the_use_of_water__2000_2020[[#This Row],[year]],"")</f>
        <v>5</v>
      </c>
      <c r="D228">
        <v>1997.6750489999999</v>
      </c>
      <c r="E228">
        <v>67.979995729999999</v>
      </c>
      <c r="F228">
        <v>98.525117280000003</v>
      </c>
      <c r="G228">
        <f>((F229-Estimates_of_the_use_of_water__2000_2020[[#This Row],[wat_bas_n]])/(B229-Estimates_of_the_use_of_water__2000_2020[[#This Row],[year]]))</f>
        <v>5.14967740000003E-2</v>
      </c>
      <c r="H228">
        <f>((N229-Estimates_of_the_use_of_water__2000_2020[[#This Row],[wat_bas_r]])/(B229-Estimates_of_the_use_of_water__2000_2020[[#This Row],[year]]))</f>
        <v>0.14490082599999993</v>
      </c>
      <c r="I228">
        <f>(R229-Estimates_of_the_use_of_water__2000_2020[[#This Row],[wat_bas_u]])/(B229-Estimates_of_the_use_of_water__2000_2020[[#This Row],[year]])</f>
        <v>7.206270000000359E-3</v>
      </c>
      <c r="J228">
        <f>ABS(Estimates_of_the_use_of_water__2000_2020[[#This Row],[ARC_r]]-Estimates_of_the_use_of_water__2000_2020[[#This Row],[ARC_u]])</f>
        <v>0.13769455599999958</v>
      </c>
      <c r="K228">
        <v>0.67870742309999998</v>
      </c>
      <c r="L228">
        <v>0.79617529310000001</v>
      </c>
      <c r="M228">
        <v>0</v>
      </c>
      <c r="N228">
        <v>97.854719009999997</v>
      </c>
      <c r="O228">
        <v>0</v>
      </c>
      <c r="P228">
        <v>2.145280992</v>
      </c>
      <c r="Q228">
        <v>0</v>
      </c>
      <c r="R228">
        <v>98.840893339999994</v>
      </c>
      <c r="S228">
        <v>0.99839286199999999</v>
      </c>
      <c r="T228">
        <v>0.1607138001</v>
      </c>
      <c r="U228">
        <v>0</v>
      </c>
    </row>
    <row r="229" spans="1:21" x14ac:dyDescent="0.25">
      <c r="A229" s="1" t="s">
        <v>107</v>
      </c>
      <c r="B229">
        <v>2020</v>
      </c>
      <c r="C229" t="str">
        <f>IF(A230=Estimates_of_the_use_of_water__2000_2020[[#This Row],[name]], B230-Estimates_of_the_use_of_water__2000_2020[[#This Row],[year]],"")</f>
        <v/>
      </c>
      <c r="D229">
        <v>1886.2020259999999</v>
      </c>
      <c r="E229">
        <v>68.315002440000001</v>
      </c>
      <c r="F229">
        <v>98.782601150000005</v>
      </c>
      <c r="G229">
        <f>((F230-Estimates_of_the_use_of_water__2000_2020[[#This Row],[wat_bas_n]])/(B230-Estimates_of_the_use_of_water__2000_2020[[#This Row],[year]]))</f>
        <v>1.5116557280000023</v>
      </c>
      <c r="H229">
        <f>((N230-Estimates_of_the_use_of_water__2000_2020[[#This Row],[wat_bas_r]])/(B230-Estimates_of_the_use_of_water__2000_2020[[#This Row],[year]]))</f>
        <v>19.715844627999999</v>
      </c>
      <c r="I229">
        <f>(R230-Estimates_of_the_use_of_water__2000_2020[[#This Row],[wat_bas_u]])/(B230-Estimates_of_the_use_of_water__2000_2020[[#This Row],[year]])</f>
        <v>19.775384937999998</v>
      </c>
      <c r="J229">
        <f>ABS(Estimates_of_the_use_of_water__2000_2020[[#This Row],[ARC_r]]-Estimates_of_the_use_of_water__2000_2020[[#This Row],[ARC_u]])</f>
        <v>5.9540309999999153E-2</v>
      </c>
      <c r="K229">
        <v>0.68230074240000005</v>
      </c>
      <c r="L229">
        <v>0.53509810369999999</v>
      </c>
      <c r="M229">
        <v>0</v>
      </c>
      <c r="N229">
        <v>98.579223139999996</v>
      </c>
      <c r="O229">
        <v>0</v>
      </c>
      <c r="P229">
        <v>1.4207768599999999</v>
      </c>
      <c r="Q229">
        <v>0</v>
      </c>
      <c r="R229">
        <v>98.876924689999996</v>
      </c>
      <c r="S229">
        <v>0.99875681510000003</v>
      </c>
      <c r="T229">
        <v>0.1243184908</v>
      </c>
      <c r="U229">
        <v>0</v>
      </c>
    </row>
    <row r="230" spans="1:21" x14ac:dyDescent="0.25">
      <c r="A230" s="1" t="s">
        <v>172</v>
      </c>
      <c r="B230">
        <v>2015</v>
      </c>
      <c r="C230">
        <f>IF(A231=Estimates_of_the_use_of_water__2000_2020[[#This Row],[name]], B231-Estimates_of_the_use_of_water__2000_2020[[#This Row],[year]],"")</f>
        <v>5</v>
      </c>
      <c r="D230">
        <v>6532.6811520000001</v>
      </c>
      <c r="E230">
        <v>88.106002810000007</v>
      </c>
      <c r="F230">
        <v>91.224322509999993</v>
      </c>
      <c r="G230">
        <f>((F231-Estimates_of_the_use_of_water__2000_2020[[#This Row],[wat_bas_n]])/(B231-Estimates_of_the_use_of_water__2000_2020[[#This Row],[year]]))</f>
        <v>0.2751354980000002</v>
      </c>
      <c r="H230">
        <f>((N231-Estimates_of_the_use_of_water__2000_2020[[#This Row],[wat_bas_r]])/(B231-Estimates_of_the_use_of_water__2000_2020[[#This Row],[year]]))</f>
        <v>0</v>
      </c>
      <c r="I230">
        <f>(R231-Estimates_of_the_use_of_water__2000_2020[[#This Row],[wat_bas_u]])/(B231-Estimates_of_the_use_of_water__2000_2020[[#This Row],[year]])</f>
        <v>0</v>
      </c>
      <c r="J230">
        <f>ABS(Estimates_of_the_use_of_water__2000_2020[[#This Row],[ARC_r]]-Estimates_of_the_use_of_water__2000_2020[[#This Row],[ARC_u]])</f>
        <v>0</v>
      </c>
      <c r="K230">
        <v>7.2900646499999997</v>
      </c>
      <c r="L230">
        <v>1.3401928400000001</v>
      </c>
      <c r="M230">
        <v>0.14541999999999999</v>
      </c>
    </row>
    <row r="231" spans="1:21" x14ac:dyDescent="0.25">
      <c r="A231" s="1" t="s">
        <v>172</v>
      </c>
      <c r="B231">
        <v>2020</v>
      </c>
      <c r="C231" t="str">
        <f>IF(A232=Estimates_of_the_use_of_water__2000_2020[[#This Row],[name]], B232-Estimates_of_the_use_of_water__2000_2020[[#This Row],[year]],"")</f>
        <v/>
      </c>
      <c r="D231">
        <v>6825.4418949999999</v>
      </c>
      <c r="E231">
        <v>88.924995420000002</v>
      </c>
      <c r="F231">
        <v>92.6</v>
      </c>
      <c r="G231">
        <f>((F232-Estimates_of_the_use_of_water__2000_2020[[#This Row],[wat_bas_n]])/(B232-Estimates_of_the_use_of_water__2000_2020[[#This Row],[year]]))</f>
        <v>4.4108621199999991</v>
      </c>
      <c r="H231">
        <f>((N232-Estimates_of_the_use_of_water__2000_2020[[#This Row],[wat_bas_r]])/(B232-Estimates_of_the_use_of_water__2000_2020[[#This Row],[year]]))</f>
        <v>-12.68417663</v>
      </c>
      <c r="I231">
        <f>(R232-Estimates_of_the_use_of_water__2000_2020[[#This Row],[wat_bas_u]])/(B232-Estimates_of_the_use_of_water__2000_2020[[#This Row],[year]])</f>
        <v>-17.979855227999998</v>
      </c>
      <c r="J231">
        <f>ABS(Estimates_of_the_use_of_water__2000_2020[[#This Row],[ARC_r]]-Estimates_of_the_use_of_water__2000_2020[[#This Row],[ARC_u]])</f>
        <v>5.2956785979999985</v>
      </c>
      <c r="K231">
        <v>7.4</v>
      </c>
      <c r="L231">
        <v>0</v>
      </c>
      <c r="M231">
        <v>0</v>
      </c>
    </row>
    <row r="232" spans="1:21" x14ac:dyDescent="0.25">
      <c r="A232" s="1" t="s">
        <v>210</v>
      </c>
      <c r="B232">
        <v>2015</v>
      </c>
      <c r="C232">
        <f>IF(A233=Estimates_of_the_use_of_water__2000_2020[[#This Row],[name]], B233-Estimates_of_the_use_of_water__2000_2020[[#This Row],[year]],"")</f>
        <v>5</v>
      </c>
      <c r="D232">
        <v>2059.0109859999998</v>
      </c>
      <c r="E232">
        <v>26.908000950000002</v>
      </c>
      <c r="F232">
        <v>70.545689400000001</v>
      </c>
      <c r="G232">
        <f>((F233-Estimates_of_the_use_of_water__2000_2020[[#This Row],[wat_bas_n]])/(B233-Estimates_of_the_use_of_water__2000_2020[[#This Row],[year]]))</f>
        <v>0.32606997400000071</v>
      </c>
      <c r="H232">
        <f>((N233-Estimates_of_the_use_of_water__2000_2020[[#This Row],[wat_bas_r]])/(B233-Estimates_of_the_use_of_water__2000_2020[[#This Row],[year]]))</f>
        <v>4.5894333999999051E-2</v>
      </c>
      <c r="I232">
        <f>(R233-Estimates_of_the_use_of_water__2000_2020[[#This Row],[wat_bas_u]])/(B233-Estimates_of_the_use_of_water__2000_2020[[#This Row],[year]])</f>
        <v>0.62432648200000074</v>
      </c>
      <c r="J232">
        <f>ABS(Estimates_of_the_use_of_water__2000_2020[[#This Row],[ARC_r]]-Estimates_of_the_use_of_water__2000_2020[[#This Row],[ARC_u]])</f>
        <v>0.57843214800000164</v>
      </c>
      <c r="K232">
        <v>10.86331049</v>
      </c>
      <c r="L232">
        <v>14.534382900000001</v>
      </c>
      <c r="M232">
        <v>4.0566172079999996</v>
      </c>
      <c r="N232">
        <v>63.420883150000002</v>
      </c>
      <c r="O232">
        <v>13.04933941</v>
      </c>
      <c r="P232">
        <v>18.164904929999999</v>
      </c>
      <c r="Q232">
        <v>5.3648725109999997</v>
      </c>
      <c r="R232">
        <v>89.899276139999998</v>
      </c>
      <c r="S232">
        <v>4.9252542349999997</v>
      </c>
      <c r="T232">
        <v>4.6725536160000001</v>
      </c>
      <c r="U232">
        <v>0.50291600700000005</v>
      </c>
    </row>
    <row r="233" spans="1:21" x14ac:dyDescent="0.25">
      <c r="A233" s="1" t="s">
        <v>210</v>
      </c>
      <c r="B233">
        <v>2020</v>
      </c>
      <c r="C233" t="str">
        <f>IF(A234=Estimates_of_the_use_of_water__2000_2020[[#This Row],[name]], B234-Estimates_of_the_use_of_water__2000_2020[[#This Row],[year]],"")</f>
        <v/>
      </c>
      <c r="D233">
        <v>2142.251953</v>
      </c>
      <c r="E233">
        <v>29.027999879999999</v>
      </c>
      <c r="F233">
        <v>72.176039270000004</v>
      </c>
      <c r="G233">
        <f>((F234-Estimates_of_the_use_of_water__2000_2020[[#This Row],[wat_bas_n]])/(B234-Estimates_of_the_use_of_water__2000_2020[[#This Row],[year]]))</f>
        <v>-7.8750533999999567E-2</v>
      </c>
      <c r="H233">
        <f>((N234-Estimates_of_the_use_of_water__2000_2020[[#This Row],[wat_bas_r]])/(B234-Estimates_of_the_use_of_water__2000_2020[[#This Row],[year]]))</f>
        <v>0.47743457199999995</v>
      </c>
      <c r="I233">
        <f>(R234-Estimates_of_the_use_of_water__2000_2020[[#This Row],[wat_bas_u]])/(B234-Estimates_of_the_use_of_water__2000_2020[[#This Row],[year]])</f>
        <v>1.8125609080000005</v>
      </c>
      <c r="J233">
        <f>ABS(Estimates_of_the_use_of_water__2000_2020[[#This Row],[ARC_r]]-Estimates_of_the_use_of_water__2000_2020[[#This Row],[ARC_u]])</f>
        <v>1.3351263360000005</v>
      </c>
      <c r="K233">
        <v>10.40592597</v>
      </c>
      <c r="L233">
        <v>12.21725464</v>
      </c>
      <c r="M233">
        <v>5.2007801159999998</v>
      </c>
      <c r="N233">
        <v>63.650354819999997</v>
      </c>
      <c r="O233">
        <v>13.55843013</v>
      </c>
      <c r="P233">
        <v>15.73132479</v>
      </c>
      <c r="Q233">
        <v>7.0598902539999999</v>
      </c>
      <c r="R233">
        <v>93.020908550000001</v>
      </c>
      <c r="S233">
        <v>2.698211997</v>
      </c>
      <c r="T233">
        <v>3.625530038</v>
      </c>
      <c r="U233">
        <v>0.65534941999999996</v>
      </c>
    </row>
    <row r="234" spans="1:21" x14ac:dyDescent="0.25">
      <c r="A234" s="1" t="s">
        <v>207</v>
      </c>
      <c r="B234">
        <v>2015</v>
      </c>
      <c r="C234">
        <f>IF(A235=Estimates_of_the_use_of_water__2000_2020[[#This Row],[name]], B235-Estimates_of_the_use_of_water__2000_2020[[#This Row],[year]],"")</f>
        <v>5</v>
      </c>
      <c r="D234">
        <v>4472.2290039999998</v>
      </c>
      <c r="E234">
        <v>49.819999690000003</v>
      </c>
      <c r="F234">
        <v>72.569791940000002</v>
      </c>
      <c r="G234">
        <f>((F235-Estimates_of_the_use_of_water__2000_2020[[#This Row],[wat_bas_n]])/(B235-Estimates_of_the_use_of_water__2000_2020[[#This Row],[year]]))</f>
        <v>0.53839992999999997</v>
      </c>
      <c r="H234">
        <f>((N235-Estimates_of_the_use_of_water__2000_2020[[#This Row],[wat_bas_r]])/(B235-Estimates_of_the_use_of_water__2000_2020[[#This Row],[year]]))</f>
        <v>0.56740698600000028</v>
      </c>
      <c r="I234">
        <f>(R235-Estimates_of_the_use_of_water__2000_2020[[#This Row],[wat_bas_u]])/(B235-Estimates_of_the_use_of_water__2000_2020[[#This Row],[year]])</f>
        <v>0.31400112400000069</v>
      </c>
      <c r="J234">
        <f>ABS(Estimates_of_the_use_of_water__2000_2020[[#This Row],[ARC_r]]-Estimates_of_the_use_of_water__2000_2020[[#This Row],[ARC_u]])</f>
        <v>0.25340586199999959</v>
      </c>
      <c r="K234">
        <v>7.3644226789999996</v>
      </c>
      <c r="L234">
        <v>6.5372338440000002</v>
      </c>
      <c r="M234">
        <v>13.52855154</v>
      </c>
      <c r="N234">
        <v>61.263181959999997</v>
      </c>
      <c r="O234">
        <v>5.1260422940000003</v>
      </c>
      <c r="P234">
        <v>7.5241487850000004</v>
      </c>
      <c r="Q234">
        <v>26.08662696</v>
      </c>
      <c r="R234">
        <v>83.95810401</v>
      </c>
      <c r="S234">
        <v>9.6189777050000007</v>
      </c>
      <c r="T234">
        <v>5.5431874099999998</v>
      </c>
      <c r="U234">
        <v>0.87973087640000003</v>
      </c>
    </row>
    <row r="235" spans="1:21" x14ac:dyDescent="0.25">
      <c r="A235" s="1" t="s">
        <v>207</v>
      </c>
      <c r="B235">
        <v>2020</v>
      </c>
      <c r="C235" t="str">
        <f>IF(A236=Estimates_of_the_use_of_water__2000_2020[[#This Row],[name]], B236-Estimates_of_the_use_of_water__2000_2020[[#This Row],[year]],"")</f>
        <v/>
      </c>
      <c r="D235">
        <v>5057.6767579999996</v>
      </c>
      <c r="E235">
        <v>52.088996889999997</v>
      </c>
      <c r="F235">
        <v>75.261791590000001</v>
      </c>
      <c r="G235">
        <f>((F236-Estimates_of_the_use_of_water__2000_2020[[#This Row],[wat_bas_n]])/(B236-Estimates_of_the_use_of_water__2000_2020[[#This Row],[year]]))</f>
        <v>-4.4039647139999998</v>
      </c>
      <c r="H235">
        <f>((N236-Estimates_of_the_use_of_water__2000_2020[[#This Row],[wat_bas_r]])/(B236-Estimates_of_the_use_of_water__2000_2020[[#This Row],[year]]))</f>
        <v>12.820043377999999</v>
      </c>
      <c r="I235">
        <f>(R236-Estimates_of_the_use_of_water__2000_2020[[#This Row],[wat_bas_u]])/(B236-Estimates_of_the_use_of_water__2000_2020[[#This Row],[year]])</f>
        <v>17.105621926000001</v>
      </c>
      <c r="J235">
        <f>ABS(Estimates_of_the_use_of_water__2000_2020[[#This Row],[ARC_r]]-Estimates_of_the_use_of_water__2000_2020[[#This Row],[ARC_u]])</f>
        <v>4.2855785480000019</v>
      </c>
      <c r="K235">
        <v>8.7006574749999999</v>
      </c>
      <c r="L235">
        <v>3.488080869</v>
      </c>
      <c r="M235">
        <v>12.549470060000001</v>
      </c>
      <c r="N235">
        <v>64.100216889999999</v>
      </c>
      <c r="O235">
        <v>6.5377757970000001</v>
      </c>
      <c r="P235">
        <v>3.3837098750000001</v>
      </c>
      <c r="Q235">
        <v>25.978297439999999</v>
      </c>
      <c r="R235">
        <v>85.528109630000003</v>
      </c>
      <c r="S235">
        <v>10.69005698</v>
      </c>
      <c r="T235">
        <v>3.58408039</v>
      </c>
      <c r="U235">
        <v>0.19775300060000001</v>
      </c>
    </row>
    <row r="236" spans="1:21" x14ac:dyDescent="0.25">
      <c r="A236" s="1" t="s">
        <v>71</v>
      </c>
      <c r="B236">
        <v>2015</v>
      </c>
      <c r="C236">
        <f>IF(A237=Estimates_of_the_use_of_water__2000_2020[[#This Row],[name]], B237-Estimates_of_the_use_of_water__2000_2020[[#This Row],[year]],"")</f>
        <v>5</v>
      </c>
      <c r="D236">
        <v>6418.3149409999996</v>
      </c>
      <c r="E236">
        <v>79.270004270000001</v>
      </c>
      <c r="F236">
        <v>97.281615160000001</v>
      </c>
      <c r="G236">
        <f>((F237-Estimates_of_the_use_of_water__2000_2020[[#This Row],[wat_bas_n]])/(B237-Estimates_of_the_use_of_water__2000_2020[[#This Row],[year]]))</f>
        <v>0.52198172800000009</v>
      </c>
      <c r="H236">
        <f>((N237-Estimates_of_the_use_of_water__2000_2020[[#This Row],[wat_bas_r]])/(B237-Estimates_of_the_use_of_water__2000_2020[[#This Row],[year]]))</f>
        <v>0</v>
      </c>
      <c r="I236">
        <f>(R237-Estimates_of_the_use_of_water__2000_2020[[#This Row],[wat_bas_u]])/(B237-Estimates_of_the_use_of_water__2000_2020[[#This Row],[year]])</f>
        <v>0</v>
      </c>
      <c r="J236">
        <f>ABS(Estimates_of_the_use_of_water__2000_2020[[#This Row],[ARC_r]]-Estimates_of_the_use_of_water__2000_2020[[#This Row],[ARC_u]])</f>
        <v>0</v>
      </c>
      <c r="K236">
        <v>0</v>
      </c>
      <c r="L236">
        <v>2.7183848410000002</v>
      </c>
      <c r="M236">
        <v>0</v>
      </c>
    </row>
    <row r="237" spans="1:21" x14ac:dyDescent="0.25">
      <c r="A237" s="1" t="s">
        <v>71</v>
      </c>
      <c r="B237">
        <v>2020</v>
      </c>
      <c r="C237" t="str">
        <f>IF(A238=Estimates_of_the_use_of_water__2000_2020[[#This Row],[name]], B238-Estimates_of_the_use_of_water__2000_2020[[#This Row],[year]],"")</f>
        <v/>
      </c>
      <c r="D237">
        <v>6871.2871089999999</v>
      </c>
      <c r="E237">
        <v>80.691001889999995</v>
      </c>
      <c r="F237">
        <v>99.891523800000002</v>
      </c>
      <c r="G237">
        <f>((F238-Estimates_of_the_use_of_water__2000_2020[[#This Row],[wat_bas_n]])/(B238-Estimates_of_the_use_of_water__2000_2020[[#This Row],[year]]))</f>
        <v>-2.1695239999999671E-2</v>
      </c>
      <c r="H237">
        <f>((N238-Estimates_of_the_use_of_water__2000_2020[[#This Row],[wat_bas_r]])/(B238-Estimates_of_the_use_of_water__2000_2020[[#This Row],[year]]))</f>
        <v>0</v>
      </c>
      <c r="I237">
        <f>(R238-Estimates_of_the_use_of_water__2000_2020[[#This Row],[wat_bas_u]])/(B238-Estimates_of_the_use_of_water__2000_2020[[#This Row],[year]])</f>
        <v>0</v>
      </c>
      <c r="J237">
        <f>ABS(Estimates_of_the_use_of_water__2000_2020[[#This Row],[ARC_r]]-Estimates_of_the_use_of_water__2000_2020[[#This Row],[ARC_u]])</f>
        <v>0</v>
      </c>
      <c r="K237">
        <v>0</v>
      </c>
      <c r="L237">
        <v>0.1084762012</v>
      </c>
      <c r="M237">
        <v>0</v>
      </c>
    </row>
    <row r="238" spans="1:21" x14ac:dyDescent="0.25">
      <c r="A238" s="1" t="s">
        <v>36</v>
      </c>
      <c r="B238">
        <v>2015</v>
      </c>
      <c r="C238">
        <f>IF(A239=Estimates_of_the_use_of_water__2000_2020[[#This Row],[name]], B239-Estimates_of_the_use_of_water__2000_2020[[#This Row],[year]],"")</f>
        <v>5</v>
      </c>
      <c r="D238">
        <v>37.465000150000002</v>
      </c>
      <c r="E238">
        <v>14.303000450000001</v>
      </c>
      <c r="F238">
        <v>100</v>
      </c>
      <c r="G238">
        <f>((F239-Estimates_of_the_use_of_water__2000_2020[[#This Row],[wat_bas_n]])/(B239-Estimates_of_the_use_of_water__2000_2020[[#This Row],[year]]))</f>
        <v>0</v>
      </c>
      <c r="H238">
        <f>((N239-Estimates_of_the_use_of_water__2000_2020[[#This Row],[wat_bas_r]])/(B239-Estimates_of_the_use_of_water__2000_2020[[#This Row],[year]]))</f>
        <v>0</v>
      </c>
      <c r="I238">
        <f>(R239-Estimates_of_the_use_of_water__2000_2020[[#This Row],[wat_bas_u]])/(B239-Estimates_of_the_use_of_water__2000_2020[[#This Row],[year]])</f>
        <v>0</v>
      </c>
      <c r="J238">
        <f>ABS(Estimates_of_the_use_of_water__2000_2020[[#This Row],[ARC_r]]-Estimates_of_the_use_of_water__2000_2020[[#This Row],[ARC_u]])</f>
        <v>0</v>
      </c>
      <c r="K238">
        <v>0</v>
      </c>
      <c r="L238">
        <v>0</v>
      </c>
      <c r="M238">
        <v>0</v>
      </c>
    </row>
    <row r="239" spans="1:21" x14ac:dyDescent="0.25">
      <c r="A239" s="1" t="s">
        <v>36</v>
      </c>
      <c r="B239">
        <v>2020</v>
      </c>
      <c r="C239" t="str">
        <f>IF(A240=Estimates_of_the_use_of_water__2000_2020[[#This Row],[name]], B240-Estimates_of_the_use_of_water__2000_2020[[#This Row],[year]],"")</f>
        <v/>
      </c>
      <c r="D239">
        <v>38.137001040000001</v>
      </c>
      <c r="E239">
        <v>14.416000370000001</v>
      </c>
      <c r="F239">
        <v>100</v>
      </c>
      <c r="G239">
        <f>((F240-Estimates_of_the_use_of_water__2000_2020[[#This Row],[wat_bas_n]])/(B240-Estimates_of_the_use_of_water__2000_2020[[#This Row],[year]]))</f>
        <v>0.67917228400000051</v>
      </c>
      <c r="H239">
        <f>((N240-Estimates_of_the_use_of_water__2000_2020[[#This Row],[wat_bas_r]])/(B240-Estimates_of_the_use_of_water__2000_2020[[#This Row],[year]]))</f>
        <v>-18.143696882</v>
      </c>
      <c r="I239">
        <f>(R240-Estimates_of_the_use_of_water__2000_2020[[#This Row],[wat_bas_u]])/(B240-Estimates_of_the_use_of_water__2000_2020[[#This Row],[year]])</f>
        <v>-19.894598070000001</v>
      </c>
      <c r="J239">
        <f>ABS(Estimates_of_the_use_of_water__2000_2020[[#This Row],[ARC_r]]-Estimates_of_the_use_of_water__2000_2020[[#This Row],[ARC_u]])</f>
        <v>1.7509011880000003</v>
      </c>
      <c r="K239">
        <v>0</v>
      </c>
      <c r="L239">
        <v>0</v>
      </c>
      <c r="M239">
        <v>0</v>
      </c>
    </row>
    <row r="240" spans="1:21" x14ac:dyDescent="0.25">
      <c r="A240" s="1" t="s">
        <v>115</v>
      </c>
      <c r="B240">
        <v>2015</v>
      </c>
      <c r="C240">
        <f>IF(A241=Estimates_of_the_use_of_water__2000_2020[[#This Row],[name]], B241-Estimates_of_the_use_of_water__2000_2020[[#This Row],[year]],"")</f>
        <v>5</v>
      </c>
      <c r="D240">
        <v>2931.8720699999999</v>
      </c>
      <c r="E240">
        <v>67.229995729999999</v>
      </c>
      <c r="F240">
        <v>96.604138579999997</v>
      </c>
      <c r="G240">
        <f>((F241-Estimates_of_the_use_of_water__2000_2020[[#This Row],[wat_bas_n]])/(B241-Estimates_of_the_use_of_water__2000_2020[[#This Row],[year]]))</f>
        <v>0.2818417320000009</v>
      </c>
      <c r="H240">
        <f>((N241-Estimates_of_the_use_of_water__2000_2020[[#This Row],[wat_bas_r]])/(B241-Estimates_of_the_use_of_water__2000_2020[[#This Row],[year]]))</f>
        <v>0.61285916399999962</v>
      </c>
      <c r="I240">
        <f>(R241-Estimates_of_the_use_of_water__2000_2020[[#This Row],[wat_bas_u]])/(B241-Estimates_of_the_use_of_water__2000_2020[[#This Row],[year]])</f>
        <v>0.10540192999999931</v>
      </c>
      <c r="J240">
        <f>ABS(Estimates_of_the_use_of_water__2000_2020[[#This Row],[ARC_r]]-Estimates_of_the_use_of_water__2000_2020[[#This Row],[ARC_u]])</f>
        <v>0.50745723400000031</v>
      </c>
      <c r="K240">
        <v>0</v>
      </c>
      <c r="L240">
        <v>3.3958614219999999</v>
      </c>
      <c r="M240">
        <v>0</v>
      </c>
      <c r="N240">
        <v>90.718484410000002</v>
      </c>
      <c r="O240">
        <v>0</v>
      </c>
      <c r="P240">
        <v>9.2815155889999996</v>
      </c>
      <c r="Q240">
        <v>0</v>
      </c>
      <c r="R240">
        <v>99.472990350000003</v>
      </c>
      <c r="S240">
        <v>0</v>
      </c>
      <c r="T240">
        <v>0.5270096501</v>
      </c>
      <c r="U240">
        <v>0</v>
      </c>
    </row>
    <row r="241" spans="1:21" x14ac:dyDescent="0.25">
      <c r="A241" s="1" t="s">
        <v>115</v>
      </c>
      <c r="B241">
        <v>2020</v>
      </c>
      <c r="C241" t="str">
        <f>IF(A242=Estimates_of_the_use_of_water__2000_2020[[#This Row],[name]], B242-Estimates_of_the_use_of_water__2000_2020[[#This Row],[year]],"")</f>
        <v/>
      </c>
      <c r="D241">
        <v>2722.2910160000001</v>
      </c>
      <c r="E241">
        <v>68.045997619999994</v>
      </c>
      <c r="F241">
        <v>98.013347240000002</v>
      </c>
      <c r="G241">
        <f>((F242-Estimates_of_the_use_of_water__2000_2020[[#This Row],[wat_bas_n]])/(B242-Estimates_of_the_use_of_water__2000_2020[[#This Row],[year]]))</f>
        <v>-0.3823646840000009</v>
      </c>
      <c r="H241">
        <f>((N242-Estimates_of_the_use_of_water__2000_2020[[#This Row],[wat_bas_r]])/(B242-Estimates_of_the_use_of_water__2000_2020[[#This Row],[year]]))</f>
        <v>-1.0910630020000014</v>
      </c>
      <c r="I241">
        <f>(R242-Estimates_of_the_use_of_water__2000_2020[[#This Row],[wat_bas_u]])/(B242-Estimates_of_the_use_of_water__2000_2020[[#This Row],[year]])</f>
        <v>0</v>
      </c>
      <c r="J241">
        <f>ABS(Estimates_of_the_use_of_water__2000_2020[[#This Row],[ARC_r]]-Estimates_of_the_use_of_water__2000_2020[[#This Row],[ARC_u]])</f>
        <v>1.0910630020000014</v>
      </c>
      <c r="K241">
        <v>0</v>
      </c>
      <c r="L241">
        <v>1.9866527599999999</v>
      </c>
      <c r="M241">
        <v>0</v>
      </c>
      <c r="N241">
        <v>93.78278023</v>
      </c>
      <c r="O241">
        <v>0</v>
      </c>
      <c r="P241">
        <v>6.2172197709999999</v>
      </c>
      <c r="Q241">
        <v>0</v>
      </c>
      <c r="R241">
        <v>100</v>
      </c>
      <c r="S241">
        <v>0</v>
      </c>
      <c r="T241">
        <v>0</v>
      </c>
      <c r="U241">
        <v>0</v>
      </c>
    </row>
    <row r="242" spans="1:21" x14ac:dyDescent="0.25">
      <c r="A242" s="1" t="s">
        <v>66</v>
      </c>
      <c r="B242">
        <v>2015</v>
      </c>
      <c r="C242">
        <f>IF(A243=Estimates_of_the_use_of_water__2000_2020[[#This Row],[name]], B243-Estimates_of_the_use_of_water__2000_2020[[#This Row],[year]],"")</f>
        <v>5</v>
      </c>
      <c r="D242">
        <v>566.74102779999998</v>
      </c>
      <c r="E242">
        <v>90.179000849999994</v>
      </c>
      <c r="F242">
        <v>99.925170660000006</v>
      </c>
      <c r="G242">
        <f>((F243-Estimates_of_the_use_of_water__2000_2020[[#This Row],[wat_bas_n]])/(B243-Estimates_of_the_use_of_water__2000_2020[[#This Row],[year]]))</f>
        <v>-9.0476240000015203E-3</v>
      </c>
      <c r="H242">
        <f>((N243-Estimates_of_the_use_of_water__2000_2020[[#This Row],[wat_bas_r]])/(B243-Estimates_of_the_use_of_water__2000_2020[[#This Row],[year]]))</f>
        <v>-0.12857142800000076</v>
      </c>
      <c r="I242">
        <f>(R243-Estimates_of_the_use_of_water__2000_2020[[#This Row],[wat_bas_u]])/(B243-Estimates_of_the_use_of_water__2000_2020[[#This Row],[year]])</f>
        <v>0</v>
      </c>
      <c r="J242">
        <f>ABS(Estimates_of_the_use_of_water__2000_2020[[#This Row],[ARC_r]]-Estimates_of_the_use_of_water__2000_2020[[#This Row],[ARC_u]])</f>
        <v>0.12857142800000076</v>
      </c>
      <c r="K242">
        <v>0</v>
      </c>
      <c r="L242">
        <v>7.4829340019999996E-2</v>
      </c>
      <c r="M242">
        <v>0</v>
      </c>
      <c r="N242">
        <v>99.238095240000007</v>
      </c>
      <c r="O242">
        <v>0</v>
      </c>
      <c r="P242">
        <v>0.7619047619</v>
      </c>
      <c r="Q242">
        <v>0</v>
      </c>
      <c r="R242">
        <v>100</v>
      </c>
      <c r="S242">
        <v>0</v>
      </c>
      <c r="T242">
        <v>0</v>
      </c>
      <c r="U242">
        <v>0</v>
      </c>
    </row>
    <row r="243" spans="1:21" x14ac:dyDescent="0.25">
      <c r="A243" s="1" t="s">
        <v>66</v>
      </c>
      <c r="B243">
        <v>2020</v>
      </c>
      <c r="C243" t="str">
        <f>IF(A244=Estimates_of_the_use_of_water__2000_2020[[#This Row],[name]], B244-Estimates_of_the_use_of_water__2000_2020[[#This Row],[year]],"")</f>
        <v/>
      </c>
      <c r="D243">
        <v>625.97601320000001</v>
      </c>
      <c r="E243">
        <v>91.452995299999998</v>
      </c>
      <c r="F243">
        <v>99.879932539999999</v>
      </c>
      <c r="G243">
        <f>((F244-Estimates_of_the_use_of_water__2000_2020[[#This Row],[wat_bas_n]])/(B244-Estimates_of_the_use_of_water__2000_2020[[#This Row],[year]]))</f>
        <v>10.1976318</v>
      </c>
      <c r="H243">
        <f>((N244-Estimates_of_the_use_of_water__2000_2020[[#This Row],[wat_bas_r]])/(B244-Estimates_of_the_use_of_water__2000_2020[[#This Row],[year]]))</f>
        <v>13.090132074000001</v>
      </c>
      <c r="I243">
        <f>(R244-Estimates_of_the_use_of_water__2000_2020[[#This Row],[wat_bas_u]])/(B244-Estimates_of_the_use_of_water__2000_2020[[#This Row],[year]])</f>
        <v>4.4220338559999988</v>
      </c>
      <c r="J243">
        <f>ABS(Estimates_of_the_use_of_water__2000_2020[[#This Row],[ARC_r]]-Estimates_of_the_use_of_water__2000_2020[[#This Row],[ARC_u]])</f>
        <v>8.6680982180000026</v>
      </c>
      <c r="K243">
        <v>0</v>
      </c>
      <c r="L243">
        <v>0.1200674649</v>
      </c>
      <c r="M243">
        <v>0</v>
      </c>
      <c r="N243">
        <v>98.595238100000003</v>
      </c>
      <c r="O243">
        <v>0</v>
      </c>
      <c r="P243">
        <v>1.404761905</v>
      </c>
      <c r="Q243">
        <v>0</v>
      </c>
      <c r="R243">
        <v>100</v>
      </c>
      <c r="S243">
        <v>0</v>
      </c>
      <c r="T243">
        <v>0</v>
      </c>
      <c r="U243">
        <v>0</v>
      </c>
    </row>
    <row r="244" spans="1:21" x14ac:dyDescent="0.25">
      <c r="A244" s="1" t="s">
        <v>237</v>
      </c>
      <c r="B244">
        <v>2015</v>
      </c>
      <c r="C244">
        <f>IF(A245=Estimates_of_the_use_of_water__2000_2020[[#This Row],[name]], B245-Estimates_of_the_use_of_water__2000_2020[[#This Row],[year]],"")</f>
        <v>5</v>
      </c>
      <c r="D244">
        <v>24234.08008</v>
      </c>
      <c r="E244">
        <v>35.192996979999997</v>
      </c>
      <c r="F244">
        <v>48.891773540000003</v>
      </c>
      <c r="G244">
        <f>((F245-Estimates_of_the_use_of_water__2000_2020[[#This Row],[wat_bas_n]])/(B245-Estimates_of_the_use_of_water__2000_2020[[#This Row],[year]]))</f>
        <v>0.89882227399999981</v>
      </c>
      <c r="H244">
        <f>((N245-Estimates_of_the_use_of_water__2000_2020[[#This Row],[wat_bas_r]])/(B245-Estimates_of_the_use_of_water__2000_2020[[#This Row],[year]]))</f>
        <v>0.6523685099999994</v>
      </c>
      <c r="I244">
        <f>(R245-Estimates_of_the_use_of_water__2000_2020[[#This Row],[wat_bas_u]])/(B245-Estimates_of_the_use_of_water__2000_2020[[#This Row],[year]])</f>
        <v>0.51603524399999967</v>
      </c>
      <c r="J244">
        <f>ABS(Estimates_of_the_use_of_water__2000_2020[[#This Row],[ARC_r]]-Estimates_of_the_use_of_water__2000_2020[[#This Row],[ARC_u]])</f>
        <v>0.13633326599999973</v>
      </c>
      <c r="K244">
        <v>2.6771603800000001</v>
      </c>
      <c r="L244">
        <v>30.406736510000002</v>
      </c>
      <c r="M244">
        <v>18.024329569999999</v>
      </c>
      <c r="N244">
        <v>33.144577730000002</v>
      </c>
      <c r="O244">
        <v>1.743479446</v>
      </c>
      <c r="P244">
        <v>39.697999690000003</v>
      </c>
      <c r="Q244">
        <v>25.41394313</v>
      </c>
      <c r="R244">
        <v>77.889830720000006</v>
      </c>
      <c r="S244">
        <v>4.3965098730000003</v>
      </c>
      <c r="T244">
        <v>13.29711369</v>
      </c>
      <c r="U244">
        <v>4.4165457190000001</v>
      </c>
    </row>
    <row r="245" spans="1:21" x14ac:dyDescent="0.25">
      <c r="A245" s="1" t="s">
        <v>237</v>
      </c>
      <c r="B245">
        <v>2020</v>
      </c>
      <c r="C245" t="str">
        <f>IF(A246=Estimates_of_the_use_of_water__2000_2020[[#This Row],[name]], B246-Estimates_of_the_use_of_water__2000_2020[[#This Row],[year]],"")</f>
        <v/>
      </c>
      <c r="D245">
        <v>27691.019530000001</v>
      </c>
      <c r="E245">
        <v>38.534000399999996</v>
      </c>
      <c r="F245">
        <v>53.385884910000001</v>
      </c>
      <c r="G245">
        <f>((F246-Estimates_of_the_use_of_water__2000_2020[[#This Row],[wat_bas_n]])/(B246-Estimates_of_the_use_of_water__2000_2020[[#This Row],[year]]))</f>
        <v>-2.5538148460000003</v>
      </c>
      <c r="H245">
        <f>((N246-Estimates_of_the_use_of_water__2000_2020[[#This Row],[wat_bas_r]])/(B246-Estimates_of_the_use_of_water__2000_2020[[#This Row],[year]]))</f>
        <v>-5.1668376719999998</v>
      </c>
      <c r="I245">
        <f>(R246-Estimates_of_the_use_of_water__2000_2020[[#This Row],[wat_bas_u]])/(B246-Estimates_of_the_use_of_water__2000_2020[[#This Row],[year]])</f>
        <v>-1.1531745819999997</v>
      </c>
      <c r="J245">
        <f>ABS(Estimates_of_the_use_of_water__2000_2020[[#This Row],[ARC_r]]-Estimates_of_the_use_of_water__2000_2020[[#This Row],[ARC_u]])</f>
        <v>4.0136630899999997</v>
      </c>
      <c r="K245">
        <v>2.7179729799999999</v>
      </c>
      <c r="L245">
        <v>32.311459669999998</v>
      </c>
      <c r="M245">
        <v>11.58468244</v>
      </c>
      <c r="N245">
        <v>36.406420279999999</v>
      </c>
      <c r="O245">
        <v>1.601776163</v>
      </c>
      <c r="P245">
        <v>43.953893450000002</v>
      </c>
      <c r="Q245">
        <v>18.037910109999999</v>
      </c>
      <c r="R245">
        <v>80.470006940000005</v>
      </c>
      <c r="S245">
        <v>4.4984302979999997</v>
      </c>
      <c r="T245">
        <v>13.74049434</v>
      </c>
      <c r="U245">
        <v>1.291068417</v>
      </c>
    </row>
    <row r="246" spans="1:21" x14ac:dyDescent="0.25">
      <c r="A246" s="1" t="s">
        <v>215</v>
      </c>
      <c r="B246">
        <v>2015</v>
      </c>
      <c r="C246">
        <f>IF(A247=Estimates_of_the_use_of_water__2000_2020[[#This Row],[name]], B247-Estimates_of_the_use_of_water__2000_2020[[#This Row],[year]],"")</f>
        <v>5</v>
      </c>
      <c r="D246">
        <v>16745.304690000001</v>
      </c>
      <c r="E246">
        <v>16.312999730000001</v>
      </c>
      <c r="F246">
        <v>66.154959140000003</v>
      </c>
      <c r="G246">
        <f>((F247-Estimates_of_the_use_of_water__2000_2020[[#This Row],[wat_bas_n]])/(B247-Estimates_of_the_use_of_water__2000_2020[[#This Row],[year]]))</f>
        <v>0.77855387399999931</v>
      </c>
      <c r="H246">
        <f>((N247-Estimates_of_the_use_of_water__2000_2020[[#This Row],[wat_bas_r]])/(B247-Estimates_of_the_use_of_water__2000_2020[[#This Row],[year]]))</f>
        <v>0.8688870240000014</v>
      </c>
      <c r="I246">
        <f>(R247-Estimates_of_the_use_of_water__2000_2020[[#This Row],[wat_bas_u]])/(B247-Estimates_of_the_use_of_water__2000_2020[[#This Row],[year]])</f>
        <v>4.3763672000000045E-2</v>
      </c>
      <c r="J246">
        <f>ABS(Estimates_of_the_use_of_water__2000_2020[[#This Row],[ARC_r]]-Estimates_of_the_use_of_water__2000_2020[[#This Row],[ARC_u]])</f>
        <v>0.82512335200000131</v>
      </c>
      <c r="K246">
        <v>19.716038309999998</v>
      </c>
      <c r="L246">
        <v>10.55451427</v>
      </c>
      <c r="M246">
        <v>3.5744882769999999</v>
      </c>
      <c r="N246">
        <v>62.240608639999998</v>
      </c>
      <c r="O246">
        <v>21.69810966</v>
      </c>
      <c r="P246">
        <v>11.875220280000001</v>
      </c>
      <c r="Q246">
        <v>4.186061413</v>
      </c>
      <c r="R246">
        <v>86.235879850000003</v>
      </c>
      <c r="S246">
        <v>9.5478494880000007</v>
      </c>
      <c r="T246">
        <v>3.7792023349999999</v>
      </c>
      <c r="U246">
        <v>0.43706832449999999</v>
      </c>
    </row>
    <row r="247" spans="1:21" x14ac:dyDescent="0.25">
      <c r="A247" s="1" t="s">
        <v>215</v>
      </c>
      <c r="B247">
        <v>2020</v>
      </c>
      <c r="C247" t="str">
        <f>IF(A248=Estimates_of_the_use_of_water__2000_2020[[#This Row],[name]], B248-Estimates_of_the_use_of_water__2000_2020[[#This Row],[year]],"")</f>
        <v/>
      </c>
      <c r="D247">
        <v>19129.95508</v>
      </c>
      <c r="E247">
        <v>17.42700005</v>
      </c>
      <c r="F247">
        <v>70.047728509999999</v>
      </c>
      <c r="G247">
        <f>((F248-Estimates_of_the_use_of_water__2000_2020[[#This Row],[wat_bas_n]])/(B248-Estimates_of_the_use_of_water__2000_2020[[#This Row],[year]]))</f>
        <v>-5.4008948099999996</v>
      </c>
      <c r="H247">
        <f>((N248-Estimates_of_the_use_of_water__2000_2020[[#This Row],[wat_bas_r]])/(B248-Estimates_of_the_use_of_water__2000_2020[[#This Row],[year]]))</f>
        <v>-4.8666530919999982</v>
      </c>
      <c r="I247">
        <f>(R248-Estimates_of_the_use_of_water__2000_2020[[#This Row],[wat_bas_u]])/(B248-Estimates_of_the_use_of_water__2000_2020[[#This Row],[year]])</f>
        <v>-2.5457735679999987</v>
      </c>
      <c r="J247">
        <f>ABS(Estimates_of_the_use_of_water__2000_2020[[#This Row],[ARC_r]]-Estimates_of_the_use_of_water__2000_2020[[#This Row],[ARC_u]])</f>
        <v>2.3208795239999995</v>
      </c>
      <c r="K247">
        <v>21.95081497</v>
      </c>
      <c r="L247">
        <v>5.7763044069999996</v>
      </c>
      <c r="M247">
        <v>2.2251521099999998</v>
      </c>
      <c r="N247">
        <v>66.585043760000005</v>
      </c>
      <c r="O247">
        <v>24.414158029999999</v>
      </c>
      <c r="P247">
        <v>6.3838741460000001</v>
      </c>
      <c r="Q247">
        <v>2.6169240660000002</v>
      </c>
      <c r="R247">
        <v>86.454698210000004</v>
      </c>
      <c r="S247">
        <v>10.278948249999999</v>
      </c>
      <c r="T247">
        <v>2.8975039960000002</v>
      </c>
      <c r="U247">
        <v>0.36884954460000002</v>
      </c>
    </row>
    <row r="248" spans="1:21" x14ac:dyDescent="0.25">
      <c r="A248" s="1" t="s">
        <v>131</v>
      </c>
      <c r="B248">
        <v>2015</v>
      </c>
      <c r="C248">
        <f>IF(A249=Estimates_of_the_use_of_water__2000_2020[[#This Row],[name]], B249-Estimates_of_the_use_of_water__2000_2020[[#This Row],[year]],"")</f>
        <v>5</v>
      </c>
      <c r="D248">
        <v>30270.964840000001</v>
      </c>
      <c r="E248">
        <v>74.212997439999995</v>
      </c>
      <c r="F248">
        <v>97.052202559999998</v>
      </c>
      <c r="G248">
        <f>((F249-Estimates_of_the_use_of_water__2000_2020[[#This Row],[wat_bas_n]])/(B249-Estimates_of_the_use_of_water__2000_2020[[#This Row],[year]]))</f>
        <v>9.5409020000005278E-3</v>
      </c>
      <c r="H248">
        <f>((N249-Estimates_of_the_use_of_water__2000_2020[[#This Row],[wat_bas_r]])/(B249-Estimates_of_the_use_of_water__2000_2020[[#This Row],[year]]))</f>
        <v>-0.14417221999999869</v>
      </c>
      <c r="I248">
        <f>(R249-Estimates_of_the_use_of_water__2000_2020[[#This Row],[wat_bas_u]])/(B249-Estimates_of_the_use_of_water__2000_2020[[#This Row],[year]])</f>
        <v>-8.0940279999992988E-3</v>
      </c>
      <c r="J248">
        <f>ABS(Estimates_of_the_use_of_water__2000_2020[[#This Row],[ARC_r]]-Estimates_of_the_use_of_water__2000_2020[[#This Row],[ARC_u]])</f>
        <v>0.13607819199999938</v>
      </c>
      <c r="K248">
        <v>0.36300550040000001</v>
      </c>
      <c r="L248">
        <v>2.584791939</v>
      </c>
      <c r="N248">
        <v>90.918309219999998</v>
      </c>
      <c r="O248">
        <v>0.54880267140000005</v>
      </c>
      <c r="P248">
        <v>8.5328881049999996</v>
      </c>
      <c r="R248">
        <v>99.183566049999996</v>
      </c>
      <c r="S248">
        <v>0.29844603629999999</v>
      </c>
      <c r="T248">
        <v>0.427987911</v>
      </c>
      <c r="U248">
        <v>0.09</v>
      </c>
    </row>
    <row r="249" spans="1:21" x14ac:dyDescent="0.25">
      <c r="A249" s="1" t="s">
        <v>131</v>
      </c>
      <c r="B249">
        <v>2020</v>
      </c>
      <c r="C249" t="str">
        <f>IF(A250=Estimates_of_the_use_of_water__2000_2020[[#This Row],[name]], B250-Estimates_of_the_use_of_water__2000_2020[[#This Row],[year]],"")</f>
        <v/>
      </c>
      <c r="D249">
        <v>32365.998049999998</v>
      </c>
      <c r="E249">
        <v>77.159996030000002</v>
      </c>
      <c r="F249">
        <v>97.09990707</v>
      </c>
      <c r="G249">
        <f>((F250-Estimates_of_the_use_of_water__2000_2020[[#This Row],[wat_bas_n]])/(B250-Estimates_of_the_use_of_water__2000_2020[[#This Row],[year]]))</f>
        <v>-0.34286744400000091</v>
      </c>
      <c r="H249">
        <f>((N250-Estimates_of_the_use_of_water__2000_2020[[#This Row],[wat_bas_r]])/(B250-Estimates_of_the_use_of_water__2000_2020[[#This Row],[year]]))</f>
        <v>-1.7364502299999998</v>
      </c>
      <c r="I249">
        <f>(R250-Estimates_of_the_use_of_water__2000_2020[[#This Row],[wat_bas_u]])/(B250-Estimates_of_the_use_of_water__2000_2020[[#This Row],[year]])</f>
        <v>8.6658044000000697E-2</v>
      </c>
      <c r="J249">
        <f>ABS(Estimates_of_the_use_of_water__2000_2020[[#This Row],[ARC_r]]-Estimates_of_the_use_of_water__2000_2020[[#This Row],[ARC_u]])</f>
        <v>1.8231082740000004</v>
      </c>
      <c r="K249">
        <v>0.35453968650000001</v>
      </c>
      <c r="L249">
        <v>2.5455532409999999</v>
      </c>
      <c r="N249">
        <v>90.197448120000004</v>
      </c>
      <c r="O249">
        <v>0.54445139710000001</v>
      </c>
      <c r="P249">
        <v>9.2581004779999994</v>
      </c>
      <c r="R249">
        <v>99.14309591</v>
      </c>
      <c r="S249">
        <v>0.29832426049999999</v>
      </c>
      <c r="T249">
        <v>0.46857983190000002</v>
      </c>
      <c r="U249">
        <v>0.09</v>
      </c>
    </row>
    <row r="250" spans="1:21" x14ac:dyDescent="0.25">
      <c r="A250" s="1" t="s">
        <v>90</v>
      </c>
      <c r="B250">
        <v>2015</v>
      </c>
      <c r="C250">
        <f>IF(A251=Estimates_of_the_use_of_water__2000_2020[[#This Row],[name]], B251-Estimates_of_the_use_of_water__2000_2020[[#This Row],[year]],"")</f>
        <v>5</v>
      </c>
      <c r="D250">
        <v>454.91400149999998</v>
      </c>
      <c r="E250">
        <v>38.528999329999998</v>
      </c>
      <c r="F250">
        <v>98.814244290000005</v>
      </c>
      <c r="G250">
        <f>((F251-Estimates_of_the_use_of_water__2000_2020[[#This Row],[wat_bas_n]])/(B251-Estimates_of_the_use_of_water__2000_2020[[#This Row],[year]]))</f>
        <v>0.14603886200000032</v>
      </c>
      <c r="H250">
        <f>((N251-Estimates_of_the_use_of_water__2000_2020[[#This Row],[wat_bas_r]])/(B251-Estimates_of_the_use_of_water__2000_2020[[#This Row],[year]]))</f>
        <v>0.2078626459999981</v>
      </c>
      <c r="I250">
        <f>(R251-Estimates_of_the_use_of_water__2000_2020[[#This Row],[wat_bas_u]])/(B251-Estimates_of_the_use_of_water__2000_2020[[#This Row],[year]])</f>
        <v>5.7636648000001858E-2</v>
      </c>
      <c r="J250">
        <f>ABS(Estimates_of_the_use_of_water__2000_2020[[#This Row],[ARC_r]]-Estimates_of_the_use_of_water__2000_2020[[#This Row],[ARC_u]])</f>
        <v>0.15022599799999625</v>
      </c>
      <c r="K250">
        <v>0.11215787989999999</v>
      </c>
      <c r="L250">
        <v>1.0735978349999999</v>
      </c>
      <c r="M250">
        <v>0</v>
      </c>
      <c r="N250">
        <v>98.879699270000003</v>
      </c>
      <c r="O250">
        <v>0.16698528160000001</v>
      </c>
      <c r="P250">
        <v>0.95331545299999998</v>
      </c>
      <c r="Q250">
        <v>0</v>
      </c>
      <c r="R250">
        <v>98.709805689999996</v>
      </c>
      <c r="S250">
        <v>2.4683622329999998E-2</v>
      </c>
      <c r="T250">
        <v>1.265510688</v>
      </c>
      <c r="U250">
        <v>0</v>
      </c>
    </row>
    <row r="251" spans="1:21" x14ac:dyDescent="0.25">
      <c r="A251" s="1" t="s">
        <v>90</v>
      </c>
      <c r="B251">
        <v>2020</v>
      </c>
      <c r="C251" t="str">
        <f>IF(A252=Estimates_of_the_use_of_water__2000_2020[[#This Row],[name]], B252-Estimates_of_the_use_of_water__2000_2020[[#This Row],[year]],"")</f>
        <v/>
      </c>
      <c r="D251">
        <v>540.54199219999998</v>
      </c>
      <c r="E251">
        <v>40.668998719999998</v>
      </c>
      <c r="F251">
        <v>99.544438600000007</v>
      </c>
      <c r="G251">
        <f>((F252-Estimates_of_the_use_of_water__2000_2020[[#This Row],[wat_bas_n]])/(B252-Estimates_of_the_use_of_water__2000_2020[[#This Row],[year]]))</f>
        <v>5.0289852760000002</v>
      </c>
      <c r="H251">
        <f>((N252-Estimates_of_the_use_of_water__2000_2020[[#This Row],[wat_bas_r]])/(B252-Estimates_of_the_use_of_water__2000_2020[[#This Row],[year]]))</f>
        <v>7.3046596939999988</v>
      </c>
      <c r="I251">
        <f>(R252-Estimates_of_the_use_of_water__2000_2020[[#This Row],[wat_bas_u]])/(B252-Estimates_of_the_use_of_water__2000_2020[[#This Row],[year]])</f>
        <v>1.6173166800000018</v>
      </c>
      <c r="J251">
        <f>ABS(Estimates_of_the_use_of_water__2000_2020[[#This Row],[ARC_r]]-Estimates_of_the_use_of_water__2000_2020[[#This Row],[ARC_u]])</f>
        <v>5.687343013999997</v>
      </c>
      <c r="K251">
        <v>4.8050691299999997E-2</v>
      </c>
      <c r="L251">
        <v>0.40751070499999997</v>
      </c>
      <c r="M251">
        <v>0</v>
      </c>
      <c r="N251">
        <v>99.919012499999994</v>
      </c>
      <c r="O251">
        <v>8.0987500000000004E-2</v>
      </c>
      <c r="P251">
        <v>0</v>
      </c>
      <c r="Q251">
        <v>0</v>
      </c>
      <c r="R251">
        <v>98.997988930000005</v>
      </c>
      <c r="S251">
        <v>0</v>
      </c>
      <c r="T251">
        <v>1.0020110689999999</v>
      </c>
      <c r="U251">
        <v>0</v>
      </c>
    </row>
    <row r="252" spans="1:21" x14ac:dyDescent="0.25">
      <c r="A252" s="1" t="s">
        <v>198</v>
      </c>
      <c r="B252">
        <v>2015</v>
      </c>
      <c r="C252">
        <f>IF(A253=Estimates_of_the_use_of_water__2000_2020[[#This Row],[name]], B253-Estimates_of_the_use_of_water__2000_2020[[#This Row],[year]],"")</f>
        <v>5</v>
      </c>
      <c r="D252">
        <v>17438.771479999999</v>
      </c>
      <c r="E252">
        <v>39.990997309999997</v>
      </c>
      <c r="F252">
        <v>74.399512220000005</v>
      </c>
      <c r="G252">
        <f>((F253-Estimates_of_the_use_of_water__2000_2020[[#This Row],[wat_bas_n]])/(B253-Estimates_of_the_use_of_water__2000_2020[[#This Row],[year]]))</f>
        <v>1.6295557619999983</v>
      </c>
      <c r="H252">
        <f>((N253-Estimates_of_the_use_of_water__2000_2020[[#This Row],[wat_bas_r]])/(B253-Estimates_of_the_use_of_water__2000_2020[[#This Row],[year]]))</f>
        <v>1.7370362359999987</v>
      </c>
      <c r="I252">
        <f>(R253-Estimates_of_the_use_of_water__2000_2020[[#This Row],[wat_bas_u]])/(B253-Estimates_of_the_use_of_water__2000_2020[[#This Row],[year]])</f>
        <v>1.0012098440000017</v>
      </c>
      <c r="J252">
        <f>ABS(Estimates_of_the_use_of_water__2000_2020[[#This Row],[ARC_r]]-Estimates_of_the_use_of_water__2000_2020[[#This Row],[ARC_u]])</f>
        <v>0.735826391999997</v>
      </c>
      <c r="K252">
        <v>4.1718464529999997</v>
      </c>
      <c r="L252">
        <v>19.37992934</v>
      </c>
      <c r="M252">
        <v>2.0487119809999998</v>
      </c>
      <c r="N252">
        <v>63.395714030000001</v>
      </c>
      <c r="O252">
        <v>4.4493824149999996</v>
      </c>
      <c r="P252">
        <v>28.94484164</v>
      </c>
      <c r="Q252">
        <v>3.2100619199999998</v>
      </c>
      <c r="R252">
        <v>90.911405529999996</v>
      </c>
      <c r="S252">
        <v>3.7553866569999999</v>
      </c>
      <c r="T252">
        <v>5.0271739789999996</v>
      </c>
      <c r="U252">
        <v>0.306033834</v>
      </c>
    </row>
    <row r="253" spans="1:21" x14ac:dyDescent="0.25">
      <c r="A253" s="1" t="s">
        <v>198</v>
      </c>
      <c r="B253">
        <v>2020</v>
      </c>
      <c r="C253" t="str">
        <f>IF(A254=Estimates_of_the_use_of_water__2000_2020[[#This Row],[name]], B254-Estimates_of_the_use_of_water__2000_2020[[#This Row],[year]],"")</f>
        <v/>
      </c>
      <c r="D253">
        <v>20250.833979999999</v>
      </c>
      <c r="E253">
        <v>43.909004209999999</v>
      </c>
      <c r="F253">
        <v>82.547291029999997</v>
      </c>
      <c r="G253">
        <f>((F254-Estimates_of_the_use_of_water__2000_2020[[#This Row],[wat_bas_n]])/(B254-Estimates_of_the_use_of_water__2000_2020[[#This Row],[year]]))</f>
        <v>-3.4905417940000008</v>
      </c>
      <c r="H253">
        <f>((N254-Estimates_of_the_use_of_water__2000_2020[[#This Row],[wat_bas_r]])/(B254-Estimates_of_the_use_of_water__2000_2020[[#This Row],[year]]))</f>
        <v>-5.5838209580000013</v>
      </c>
      <c r="I253">
        <f>(R254-Estimates_of_the_use_of_water__2000_2020[[#This Row],[wat_bas_u]])/(B254-Estimates_of_the_use_of_water__2000_2020[[#This Row],[year]])</f>
        <v>-0.81650904999999907</v>
      </c>
      <c r="J253">
        <f>ABS(Estimates_of_the_use_of_water__2000_2020[[#This Row],[ARC_r]]-Estimates_of_the_use_of_water__2000_2020[[#This Row],[ARC_u]])</f>
        <v>4.7673119080000026</v>
      </c>
      <c r="K253">
        <v>3.8547345270000002</v>
      </c>
      <c r="L253">
        <v>12.246971350000001</v>
      </c>
      <c r="M253">
        <v>1.3510030900000001</v>
      </c>
      <c r="N253">
        <v>72.080895209999994</v>
      </c>
      <c r="O253">
        <v>3.7824122299999998</v>
      </c>
      <c r="P253">
        <v>21.72810084</v>
      </c>
      <c r="Q253">
        <v>2.4085917170000002</v>
      </c>
      <c r="R253">
        <v>95.917454750000005</v>
      </c>
      <c r="S253">
        <v>3.947121723</v>
      </c>
      <c r="T253">
        <v>0.13542353139999999</v>
      </c>
      <c r="U253">
        <v>0</v>
      </c>
    </row>
    <row r="254" spans="1:21" x14ac:dyDescent="0.25">
      <c r="A254" s="1" t="s">
        <v>30</v>
      </c>
      <c r="B254">
        <v>2015</v>
      </c>
      <c r="C254">
        <f>IF(A255=Estimates_of_the_use_of_water__2000_2020[[#This Row],[name]], B255-Estimates_of_the_use_of_water__2000_2020[[#This Row],[year]],"")</f>
        <v>5</v>
      </c>
      <c r="D254">
        <v>433.55899049999999</v>
      </c>
      <c r="E254">
        <v>94.414001459999994</v>
      </c>
      <c r="F254">
        <v>100</v>
      </c>
      <c r="G254">
        <f>((F255-Estimates_of_the_use_of_water__2000_2020[[#This Row],[wat_bas_n]])/(B255-Estimates_of_the_use_of_water__2000_2020[[#This Row],[year]]))</f>
        <v>8.0000000934887789E-8</v>
      </c>
      <c r="H254">
        <f>((N255-Estimates_of_the_use_of_water__2000_2020[[#This Row],[wat_bas_r]])/(B255-Estimates_of_the_use_of_water__2000_2020[[#This Row],[year]]))</f>
        <v>0</v>
      </c>
      <c r="I254">
        <f>(R255-Estimates_of_the_use_of_water__2000_2020[[#This Row],[wat_bas_u]])/(B255-Estimates_of_the_use_of_water__2000_2020[[#This Row],[year]])</f>
        <v>0</v>
      </c>
      <c r="J254">
        <f>ABS(Estimates_of_the_use_of_water__2000_2020[[#This Row],[ARC_r]]-Estimates_of_the_use_of_water__2000_2020[[#This Row],[ARC_u]])</f>
        <v>0</v>
      </c>
      <c r="K254">
        <v>0</v>
      </c>
      <c r="L254">
        <v>0</v>
      </c>
      <c r="M254">
        <v>0</v>
      </c>
      <c r="N254">
        <v>100</v>
      </c>
      <c r="O254">
        <v>0</v>
      </c>
      <c r="P254">
        <v>0</v>
      </c>
      <c r="Q254">
        <v>0</v>
      </c>
      <c r="R254">
        <v>100</v>
      </c>
      <c r="S254">
        <v>0</v>
      </c>
      <c r="T254">
        <v>0</v>
      </c>
      <c r="U254">
        <v>0</v>
      </c>
    </row>
    <row r="255" spans="1:21" x14ac:dyDescent="0.25">
      <c r="A255" s="1" t="s">
        <v>30</v>
      </c>
      <c r="B255">
        <v>2020</v>
      </c>
      <c r="C255" t="str">
        <f>IF(A256=Estimates_of_the_use_of_water__2000_2020[[#This Row],[name]], B256-Estimates_of_the_use_of_water__2000_2020[[#This Row],[year]],"")</f>
        <v/>
      </c>
      <c r="D255">
        <v>441.53900149999998</v>
      </c>
      <c r="E255">
        <v>94.744003300000003</v>
      </c>
      <c r="F255">
        <v>100.0000004</v>
      </c>
      <c r="G255">
        <f>((F256-Estimates_of_the_use_of_water__2000_2020[[#This Row],[wat_bas_n]])/(B256-Estimates_of_the_use_of_water__2000_2020[[#This Row],[year]]))</f>
        <v>2.3314953560000022</v>
      </c>
      <c r="H255">
        <f>((N256-Estimates_of_the_use_of_water__2000_2020[[#This Row],[wat_bas_r]])/(B256-Estimates_of_the_use_of_water__2000_2020[[#This Row],[year]]))</f>
        <v>1.1443279999999987</v>
      </c>
      <c r="I255">
        <f>(R256-Estimates_of_the_use_of_water__2000_2020[[#This Row],[wat_bas_u]])/(B256-Estimates_of_the_use_of_water__2000_2020[[#This Row],[year]])</f>
        <v>2.710284526000001</v>
      </c>
      <c r="J255">
        <f>ABS(Estimates_of_the_use_of_water__2000_2020[[#This Row],[ARC_r]]-Estimates_of_the_use_of_water__2000_2020[[#This Row],[ARC_u]])</f>
        <v>1.5659565260000023</v>
      </c>
      <c r="K255">
        <v>0</v>
      </c>
      <c r="L255">
        <v>0</v>
      </c>
      <c r="M255">
        <v>0</v>
      </c>
      <c r="N255">
        <v>100</v>
      </c>
      <c r="O255">
        <v>0</v>
      </c>
      <c r="P255">
        <v>0</v>
      </c>
      <c r="Q255">
        <v>0</v>
      </c>
      <c r="R255">
        <v>100</v>
      </c>
      <c r="S255">
        <v>0</v>
      </c>
      <c r="T255">
        <v>0</v>
      </c>
      <c r="U255">
        <v>0</v>
      </c>
    </row>
    <row r="256" spans="1:21" x14ac:dyDescent="0.25">
      <c r="A256" s="1" t="s">
        <v>188</v>
      </c>
      <c r="B256">
        <v>2015</v>
      </c>
      <c r="C256">
        <f>IF(A257=Estimates_of_the_use_of_water__2000_2020[[#This Row],[name]], B257-Estimates_of_the_use_of_water__2000_2020[[#This Row],[year]],"")</f>
        <v>5</v>
      </c>
      <c r="D256">
        <v>57.444000240000001</v>
      </c>
      <c r="E256">
        <v>75.810997009999994</v>
      </c>
      <c r="F256">
        <v>88.342523619999994</v>
      </c>
      <c r="G256">
        <f>((F257-Estimates_of_the_use_of_water__2000_2020[[#This Row],[wat_bas_n]])/(B257-Estimates_of_the_use_of_water__2000_2020[[#This Row],[year]]))</f>
        <v>4.5904672000000347E-2</v>
      </c>
      <c r="H256">
        <f>((N257-Estimates_of_the_use_of_water__2000_2020[[#This Row],[wat_bas_r]])/(B257-Estimates_of_the_use_of_water__2000_2020[[#This Row],[year]]))</f>
        <v>3.0271999999999365E-2</v>
      </c>
      <c r="I256">
        <f>(R257-Estimates_of_the_use_of_water__2000_2020[[#This Row],[wat_bas_u]])/(B257-Estimates_of_the_use_of_water__2000_2020[[#This Row],[year]])</f>
        <v>9.0284526000002072E-2</v>
      </c>
      <c r="J256">
        <f>ABS(Estimates_of_the_use_of_water__2000_2020[[#This Row],[ARC_r]]-Estimates_of_the_use_of_water__2000_2020[[#This Row],[ARC_u]])</f>
        <v>6.0012526000002703E-2</v>
      </c>
      <c r="K256">
        <v>11.18141559</v>
      </c>
      <c r="L256">
        <v>0.47606079179999999</v>
      </c>
      <c r="M256">
        <v>0</v>
      </c>
      <c r="N256">
        <v>94.278360000000006</v>
      </c>
      <c r="O256">
        <v>5.38164</v>
      </c>
      <c r="P256">
        <v>0.34</v>
      </c>
      <c r="Q256">
        <v>0</v>
      </c>
      <c r="R256">
        <v>86.448577369999995</v>
      </c>
      <c r="S256">
        <v>13.03194895</v>
      </c>
      <c r="T256">
        <v>0.51947368419999995</v>
      </c>
      <c r="U256">
        <v>0</v>
      </c>
    </row>
    <row r="257" spans="1:21" x14ac:dyDescent="0.25">
      <c r="A257" s="1" t="s">
        <v>188</v>
      </c>
      <c r="B257">
        <v>2020</v>
      </c>
      <c r="C257" t="str">
        <f>IF(A258=Estimates_of_the_use_of_water__2000_2020[[#This Row],[name]], B258-Estimates_of_the_use_of_water__2000_2020[[#This Row],[year]],"")</f>
        <v/>
      </c>
      <c r="D257">
        <v>59.194000240000001</v>
      </c>
      <c r="E257">
        <v>77.793991090000006</v>
      </c>
      <c r="F257">
        <v>88.572046979999996</v>
      </c>
      <c r="G257">
        <f>((F258-Estimates_of_the_use_of_water__2000_2020[[#This Row],[wat_bas_n]])/(B258-Estimates_of_the_use_of_water__2000_2020[[#This Row],[year]]))</f>
        <v>-2.2447966040000011</v>
      </c>
      <c r="H257">
        <f>((N258-Estimates_of_the_use_of_water__2000_2020[[#This Row],[wat_bas_r]])/(B258-Estimates_of_the_use_of_water__2000_2020[[#This Row],[year]]))</f>
        <v>18.885944000000002</v>
      </c>
      <c r="I257">
        <f>(R258-Estimates_of_the_use_of_water__2000_2020[[#This Row],[wat_bas_u]])/(B258-Estimates_of_the_use_of_water__2000_2020[[#This Row],[year]])</f>
        <v>17.380000000000003</v>
      </c>
      <c r="J257">
        <f>ABS(Estimates_of_the_use_of_water__2000_2020[[#This Row],[ARC_r]]-Estimates_of_the_use_of_water__2000_2020[[#This Row],[ARC_u]])</f>
        <v>1.5059439999999995</v>
      </c>
      <c r="K257">
        <v>11.387979</v>
      </c>
      <c r="L257">
        <v>3.9974025849999997E-2</v>
      </c>
      <c r="M257">
        <v>0</v>
      </c>
      <c r="N257">
        <v>94.429720000000003</v>
      </c>
      <c r="O257">
        <v>5.3902799999999997</v>
      </c>
      <c r="P257">
        <v>0.18</v>
      </c>
      <c r="Q257">
        <v>0</v>
      </c>
      <c r="R257">
        <v>86.9</v>
      </c>
      <c r="S257">
        <v>13.1</v>
      </c>
      <c r="T257">
        <v>0</v>
      </c>
      <c r="U257">
        <v>0</v>
      </c>
    </row>
    <row r="258" spans="1:21" x14ac:dyDescent="0.25">
      <c r="A258" s="1" t="s">
        <v>76</v>
      </c>
      <c r="B258">
        <v>2015</v>
      </c>
      <c r="C258">
        <f>IF(A259=Estimates_of_the_use_of_water__2000_2020[[#This Row],[name]], B259-Estimates_of_the_use_of_water__2000_2020[[#This Row],[year]],"")</f>
        <v>5</v>
      </c>
      <c r="D258">
        <v>378.48300169999999</v>
      </c>
      <c r="E258">
        <v>88.981002810000007</v>
      </c>
      <c r="F258">
        <v>99.796030000000002</v>
      </c>
      <c r="G258">
        <f>((F259-Estimates_of_the_use_of_water__2000_2020[[#This Row],[wat_bas_n]])/(B259-Estimates_of_the_use_of_water__2000_2020[[#This Row],[year]]))</f>
        <v>9.1881559999990262E-3</v>
      </c>
      <c r="H258">
        <f>((N259-Estimates_of_the_use_of_water__2000_2020[[#This Row],[wat_bas_r]])/(B259-Estimates_of_the_use_of_water__2000_2020[[#This Row],[year]]))</f>
        <v>0</v>
      </c>
      <c r="I258">
        <f>(R259-Estimates_of_the_use_of_water__2000_2020[[#This Row],[wat_bas_u]])/(B259-Estimates_of_the_use_of_water__2000_2020[[#This Row],[year]])</f>
        <v>0</v>
      </c>
      <c r="J258">
        <f>ABS(Estimates_of_the_use_of_water__2000_2020[[#This Row],[ARC_r]]-Estimates_of_the_use_of_water__2000_2020[[#This Row],[ARC_u]])</f>
        <v>0</v>
      </c>
      <c r="K258">
        <v>0</v>
      </c>
      <c r="L258">
        <v>0.20396999539999999</v>
      </c>
      <c r="M258">
        <v>0</v>
      </c>
    </row>
    <row r="259" spans="1:21" x14ac:dyDescent="0.25">
      <c r="A259" s="1" t="s">
        <v>76</v>
      </c>
      <c r="B259">
        <v>2020</v>
      </c>
      <c r="C259" t="str">
        <f>IF(A260=Estimates_of_the_use_of_water__2000_2020[[#This Row],[name]], B260-Estimates_of_the_use_of_water__2000_2020[[#This Row],[year]],"")</f>
        <v/>
      </c>
      <c r="D259">
        <v>375.26501459999997</v>
      </c>
      <c r="E259">
        <v>89.13999939</v>
      </c>
      <c r="F259">
        <v>99.841970779999997</v>
      </c>
      <c r="G259">
        <f>((F260-Estimates_of_the_use_of_water__2000_2020[[#This Row],[wat_bas_n]])/(B260-Estimates_of_the_use_of_water__2000_2020[[#This Row],[year]]))</f>
        <v>6.5737322759999985</v>
      </c>
      <c r="H259">
        <f>((N260-Estimates_of_the_use_of_water__2000_2020[[#This Row],[wat_bas_r]])/(B260-Estimates_of_the_use_of_water__2000_2020[[#This Row],[year]]))</f>
        <v>-9.3385684359999992</v>
      </c>
      <c r="I259">
        <f>(R260-Estimates_of_the_use_of_water__2000_2020[[#This Row],[wat_bas_u]])/(B260-Estimates_of_the_use_of_water__2000_2020[[#This Row],[year]])</f>
        <v>-17.277837718000001</v>
      </c>
      <c r="J259">
        <f>ABS(Estimates_of_the_use_of_water__2000_2020[[#This Row],[ARC_r]]-Estimates_of_the_use_of_water__2000_2020[[#This Row],[ARC_u]])</f>
        <v>7.9392692820000015</v>
      </c>
      <c r="K259">
        <v>0</v>
      </c>
      <c r="L259">
        <v>0.15802921580000001</v>
      </c>
      <c r="M259">
        <v>0</v>
      </c>
    </row>
    <row r="260" spans="1:21" x14ac:dyDescent="0.25">
      <c r="A260" s="1" t="s">
        <v>211</v>
      </c>
      <c r="B260">
        <v>2015</v>
      </c>
      <c r="C260">
        <f>IF(A261=Estimates_of_the_use_of_water__2000_2020[[#This Row],[name]], B261-Estimates_of_the_use_of_water__2000_2020[[#This Row],[year]],"")</f>
        <v>5</v>
      </c>
      <c r="D260">
        <v>4046.3039549999999</v>
      </c>
      <c r="E260">
        <v>51.0890007</v>
      </c>
      <c r="F260">
        <v>66.973309400000005</v>
      </c>
      <c r="G260">
        <f>((F261-Estimates_of_the_use_of_water__2000_2020[[#This Row],[wat_bas_n]])/(B261-Estimates_of_the_use_of_water__2000_2020[[#This Row],[year]]))</f>
        <v>0.94154796599999879</v>
      </c>
      <c r="H260">
        <f>((N261-Estimates_of_the_use_of_water__2000_2020[[#This Row],[wat_bas_r]])/(B261-Estimates_of_the_use_of_water__2000_2020[[#This Row],[year]]))</f>
        <v>0.64369934399999951</v>
      </c>
      <c r="I260">
        <f>(R261-Estimates_of_the_use_of_water__2000_2020[[#This Row],[wat_bas_u]])/(B261-Estimates_of_the_use_of_water__2000_2020[[#This Row],[year]])</f>
        <v>0.57390121199999844</v>
      </c>
      <c r="J260">
        <f>ABS(Estimates_of_the_use_of_water__2000_2020[[#This Row],[ARC_r]]-Estimates_of_the_use_of_water__2000_2020[[#This Row],[ARC_u]])</f>
        <v>6.9798132000001067E-2</v>
      </c>
      <c r="K260">
        <v>14.811653570000001</v>
      </c>
      <c r="L260">
        <v>17.637023750000001</v>
      </c>
      <c r="M260">
        <v>0.57801328240000005</v>
      </c>
      <c r="N260">
        <v>46.69284218</v>
      </c>
      <c r="O260">
        <v>18.20063085</v>
      </c>
      <c r="P260">
        <v>33.924761500000002</v>
      </c>
      <c r="Q260">
        <v>1.1817654639999999</v>
      </c>
      <c r="R260">
        <v>86.389188590000003</v>
      </c>
      <c r="S260">
        <v>11.56715369</v>
      </c>
      <c r="T260">
        <v>2.043657719</v>
      </c>
      <c r="U260">
        <v>0</v>
      </c>
    </row>
    <row r="261" spans="1:21" x14ac:dyDescent="0.25">
      <c r="A261" s="1" t="s">
        <v>211</v>
      </c>
      <c r="B261">
        <v>2020</v>
      </c>
      <c r="C261" t="str">
        <f>IF(A262=Estimates_of_the_use_of_water__2000_2020[[#This Row],[name]], B262-Estimates_of_the_use_of_water__2000_2020[[#This Row],[year]],"")</f>
        <v/>
      </c>
      <c r="D261">
        <v>4649.6601559999999</v>
      </c>
      <c r="E261">
        <v>55.326995850000003</v>
      </c>
      <c r="F261">
        <v>71.681049229999999</v>
      </c>
      <c r="G261">
        <f>((F262-Estimates_of_the_use_of_water__2000_2020[[#This Row],[wat_bas_n]])/(B262-Estimates_of_the_use_of_water__2000_2020[[#This Row],[year]]))</f>
        <v>-5.6370865180000012</v>
      </c>
      <c r="H261">
        <f>((N262-Estimates_of_the_use_of_water__2000_2020[[#This Row],[wat_bas_r]])/(B262-Estimates_of_the_use_of_water__2000_2020[[#This Row],[year]]))</f>
        <v>-9.983268687999999</v>
      </c>
      <c r="I261">
        <f>(R262-Estimates_of_the_use_of_water__2000_2020[[#This Row],[wat_bas_u]])/(B262-Estimates_of_the_use_of_water__2000_2020[[#This Row],[year]])</f>
        <v>-2.1327241140000011</v>
      </c>
      <c r="J261">
        <f>ABS(Estimates_of_the_use_of_water__2000_2020[[#This Row],[ARC_r]]-Estimates_of_the_use_of_water__2000_2020[[#This Row],[ARC_u]])</f>
        <v>7.8505445739999979</v>
      </c>
      <c r="K261">
        <v>13.476891930000001</v>
      </c>
      <c r="L261">
        <v>14.820326809999999</v>
      </c>
      <c r="M261">
        <v>2.173203433E-2</v>
      </c>
      <c r="N261">
        <v>49.911338899999997</v>
      </c>
      <c r="O261">
        <v>18.49039689</v>
      </c>
      <c r="P261">
        <v>31.549617300000001</v>
      </c>
      <c r="Q261">
        <v>4.8646907220000001E-2</v>
      </c>
      <c r="R261">
        <v>89.258694649999995</v>
      </c>
      <c r="S261">
        <v>9.4288080829999998</v>
      </c>
      <c r="T261">
        <v>1.3124972699999999</v>
      </c>
      <c r="U261">
        <v>0</v>
      </c>
    </row>
    <row r="262" spans="1:21" x14ac:dyDescent="0.25">
      <c r="A262" s="1" t="s">
        <v>74</v>
      </c>
      <c r="B262">
        <v>2015</v>
      </c>
      <c r="C262">
        <f>IF(A263=Estimates_of_the_use_of_water__2000_2020[[#This Row],[name]], B263-Estimates_of_the_use_of_water__2000_2020[[#This Row],[year]],"")</f>
        <v>5</v>
      </c>
      <c r="D262">
        <v>1259.4570309999999</v>
      </c>
      <c r="E262">
        <v>41</v>
      </c>
      <c r="F262">
        <v>99.866481820000004</v>
      </c>
      <c r="G262">
        <f>((F263-Estimates_of_the_use_of_water__2000_2020[[#This Row],[wat_bas_n]])/(B263-Estimates_of_the_use_of_water__2000_2020[[#This Row],[year]]))</f>
        <v>-4.5424000001048624E-5</v>
      </c>
      <c r="H262">
        <f>((N263-Estimates_of_the_use_of_water__2000_2020[[#This Row],[wat_bas_r]])/(B263-Estimates_of_the_use_of_water__2000_2020[[#This Row],[year]]))</f>
        <v>0</v>
      </c>
      <c r="I262">
        <f>(R263-Estimates_of_the_use_of_water__2000_2020[[#This Row],[wat_bas_u]])/(B263-Estimates_of_the_use_of_water__2000_2020[[#This Row],[year]])</f>
        <v>0</v>
      </c>
      <c r="J262">
        <f>ABS(Estimates_of_the_use_of_water__2000_2020[[#This Row],[ARC_r]]-Estimates_of_the_use_of_water__2000_2020[[#This Row],[ARC_u]])</f>
        <v>0</v>
      </c>
      <c r="K262">
        <v>0</v>
      </c>
      <c r="L262">
        <v>0.13351818090000001</v>
      </c>
      <c r="M262">
        <v>0</v>
      </c>
      <c r="N262">
        <v>99.827682339999996</v>
      </c>
      <c r="O262">
        <v>0</v>
      </c>
      <c r="P262">
        <v>0.17231766179999999</v>
      </c>
      <c r="Q262">
        <v>0</v>
      </c>
      <c r="R262">
        <v>99.922315220000002</v>
      </c>
      <c r="S262">
        <v>0</v>
      </c>
      <c r="T262">
        <v>7.7684781189999996E-2</v>
      </c>
      <c r="U262">
        <v>0</v>
      </c>
    </row>
    <row r="263" spans="1:21" x14ac:dyDescent="0.25">
      <c r="A263" s="1" t="s">
        <v>74</v>
      </c>
      <c r="B263">
        <v>2020</v>
      </c>
      <c r="C263" t="str">
        <f>IF(A264=Estimates_of_the_use_of_water__2000_2020[[#This Row],[name]], B264-Estimates_of_the_use_of_water__2000_2020[[#This Row],[year]],"")</f>
        <v/>
      </c>
      <c r="D263">
        <v>1271.7669679999999</v>
      </c>
      <c r="E263">
        <v>40.759998320000001</v>
      </c>
      <c r="F263">
        <v>99.866254699999999</v>
      </c>
      <c r="G263">
        <f>((F264-Estimates_of_the_use_of_water__2000_2020[[#This Row],[wat_bas_n]])/(B264-Estimates_of_the_use_of_water__2000_2020[[#This Row],[year]]))</f>
        <v>0.60568868400000042</v>
      </c>
      <c r="H263">
        <f>((N264-Estimates_of_the_use_of_water__2000_2020[[#This Row],[wat_bas_r]])/(B264-Estimates_of_the_use_of_water__2000_2020[[#This Row],[year]]))</f>
        <v>19.965536468</v>
      </c>
      <c r="I263">
        <f>(R264-Estimates_of_the_use_of_water__2000_2020[[#This Row],[wat_bas_u]])/(B264-Estimates_of_the_use_of_water__2000_2020[[#This Row],[year]])</f>
        <v>19.984463044000002</v>
      </c>
      <c r="J263">
        <f>ABS(Estimates_of_the_use_of_water__2000_2020[[#This Row],[ARC_r]]-Estimates_of_the_use_of_water__2000_2020[[#This Row],[ARC_u]])</f>
        <v>1.8926576000001916E-2</v>
      </c>
      <c r="K263">
        <v>0</v>
      </c>
      <c r="L263">
        <v>0.13374530139999999</v>
      </c>
      <c r="M263">
        <v>0</v>
      </c>
      <c r="N263">
        <v>99.827682339999996</v>
      </c>
      <c r="O263">
        <v>0</v>
      </c>
      <c r="P263">
        <v>0.17231766179999999</v>
      </c>
      <c r="Q263">
        <v>0</v>
      </c>
      <c r="R263">
        <v>99.922315220000002</v>
      </c>
      <c r="S263">
        <v>0</v>
      </c>
      <c r="T263">
        <v>7.7684781189999996E-2</v>
      </c>
      <c r="U263">
        <v>0</v>
      </c>
    </row>
    <row r="264" spans="1:21" x14ac:dyDescent="0.25">
      <c r="A264" s="1" t="s">
        <v>138</v>
      </c>
      <c r="B264">
        <v>2015</v>
      </c>
      <c r="C264">
        <f>IF(A265=Estimates_of_the_use_of_water__2000_2020[[#This Row],[name]], B265-Estimates_of_the_use_of_water__2000_2020[[#This Row],[year]],"")</f>
        <v>5</v>
      </c>
      <c r="D264">
        <v>240.01100159999999</v>
      </c>
      <c r="E264">
        <v>46.989002229999997</v>
      </c>
      <c r="F264">
        <v>96.837811279999997</v>
      </c>
      <c r="G264">
        <f>((F265-Estimates_of_the_use_of_water__2000_2020[[#This Row],[wat_bas_n]])/(B265-Estimates_of_the_use_of_water__2000_2020[[#This Row],[year]]))</f>
        <v>-9.3326313999997981E-2</v>
      </c>
      <c r="H264">
        <f>((N265-Estimates_of_the_use_of_water__2000_2020[[#This Row],[wat_bas_r]])/(B265-Estimates_of_the_use_of_water__2000_2020[[#This Row],[year]]))</f>
        <v>0</v>
      </c>
      <c r="I264">
        <f>(R265-Estimates_of_the_use_of_water__2000_2020[[#This Row],[wat_bas_u]])/(B265-Estimates_of_the_use_of_water__2000_2020[[#This Row],[year]])</f>
        <v>0</v>
      </c>
      <c r="J264">
        <f>ABS(Estimates_of_the_use_of_water__2000_2020[[#This Row],[ARC_r]]-Estimates_of_the_use_of_water__2000_2020[[#This Row],[ARC_u]])</f>
        <v>0</v>
      </c>
      <c r="K264">
        <v>0</v>
      </c>
      <c r="L264">
        <v>0.28201846689999999</v>
      </c>
      <c r="M264">
        <v>2.880170256</v>
      </c>
    </row>
    <row r="265" spans="1:21" x14ac:dyDescent="0.25">
      <c r="A265" s="1" t="s">
        <v>138</v>
      </c>
      <c r="B265">
        <v>2020</v>
      </c>
      <c r="C265" t="str">
        <f>IF(A266=Estimates_of_the_use_of_water__2000_2020[[#This Row],[name]], B266-Estimates_of_the_use_of_water__2000_2020[[#This Row],[year]],"")</f>
        <v/>
      </c>
      <c r="D265">
        <v>272.81298829999997</v>
      </c>
      <c r="E265">
        <v>45.750999450000002</v>
      </c>
      <c r="F265">
        <v>96.371179710000007</v>
      </c>
      <c r="G265">
        <f>((F266-Estimates_of_the_use_of_water__2000_2020[[#This Row],[wat_bas_n]])/(B266-Estimates_of_the_use_of_water__2000_2020[[#This Row],[year]]))</f>
        <v>-0.33085276599999813</v>
      </c>
      <c r="H265">
        <f>((N266-Estimates_of_the_use_of_water__2000_2020[[#This Row],[wat_bas_r]])/(B266-Estimates_of_the_use_of_water__2000_2020[[#This Row],[year]]))</f>
        <v>-18.657338806000002</v>
      </c>
      <c r="I265">
        <f>(R266-Estimates_of_the_use_of_water__2000_2020[[#This Row],[wat_bas_u]])/(B266-Estimates_of_the_use_of_water__2000_2020[[#This Row],[year]])</f>
        <v>-19.85271058</v>
      </c>
      <c r="J265">
        <f>ABS(Estimates_of_the_use_of_water__2000_2020[[#This Row],[ARC_r]]-Estimates_of_the_use_of_water__2000_2020[[#This Row],[ARC_u]])</f>
        <v>1.1953717739999981</v>
      </c>
      <c r="K265">
        <v>0</v>
      </c>
      <c r="L265">
        <v>3.6288202950000001</v>
      </c>
    </row>
    <row r="266" spans="1:21" x14ac:dyDescent="0.25">
      <c r="A266" s="1" t="s">
        <v>87</v>
      </c>
      <c r="B266">
        <v>2015</v>
      </c>
      <c r="C266">
        <f>IF(A267=Estimates_of_the_use_of_water__2000_2020[[#This Row],[name]], B267-Estimates_of_the_use_of_water__2000_2020[[#This Row],[year]],"")</f>
        <v>5</v>
      </c>
      <c r="D266">
        <v>121858.25</v>
      </c>
      <c r="E266">
        <v>79.284996030000002</v>
      </c>
      <c r="F266">
        <v>98.025443539999998</v>
      </c>
      <c r="G266">
        <f>((F267-Estimates_of_the_use_of_water__2000_2020[[#This Row],[wat_bas_n]])/(B267-Estimates_of_the_use_of_water__2000_2020[[#This Row],[year]]))</f>
        <v>0.33082494800000006</v>
      </c>
      <c r="H266">
        <f>((N267-Estimates_of_the_use_of_water__2000_2020[[#This Row],[wat_bas_r]])/(B267-Estimates_of_the_use_of_water__2000_2020[[#This Row],[year]]))</f>
        <v>1.0100749799999988</v>
      </c>
      <c r="I266">
        <f>(R267-Estimates_of_the_use_of_water__2000_2020[[#This Row],[wat_bas_u]])/(B267-Estimates_of_the_use_of_water__2000_2020[[#This Row],[year]])</f>
        <v>0.14728942000000131</v>
      </c>
      <c r="J266">
        <f>ABS(Estimates_of_the_use_of_water__2000_2020[[#This Row],[ARC_r]]-Estimates_of_the_use_of_water__2000_2020[[#This Row],[ARC_u]])</f>
        <v>0.86278555999999751</v>
      </c>
      <c r="K266">
        <v>0</v>
      </c>
      <c r="L266">
        <v>1.4123609640000001</v>
      </c>
      <c r="M266">
        <v>0.56219549209999997</v>
      </c>
      <c r="N266">
        <v>93.286694030000007</v>
      </c>
      <c r="O266">
        <v>0</v>
      </c>
      <c r="P266">
        <v>4.3109388519999996</v>
      </c>
      <c r="Q266">
        <v>2.4023671210000002</v>
      </c>
      <c r="R266">
        <v>99.263552899999993</v>
      </c>
      <c r="S266">
        <v>0</v>
      </c>
      <c r="T266">
        <v>0.65503800599999995</v>
      </c>
      <c r="U266">
        <v>8.140909465E-2</v>
      </c>
    </row>
    <row r="267" spans="1:21" x14ac:dyDescent="0.25">
      <c r="A267" s="1" t="s">
        <v>87</v>
      </c>
      <c r="B267">
        <v>2020</v>
      </c>
      <c r="C267" t="str">
        <f>IF(A268=Estimates_of_the_use_of_water__2000_2020[[#This Row],[name]], B268-Estimates_of_the_use_of_water__2000_2020[[#This Row],[year]],"")</f>
        <v/>
      </c>
      <c r="D267">
        <v>128932.75</v>
      </c>
      <c r="E267">
        <v>80.730995179999994</v>
      </c>
      <c r="F267">
        <v>99.679568279999998</v>
      </c>
      <c r="G267">
        <f>((F268-Estimates_of_the_use_of_water__2000_2020[[#This Row],[wat_bas_n]])/(B268-Estimates_of_the_use_of_water__2000_2020[[#This Row],[year]]))</f>
        <v>2.2742823200000002</v>
      </c>
      <c r="H267">
        <f>((N268-Estimates_of_the_use_of_water__2000_2020[[#This Row],[wat_bas_r]])/(B268-Estimates_of_the_use_of_water__2000_2020[[#This Row],[year]]))</f>
        <v>19.667413786000001</v>
      </c>
      <c r="I267">
        <f>(R268-Estimates_of_the_use_of_water__2000_2020[[#This Row],[wat_bas_u]])/(B268-Estimates_of_the_use_of_water__2000_2020[[#This Row],[year]])</f>
        <v>20</v>
      </c>
      <c r="J267">
        <f>ABS(Estimates_of_the_use_of_water__2000_2020[[#This Row],[ARC_r]]-Estimates_of_the_use_of_water__2000_2020[[#This Row],[ARC_u]])</f>
        <v>0.3325862139999991</v>
      </c>
      <c r="K267">
        <v>0</v>
      </c>
      <c r="L267">
        <v>0.3204317169</v>
      </c>
      <c r="M267">
        <v>0</v>
      </c>
      <c r="N267">
        <v>98.337068930000001</v>
      </c>
      <c r="O267">
        <v>0</v>
      </c>
      <c r="P267">
        <v>1.6629310669999999</v>
      </c>
      <c r="Q267">
        <v>0</v>
      </c>
      <c r="R267">
        <v>100</v>
      </c>
      <c r="S267">
        <v>0</v>
      </c>
      <c r="T267">
        <v>0</v>
      </c>
      <c r="U267">
        <v>0</v>
      </c>
    </row>
    <row r="268" spans="1:21" x14ac:dyDescent="0.25">
      <c r="A268" s="1" t="s">
        <v>189</v>
      </c>
      <c r="B268">
        <v>2015</v>
      </c>
      <c r="C268">
        <f>IF(A269=Estimates_of_the_use_of_water__2000_2020[[#This Row],[name]], B269-Estimates_of_the_use_of_water__2000_2020[[#This Row],[year]],"")</f>
        <v>4</v>
      </c>
      <c r="D268">
        <v>108.8860016</v>
      </c>
      <c r="E268">
        <v>22.455999370000001</v>
      </c>
      <c r="F268">
        <v>88.308156679999996</v>
      </c>
      <c r="G268">
        <f>((F269-Estimates_of_the_use_of_water__2000_2020[[#This Row],[wat_bas_n]])/(B269-Estimates_of_the_use_of_water__2000_2020[[#This Row],[year]]))</f>
        <v>0</v>
      </c>
      <c r="H268">
        <f>((N269-Estimates_of_the_use_of_water__2000_2020[[#This Row],[wat_bas_r]])/(B269-Estimates_of_the_use_of_water__2000_2020[[#This Row],[year]]))</f>
        <v>0</v>
      </c>
      <c r="I268">
        <f>(R269-Estimates_of_the_use_of_water__2000_2020[[#This Row],[wat_bas_u]])/(B269-Estimates_of_the_use_of_water__2000_2020[[#This Row],[year]])</f>
        <v>0</v>
      </c>
      <c r="J268">
        <f>ABS(Estimates_of_the_use_of_water__2000_2020[[#This Row],[ARC_r]]-Estimates_of_the_use_of_water__2000_2020[[#This Row],[ARC_u]])</f>
        <v>0</v>
      </c>
      <c r="K268">
        <v>0</v>
      </c>
      <c r="L268">
        <v>11.69184332</v>
      </c>
    </row>
    <row r="269" spans="1:21" x14ac:dyDescent="0.25">
      <c r="A269" s="1" t="s">
        <v>189</v>
      </c>
      <c r="B269">
        <v>2019</v>
      </c>
      <c r="C269" t="str">
        <f>IF(A270=Estimates_of_the_use_of_water__2000_2020[[#This Row],[name]], B270-Estimates_of_the_use_of_water__2000_2020[[#This Row],[year]],"")</f>
        <v/>
      </c>
      <c r="D269">
        <v>113.810997</v>
      </c>
      <c r="E269">
        <v>22.812000269999999</v>
      </c>
      <c r="F269">
        <v>88.308156679999996</v>
      </c>
      <c r="G269">
        <f>((F270-Estimates_of_the_use_of_water__2000_2020[[#This Row],[wat_bas_n]])/(B270-Estimates_of_the_use_of_water__2000_2020[[#This Row],[year]]))</f>
        <v>-2.922960830000001</v>
      </c>
      <c r="H269">
        <f>((N270-Estimates_of_the_use_of_water__2000_2020[[#This Row],[wat_bas_r]])/(B270-Estimates_of_the_use_of_water__2000_2020[[#This Row],[year]]))</f>
        <v>0</v>
      </c>
      <c r="I269">
        <f>(R270-Estimates_of_the_use_of_water__2000_2020[[#This Row],[wat_bas_u]])/(B270-Estimates_of_the_use_of_water__2000_2020[[#This Row],[year]])</f>
        <v>-25</v>
      </c>
      <c r="J269">
        <f>ABS(Estimates_of_the_use_of_water__2000_2020[[#This Row],[ARC_r]]-Estimates_of_the_use_of_water__2000_2020[[#This Row],[ARC_u]])</f>
        <v>25</v>
      </c>
      <c r="K269">
        <v>0</v>
      </c>
      <c r="L269">
        <v>11.69184332</v>
      </c>
    </row>
    <row r="270" spans="1:21" x14ac:dyDescent="0.25">
      <c r="A270" s="1" t="s">
        <v>37</v>
      </c>
      <c r="B270">
        <v>2015</v>
      </c>
      <c r="C270">
        <f>IF(A271=Estimates_of_the_use_of_water__2000_2020[[#This Row],[name]], B271-Estimates_of_the_use_of_water__2000_2020[[#This Row],[year]],"")</f>
        <v>5</v>
      </c>
      <c r="D270">
        <v>37.722999569999999</v>
      </c>
      <c r="E270">
        <v>100</v>
      </c>
      <c r="F270">
        <v>100</v>
      </c>
      <c r="G270">
        <f>((F271-Estimates_of_the_use_of_water__2000_2020[[#This Row],[wat_bas_n]])/(B271-Estimates_of_the_use_of_water__2000_2020[[#This Row],[year]]))</f>
        <v>0</v>
      </c>
      <c r="H270">
        <f>((N271-Estimates_of_the_use_of_water__2000_2020[[#This Row],[wat_bas_r]])/(B271-Estimates_of_the_use_of_water__2000_2020[[#This Row],[year]]))</f>
        <v>0</v>
      </c>
      <c r="I270">
        <f>(R271-Estimates_of_the_use_of_water__2000_2020[[#This Row],[wat_bas_u]])/(B271-Estimates_of_the_use_of_water__2000_2020[[#This Row],[year]])</f>
        <v>0</v>
      </c>
      <c r="J270">
        <f>ABS(Estimates_of_the_use_of_water__2000_2020[[#This Row],[ARC_r]]-Estimates_of_the_use_of_water__2000_2020[[#This Row],[ARC_u]])</f>
        <v>0</v>
      </c>
      <c r="K270">
        <v>0</v>
      </c>
      <c r="L270">
        <v>0</v>
      </c>
      <c r="M270">
        <v>0</v>
      </c>
      <c r="R270">
        <v>100</v>
      </c>
      <c r="S270">
        <v>0</v>
      </c>
      <c r="T270">
        <v>0</v>
      </c>
      <c r="U270">
        <v>0</v>
      </c>
    </row>
    <row r="271" spans="1:21" x14ac:dyDescent="0.25">
      <c r="A271" s="1" t="s">
        <v>37</v>
      </c>
      <c r="B271">
        <v>2020</v>
      </c>
      <c r="C271" t="str">
        <f>IF(A272=Estimates_of_the_use_of_water__2000_2020[[#This Row],[name]], B272-Estimates_of_the_use_of_water__2000_2020[[#This Row],[year]],"")</f>
        <v/>
      </c>
      <c r="D271">
        <v>39.243999479999999</v>
      </c>
      <c r="E271">
        <v>100</v>
      </c>
      <c r="F271">
        <v>100</v>
      </c>
      <c r="G271">
        <f>((F272-Estimates_of_the_use_of_water__2000_2020[[#This Row],[wat_bas_n]])/(B272-Estimates_of_the_use_of_water__2000_2020[[#This Row],[year]]))</f>
        <v>3.8373975819999999</v>
      </c>
      <c r="H271">
        <f>((N272-Estimates_of_the_use_of_water__2000_2020[[#This Row],[wat_bas_r]])/(B272-Estimates_of_the_use_of_water__2000_2020[[#This Row],[year]]))</f>
        <v>-10.418777602</v>
      </c>
      <c r="I271">
        <f>(R272-Estimates_of_the_use_of_water__2000_2020[[#This Row],[wat_bas_u]])/(B272-Estimates_of_the_use_of_water__2000_2020[[#This Row],[year]])</f>
        <v>1.1628945520000002</v>
      </c>
      <c r="J271">
        <f>ABS(Estimates_of_the_use_of_water__2000_2020[[#This Row],[ARC_r]]-Estimates_of_the_use_of_water__2000_2020[[#This Row],[ARC_u]])</f>
        <v>11.581672154000001</v>
      </c>
      <c r="K271">
        <v>0</v>
      </c>
      <c r="L271">
        <v>0</v>
      </c>
      <c r="M271">
        <v>0</v>
      </c>
      <c r="R271">
        <v>100</v>
      </c>
      <c r="S271">
        <v>0</v>
      </c>
      <c r="T271">
        <v>0</v>
      </c>
      <c r="U271">
        <v>0</v>
      </c>
    </row>
    <row r="272" spans="1:21" x14ac:dyDescent="0.25">
      <c r="A272" s="1" t="s">
        <v>191</v>
      </c>
      <c r="B272">
        <v>2015</v>
      </c>
      <c r="C272">
        <f>IF(A273=Estimates_of_the_use_of_water__2000_2020[[#This Row],[name]], B273-Estimates_of_the_use_of_water__2000_2020[[#This Row],[year]],"")</f>
        <v>5</v>
      </c>
      <c r="D272">
        <v>2998.4331050000001</v>
      </c>
      <c r="E272">
        <v>68.229995729999999</v>
      </c>
      <c r="F272">
        <v>80.813012090000001</v>
      </c>
      <c r="G272">
        <f>((F273-Estimates_of_the_use_of_water__2000_2020[[#This Row],[wat_bas_n]])/(B273-Estimates_of_the_use_of_water__2000_2020[[#This Row],[year]]))</f>
        <v>0.93652263600000085</v>
      </c>
      <c r="H272">
        <f>((N273-Estimates_of_the_use_of_water__2000_2020[[#This Row],[wat_bas_r]])/(B273-Estimates_of_the_use_of_water__2000_2020[[#This Row],[year]]))</f>
        <v>1.7953726259999996</v>
      </c>
      <c r="I272">
        <f>(R273-Estimates_of_the_use_of_water__2000_2020[[#This Row],[wat_bas_u]])/(B273-Estimates_of_the_use_of_water__2000_2020[[#This Row],[year]])</f>
        <v>0.4920876679999992</v>
      </c>
      <c r="J272">
        <f>ABS(Estimates_of_the_use_of_water__2000_2020[[#This Row],[ARC_r]]-Estimates_of_the_use_of_water__2000_2020[[#This Row],[ARC_u]])</f>
        <v>1.3032849580000003</v>
      </c>
      <c r="K272">
        <v>3.905181378</v>
      </c>
      <c r="L272">
        <v>7.5786445809999998</v>
      </c>
      <c r="M272">
        <v>7.7031619500000001</v>
      </c>
      <c r="N272">
        <v>52.093888010000001</v>
      </c>
      <c r="O272">
        <v>5.3335891499999999</v>
      </c>
      <c r="P272">
        <v>18.718643360000002</v>
      </c>
      <c r="Q272">
        <v>23.85387948</v>
      </c>
      <c r="R272">
        <v>94.185527239999999</v>
      </c>
      <c r="S272">
        <v>3.240070405</v>
      </c>
      <c r="T272">
        <v>2.3915155440000002</v>
      </c>
      <c r="U272">
        <v>0.1828868106</v>
      </c>
    </row>
    <row r="273" spans="1:21" x14ac:dyDescent="0.25">
      <c r="A273" s="1" t="s">
        <v>191</v>
      </c>
      <c r="B273">
        <v>2020</v>
      </c>
      <c r="C273" t="str">
        <f>IF(A274=Estimates_of_the_use_of_water__2000_2020[[#This Row],[name]], B274-Estimates_of_the_use_of_water__2000_2020[[#This Row],[year]],"")</f>
        <v/>
      </c>
      <c r="D273">
        <v>3278.2919919999999</v>
      </c>
      <c r="E273">
        <v>68.656997680000003</v>
      </c>
      <c r="F273">
        <v>85.495625270000005</v>
      </c>
      <c r="G273">
        <f>((F274-Estimates_of_the_use_of_water__2000_2020[[#This Row],[wat_bas_n]])/(B274-Estimates_of_the_use_of_water__2000_2020[[#This Row],[year]]))</f>
        <v>-2.3791340199999977</v>
      </c>
      <c r="H273">
        <f>((N274-Estimates_of_the_use_of_water__2000_2020[[#This Row],[wat_bas_r]])/(B274-Estimates_of_the_use_of_water__2000_2020[[#This Row],[year]]))</f>
        <v>-6.9779822080000002</v>
      </c>
      <c r="I273">
        <f>(R274-Estimates_of_the_use_of_water__2000_2020[[#This Row],[wat_bas_u]])/(B274-Estimates_of_the_use_of_water__2000_2020[[#This Row],[year]])</f>
        <v>-0.29774257400000009</v>
      </c>
      <c r="J273">
        <f>ABS(Estimates_of_the_use_of_water__2000_2020[[#This Row],[ARC_r]]-Estimates_of_the_use_of_water__2000_2020[[#This Row],[ARC_u]])</f>
        <v>6.6802396340000003</v>
      </c>
      <c r="K273">
        <v>2.1464289299999999</v>
      </c>
      <c r="L273">
        <v>6.6333667140000001</v>
      </c>
      <c r="M273">
        <v>5.7245790809999999</v>
      </c>
      <c r="N273">
        <v>61.070751139999999</v>
      </c>
      <c r="O273">
        <v>3.0841705720000001</v>
      </c>
      <c r="P273">
        <v>17.580781160000001</v>
      </c>
      <c r="Q273">
        <v>18.264297129999999</v>
      </c>
      <c r="R273">
        <v>96.645965579999995</v>
      </c>
      <c r="S273">
        <v>1.718335079</v>
      </c>
      <c r="T273">
        <v>1.635699341</v>
      </c>
      <c r="U273">
        <v>0</v>
      </c>
    </row>
    <row r="274" spans="1:21" x14ac:dyDescent="0.25">
      <c r="A274" s="1" t="s">
        <v>106</v>
      </c>
      <c r="B274">
        <v>2015</v>
      </c>
      <c r="C274">
        <f>IF(A275=Estimates_of_the_use_of_water__2000_2020[[#This Row],[name]], B275-Estimates_of_the_use_of_water__2000_2020[[#This Row],[year]],"")</f>
        <v>5</v>
      </c>
      <c r="D274">
        <v>626.9569702</v>
      </c>
      <c r="E274">
        <v>65.805999760000006</v>
      </c>
      <c r="F274">
        <v>97.391295369999995</v>
      </c>
      <c r="G274">
        <f>((F275-Estimates_of_the_use_of_water__2000_2020[[#This Row],[wat_bas_n]])/(B275-Estimates_of_the_use_of_water__2000_2020[[#This Row],[year]]))</f>
        <v>0.29312423000000082</v>
      </c>
      <c r="H274">
        <f>((N275-Estimates_of_the_use_of_water__2000_2020[[#This Row],[wat_bas_r]])/(B275-Estimates_of_the_use_of_water__2000_2020[[#This Row],[year]]))</f>
        <v>0.44024507199999902</v>
      </c>
      <c r="I274">
        <f>(R275-Estimates_of_the_use_of_water__2000_2020[[#This Row],[wat_bas_u]])/(B275-Estimates_of_the_use_of_water__2000_2020[[#This Row],[year]])</f>
        <v>0.21141222800000037</v>
      </c>
      <c r="J274">
        <f>ABS(Estimates_of_the_use_of_water__2000_2020[[#This Row],[ARC_r]]-Estimates_of_the_use_of_water__2000_2020[[#This Row],[ARC_u]])</f>
        <v>0.22883284399999865</v>
      </c>
      <c r="K274">
        <v>1.68690191</v>
      </c>
      <c r="L274">
        <v>0.88144584619999999</v>
      </c>
      <c r="M274">
        <v>4.035686954E-2</v>
      </c>
      <c r="N274">
        <v>95.96066218</v>
      </c>
      <c r="O274">
        <v>1.539303155</v>
      </c>
      <c r="P274">
        <v>2.3820114100000001</v>
      </c>
      <c r="Q274">
        <v>0.1180232558</v>
      </c>
      <c r="R274">
        <v>98.134678449999996</v>
      </c>
      <c r="S274">
        <v>1.763596913</v>
      </c>
      <c r="T274">
        <v>0.10172463599999999</v>
      </c>
      <c r="U274">
        <v>0</v>
      </c>
    </row>
    <row r="275" spans="1:21" x14ac:dyDescent="0.25">
      <c r="A275" s="1" t="s">
        <v>106</v>
      </c>
      <c r="B275">
        <v>2020</v>
      </c>
      <c r="C275" t="str">
        <f>IF(A276=Estimates_of_the_use_of_water__2000_2020[[#This Row],[name]], B276-Estimates_of_the_use_of_water__2000_2020[[#This Row],[year]],"")</f>
        <v/>
      </c>
      <c r="D275">
        <v>628.06201169999997</v>
      </c>
      <c r="E275">
        <v>67.488006589999998</v>
      </c>
      <c r="F275">
        <v>98.856916519999999</v>
      </c>
      <c r="G275">
        <f>((F276-Estimates_of_the_use_of_water__2000_2020[[#This Row],[wat_bas_n]])/(B276-Estimates_of_the_use_of_water__2000_2020[[#This Row],[year]]))</f>
        <v>0.15721919199999945</v>
      </c>
      <c r="H275">
        <f>((N276-Estimates_of_the_use_of_water__2000_2020[[#This Row],[wat_bas_r]])/(B276-Estimates_of_the_use_of_water__2000_2020[[#This Row],[year]]))</f>
        <v>19.632377507999998</v>
      </c>
      <c r="I275">
        <f>(R276-Estimates_of_the_use_of_water__2000_2020[[#This Row],[wat_bas_u]])/(B276-Estimates_of_the_use_of_water__2000_2020[[#This Row],[year]])</f>
        <v>19.838347918</v>
      </c>
      <c r="J275">
        <f>ABS(Estimates_of_the_use_of_water__2000_2020[[#This Row],[ARC_r]]-Estimates_of_the_use_of_water__2000_2020[[#This Row],[ARC_u]])</f>
        <v>0.2059704100000026</v>
      </c>
      <c r="K275">
        <v>0.54547882039999995</v>
      </c>
      <c r="L275">
        <v>0.59231201099999997</v>
      </c>
      <c r="M275">
        <v>5.2926508940000002E-3</v>
      </c>
      <c r="N275">
        <v>98.161887539999995</v>
      </c>
      <c r="O275">
        <v>0</v>
      </c>
      <c r="P275">
        <v>1.821833386</v>
      </c>
      <c r="Q275">
        <v>1.6279069770000001E-2</v>
      </c>
      <c r="R275">
        <v>99.191739589999997</v>
      </c>
      <c r="S275">
        <v>0.80826041280000005</v>
      </c>
      <c r="T275">
        <v>0</v>
      </c>
      <c r="U275">
        <v>0</v>
      </c>
    </row>
    <row r="276" spans="1:21" x14ac:dyDescent="0.25">
      <c r="A276" s="1" t="s">
        <v>114</v>
      </c>
      <c r="B276">
        <v>2015</v>
      </c>
      <c r="C276">
        <f>IF(A277=Estimates_of_the_use_of_water__2000_2020[[#This Row],[name]], B277-Estimates_of_the_use_of_water__2000_2020[[#This Row],[year]],"")</f>
        <v>5</v>
      </c>
      <c r="D276">
        <v>4.9660000799999997</v>
      </c>
      <c r="E276">
        <v>9.0410003660000005</v>
      </c>
      <c r="F276">
        <v>98.070820560000001</v>
      </c>
      <c r="G276">
        <f>((F277-Estimates_of_the_use_of_water__2000_2020[[#This Row],[wat_bas_n]])/(B277-Estimates_of_the_use_of_water__2000_2020[[#This Row],[year]]))</f>
        <v>1.3324119999992945E-3</v>
      </c>
      <c r="H276">
        <f>((N277-Estimates_of_the_use_of_water__2000_2020[[#This Row],[wat_bas_r]])/(B277-Estimates_of_the_use_of_water__2000_2020[[#This Row],[year]]))</f>
        <v>0</v>
      </c>
      <c r="I276">
        <f>(R277-Estimates_of_the_use_of_water__2000_2020[[#This Row],[wat_bas_u]])/(B277-Estimates_of_the_use_of_water__2000_2020[[#This Row],[year]])</f>
        <v>0</v>
      </c>
      <c r="J276">
        <f>ABS(Estimates_of_the_use_of_water__2000_2020[[#This Row],[ARC_r]]-Estimates_of_the_use_of_water__2000_2020[[#This Row],[ARC_u]])</f>
        <v>0</v>
      </c>
      <c r="K276">
        <v>0</v>
      </c>
      <c r="L276">
        <v>1.9291794390000001</v>
      </c>
      <c r="M276">
        <v>0</v>
      </c>
    </row>
    <row r="277" spans="1:21" x14ac:dyDescent="0.25">
      <c r="A277" s="1" t="s">
        <v>114</v>
      </c>
      <c r="B277">
        <v>2020</v>
      </c>
      <c r="C277" t="str">
        <f>IF(A278=Estimates_of_the_use_of_water__2000_2020[[#This Row],[name]], B278-Estimates_of_the_use_of_water__2000_2020[[#This Row],[year]],"")</f>
        <v/>
      </c>
      <c r="D277">
        <v>4.9990000720000003</v>
      </c>
      <c r="E277">
        <v>9.1149997710000008</v>
      </c>
      <c r="F277">
        <v>98.077482619999998</v>
      </c>
      <c r="G277">
        <f>((F278-Estimates_of_the_use_of_water__2000_2020[[#This Row],[wat_bas_n]])/(B278-Estimates_of_the_use_of_water__2000_2020[[#This Row],[year]]))</f>
        <v>2.8652699479999995</v>
      </c>
      <c r="H277">
        <f>((N278-Estimates_of_the_use_of_water__2000_2020[[#This Row],[wat_bas_r]])/(B278-Estimates_of_the_use_of_water__2000_2020[[#This Row],[year]]))</f>
        <v>-12.834505748000002</v>
      </c>
      <c r="I277">
        <f>(R278-Estimates_of_the_use_of_water__2000_2020[[#This Row],[wat_bas_u]])/(B278-Estimates_of_the_use_of_water__2000_2020[[#This Row],[year]])</f>
        <v>-19.273883004000002</v>
      </c>
      <c r="J277">
        <f>ABS(Estimates_of_the_use_of_water__2000_2020[[#This Row],[ARC_r]]-Estimates_of_the_use_of_water__2000_2020[[#This Row],[ARC_u]])</f>
        <v>6.4393772560000002</v>
      </c>
      <c r="K277">
        <v>0</v>
      </c>
      <c r="L277">
        <v>1.922517378</v>
      </c>
      <c r="M277">
        <v>0</v>
      </c>
    </row>
    <row r="278" spans="1:21" x14ac:dyDescent="0.25">
      <c r="A278" s="1" t="s">
        <v>184</v>
      </c>
      <c r="B278">
        <v>2015</v>
      </c>
      <c r="C278">
        <f>IF(A279=Estimates_of_the_use_of_water__2000_2020[[#This Row],[name]], B279-Estimates_of_the_use_of_water__2000_2020[[#This Row],[year]],"")</f>
        <v>5</v>
      </c>
      <c r="D278">
        <v>34663.609380000002</v>
      </c>
      <c r="E278">
        <v>60.808998109999997</v>
      </c>
      <c r="F278">
        <v>83.75113288</v>
      </c>
      <c r="G278">
        <f>((F279-Estimates_of_the_use_of_water__2000_2020[[#This Row],[wat_bas_n]])/(B279-Estimates_of_the_use_of_water__2000_2020[[#This Row],[year]]))</f>
        <v>1.3302423599999997</v>
      </c>
      <c r="H278">
        <f>((N279-Estimates_of_the_use_of_water__2000_2020[[#This Row],[wat_bas_r]])/(B279-Estimates_of_the_use_of_water__2000_2020[[#This Row],[year]]))</f>
        <v>2.6347200439999994</v>
      </c>
      <c r="I278">
        <f>(R279-Estimates_of_the_use_of_water__2000_2020[[#This Row],[wat_bas_u]])/(B279-Estimates_of_the_use_of_water__2000_2020[[#This Row],[year]])</f>
        <v>0.30546619799999919</v>
      </c>
      <c r="J278">
        <f>ABS(Estimates_of_the_use_of_water__2000_2020[[#This Row],[ARC_r]]-Estimates_of_the_use_of_water__2000_2020[[#This Row],[ARC_u]])</f>
        <v>2.3292538460000003</v>
      </c>
      <c r="K278">
        <v>5.9371884149999996</v>
      </c>
      <c r="L278">
        <v>8.5178818580000009</v>
      </c>
      <c r="M278">
        <v>1.793796851</v>
      </c>
      <c r="N278">
        <v>64.172528740000004</v>
      </c>
      <c r="O278">
        <v>12.25581871</v>
      </c>
      <c r="P278">
        <v>19.029579640000001</v>
      </c>
      <c r="Q278">
        <v>4.5420729140000002</v>
      </c>
      <c r="R278">
        <v>96.369415020000005</v>
      </c>
      <c r="S278">
        <v>1.864872571</v>
      </c>
      <c r="T278">
        <v>1.743161481</v>
      </c>
      <c r="U278">
        <v>2.255092798E-2</v>
      </c>
    </row>
    <row r="279" spans="1:21" x14ac:dyDescent="0.25">
      <c r="A279" s="1" t="s">
        <v>184</v>
      </c>
      <c r="B279">
        <v>2020</v>
      </c>
      <c r="C279" t="str">
        <f>IF(A280=Estimates_of_the_use_of_water__2000_2020[[#This Row],[name]], B280-Estimates_of_the_use_of_water__2000_2020[[#This Row],[year]],"")</f>
        <v/>
      </c>
      <c r="D279">
        <v>36910.558590000001</v>
      </c>
      <c r="E279">
        <v>63.531997680000003</v>
      </c>
      <c r="F279">
        <v>90.402344679999999</v>
      </c>
      <c r="G279">
        <f>((F280-Estimates_of_the_use_of_water__2000_2020[[#This Row],[wat_bas_n]])/(B280-Estimates_of_the_use_of_water__2000_2020[[#This Row],[year]]))</f>
        <v>7.8452338940000006</v>
      </c>
      <c r="H279">
        <f>((N280-Estimates_of_the_use_of_water__2000_2020[[#This Row],[wat_bas_r]])/(B280-Estimates_of_the_use_of_water__2000_2020[[#This Row],[year]]))</f>
        <v>8.2749500400000002</v>
      </c>
      <c r="I279">
        <f>(R280-Estimates_of_the_use_of_water__2000_2020[[#This Row],[wat_bas_u]])/(B280-Estimates_of_the_use_of_water__2000_2020[[#This Row],[year]])</f>
        <v>3.5450760360000002</v>
      </c>
      <c r="J279">
        <f>ABS(Estimates_of_the_use_of_water__2000_2020[[#This Row],[ARC_r]]-Estimates_of_the_use_of_water__2000_2020[[#This Row],[ARC_u]])</f>
        <v>4.729874004</v>
      </c>
      <c r="K279">
        <v>5.2635496010000002</v>
      </c>
      <c r="L279">
        <v>2.8776725000000001</v>
      </c>
      <c r="M279">
        <v>1.456433219</v>
      </c>
      <c r="N279">
        <v>77.346128960000001</v>
      </c>
      <c r="O279">
        <v>12.03707816</v>
      </c>
      <c r="P279">
        <v>6.6230633729999999</v>
      </c>
      <c r="Q279">
        <v>3.9937295019999999</v>
      </c>
      <c r="R279">
        <v>97.896746010000001</v>
      </c>
      <c r="S279">
        <v>1.375477117</v>
      </c>
      <c r="T279">
        <v>0.72777687589999995</v>
      </c>
      <c r="U279">
        <v>0</v>
      </c>
    </row>
    <row r="280" spans="1:21" x14ac:dyDescent="0.25">
      <c r="A280" s="1" t="s">
        <v>226</v>
      </c>
      <c r="B280">
        <v>2015</v>
      </c>
      <c r="C280">
        <f>IF(A281=Estimates_of_the_use_of_water__2000_2020[[#This Row],[name]], B281-Estimates_of_the_use_of_water__2000_2020[[#This Row],[year]],"")</f>
        <v>5</v>
      </c>
      <c r="D280">
        <v>27042.001950000002</v>
      </c>
      <c r="E280">
        <v>34.400001529999997</v>
      </c>
      <c r="F280">
        <v>51.176175209999997</v>
      </c>
      <c r="G280">
        <f>((F281-Estimates_of_the_use_of_water__2000_2020[[#This Row],[wat_bas_n]])/(B281-Estimates_of_the_use_of_water__2000_2020[[#This Row],[year]]))</f>
        <v>2.4386500840000012</v>
      </c>
      <c r="H280">
        <f>((N281-Estimates_of_the_use_of_water__2000_2020[[#This Row],[wat_bas_r]])/(B281-Estimates_of_the_use_of_water__2000_2020[[#This Row],[year]]))</f>
        <v>2.5790615479999999</v>
      </c>
      <c r="I280">
        <f>(R281-Estimates_of_the_use_of_water__2000_2020[[#This Row],[wat_bas_u]])/(B281-Estimates_of_the_use_of_water__2000_2020[[#This Row],[year]])</f>
        <v>1.5627364180000001</v>
      </c>
      <c r="J280">
        <f>ABS(Estimates_of_the_use_of_water__2000_2020[[#This Row],[ARC_r]]-Estimates_of_the_use_of_water__2000_2020[[#This Row],[ARC_u]])</f>
        <v>1.0163251299999998</v>
      </c>
      <c r="K280">
        <v>10.3714084</v>
      </c>
      <c r="L280">
        <v>26.513493149999999</v>
      </c>
      <c r="M280">
        <v>11.938923239999999</v>
      </c>
      <c r="N280">
        <v>35.97137876</v>
      </c>
      <c r="O280">
        <v>12.36707992</v>
      </c>
      <c r="P280">
        <v>34.814873949999999</v>
      </c>
      <c r="Q280">
        <v>16.846667360000001</v>
      </c>
      <c r="R280">
        <v>80.171365829999999</v>
      </c>
      <c r="S280">
        <v>6.5657095710000002</v>
      </c>
      <c r="T280">
        <v>10.68295442</v>
      </c>
      <c r="U280">
        <v>2.5799701810000002</v>
      </c>
    </row>
    <row r="281" spans="1:21" x14ac:dyDescent="0.25">
      <c r="A281" s="1" t="s">
        <v>226</v>
      </c>
      <c r="B281">
        <v>2020</v>
      </c>
      <c r="C281" t="str">
        <f>IF(A282=Estimates_of_the_use_of_water__2000_2020[[#This Row],[name]], B282-Estimates_of_the_use_of_water__2000_2020[[#This Row],[year]],"")</f>
        <v/>
      </c>
      <c r="D281">
        <v>31255.435549999998</v>
      </c>
      <c r="E281">
        <v>37.073997499999997</v>
      </c>
      <c r="F281">
        <v>63.369425630000002</v>
      </c>
      <c r="G281">
        <f>((F282-Estimates_of_the_use_of_water__2000_2020[[#This Row],[wat_bas_n]])/(B282-Estimates_of_the_use_of_water__2000_2020[[#This Row],[year]]))</f>
        <v>-2.0436089739999987</v>
      </c>
      <c r="H281">
        <f>((N282-Estimates_of_the_use_of_water__2000_2020[[#This Row],[wat_bas_r]])/(B282-Estimates_of_the_use_of_water__2000_2020[[#This Row],[year]]))</f>
        <v>-3.6765854079999998</v>
      </c>
      <c r="I281">
        <f>(R282-Estimates_of_the_use_of_water__2000_2020[[#This Row],[wat_bas_u]])/(B282-Estimates_of_the_use_of_water__2000_2020[[#This Row],[year]])</f>
        <v>-9.8245674000000352E-2</v>
      </c>
      <c r="J281">
        <f>ABS(Estimates_of_the_use_of_water__2000_2020[[#This Row],[ARC_r]]-Estimates_of_the_use_of_water__2000_2020[[#This Row],[ARC_u]])</f>
        <v>3.5783397339999996</v>
      </c>
      <c r="K281">
        <v>9.9757845070000002</v>
      </c>
      <c r="L281">
        <v>16.726145110000001</v>
      </c>
      <c r="M281">
        <v>9.9286447590000009</v>
      </c>
      <c r="N281">
        <v>48.8666865</v>
      </c>
      <c r="O281">
        <v>12.64088359</v>
      </c>
      <c r="P281">
        <v>23.686256400000001</v>
      </c>
      <c r="Q281">
        <v>14.80617352</v>
      </c>
      <c r="R281">
        <v>87.98504792</v>
      </c>
      <c r="S281">
        <v>5.4522910270000002</v>
      </c>
      <c r="T281">
        <v>4.9126846439999996</v>
      </c>
      <c r="U281">
        <v>1.649976404</v>
      </c>
    </row>
    <row r="282" spans="1:21" x14ac:dyDescent="0.25">
      <c r="A282" s="1" t="s">
        <v>197</v>
      </c>
      <c r="B282">
        <v>2015</v>
      </c>
      <c r="C282">
        <f>IF(A283=Estimates_of_the_use_of_water__2000_2020[[#This Row],[name]], B283-Estimates_of_the_use_of_water__2000_2020[[#This Row],[year]],"")</f>
        <v>5</v>
      </c>
      <c r="D282">
        <v>52680.722659999999</v>
      </c>
      <c r="E282">
        <v>29.857999800000002</v>
      </c>
      <c r="F282">
        <v>73.587470499999995</v>
      </c>
      <c r="G282">
        <f>((F283-Estimates_of_the_use_of_water__2000_2020[[#This Row],[wat_bas_n]])/(B283-Estimates_of_the_use_of_water__2000_2020[[#This Row],[year]]))</f>
        <v>2.0261442820000015</v>
      </c>
      <c r="H282">
        <f>((N283-Estimates_of_the_use_of_water__2000_2020[[#This Row],[wat_bas_r]])/(B283-Estimates_of_the_use_of_water__2000_2020[[#This Row],[year]]))</f>
        <v>2.2345902300000007</v>
      </c>
      <c r="I282">
        <f>(R283-Estimates_of_the_use_of_water__2000_2020[[#This Row],[wat_bas_u]])/(B283-Estimates_of_the_use_of_water__2000_2020[[#This Row],[year]])</f>
        <v>1.3903219540000009</v>
      </c>
      <c r="J282">
        <f>ABS(Estimates_of_the_use_of_water__2000_2020[[#This Row],[ARC_r]]-Estimates_of_the_use_of_water__2000_2020[[#This Row],[ARC_u]])</f>
        <v>0.84426827599999976</v>
      </c>
      <c r="K282">
        <v>6.8355322689999998</v>
      </c>
      <c r="L282">
        <v>8.269037119</v>
      </c>
      <c r="M282">
        <v>11.30796011</v>
      </c>
      <c r="N282">
        <v>67.249613539999999</v>
      </c>
      <c r="O282">
        <v>8.0422803540000007</v>
      </c>
      <c r="P282">
        <v>10.1459869</v>
      </c>
      <c r="Q282">
        <v>14.562119210000001</v>
      </c>
      <c r="R282">
        <v>88.476276290000001</v>
      </c>
      <c r="S282">
        <v>4.0006563789999996</v>
      </c>
      <c r="T282">
        <v>3.859732696</v>
      </c>
      <c r="U282">
        <v>3.6633346320000002</v>
      </c>
    </row>
    <row r="283" spans="1:21" x14ac:dyDescent="0.25">
      <c r="A283" s="1" t="s">
        <v>197</v>
      </c>
      <c r="B283">
        <v>2020</v>
      </c>
      <c r="C283" t="str">
        <f>IF(A284=Estimates_of_the_use_of_water__2000_2020[[#This Row],[name]], B284-Estimates_of_the_use_of_water__2000_2020[[#This Row],[year]],"")</f>
        <v/>
      </c>
      <c r="D283">
        <v>54409.792970000002</v>
      </c>
      <c r="E283">
        <v>31.14100075</v>
      </c>
      <c r="F283">
        <v>83.718191910000002</v>
      </c>
      <c r="G283">
        <f>((F284-Estimates_of_the_use_of_water__2000_2020[[#This Row],[wat_bas_n]])/(B284-Estimates_of_the_use_of_water__2000_2020[[#This Row],[year]]))</f>
        <v>0.23881135199999903</v>
      </c>
      <c r="H283">
        <f>((N284-Estimates_of_the_use_of_water__2000_2020[[#This Row],[wat_bas_r]])/(B284-Estimates_of_the_use_of_water__2000_2020[[#This Row],[year]]))</f>
        <v>1.656306662</v>
      </c>
      <c r="I283">
        <f>(R284-Estimates_of_the_use_of_water__2000_2020[[#This Row],[wat_bas_u]])/(B284-Estimates_of_the_use_of_water__2000_2020[[#This Row],[year]])</f>
        <v>-0.22326991199999782</v>
      </c>
      <c r="J283">
        <f>ABS(Estimates_of_the_use_of_water__2000_2020[[#This Row],[ARC_r]]-Estimates_of_the_use_of_water__2000_2020[[#This Row],[ARC_u]])</f>
        <v>1.8795765739999979</v>
      </c>
      <c r="K283">
        <v>1.595436949</v>
      </c>
      <c r="L283">
        <v>5.1094247800000003</v>
      </c>
      <c r="M283">
        <v>9.5769463619999993</v>
      </c>
      <c r="N283">
        <v>78.422564690000002</v>
      </c>
      <c r="O283">
        <v>2.3169621419999999</v>
      </c>
      <c r="P283">
        <v>6.5923936940000001</v>
      </c>
      <c r="Q283">
        <v>12.66807947</v>
      </c>
      <c r="R283">
        <v>95.427886060000006</v>
      </c>
      <c r="S283">
        <v>0</v>
      </c>
      <c r="T283">
        <v>1.8302830059999999</v>
      </c>
      <c r="U283">
        <v>2.741830931</v>
      </c>
    </row>
    <row r="284" spans="1:21" x14ac:dyDescent="0.25">
      <c r="A284" s="1" t="s">
        <v>196</v>
      </c>
      <c r="B284">
        <v>2015</v>
      </c>
      <c r="C284">
        <f>IF(A285=Estimates_of_the_use_of_water__2000_2020[[#This Row],[name]], B285-Estimates_of_the_use_of_water__2000_2020[[#This Row],[year]],"")</f>
        <v>5</v>
      </c>
      <c r="D284">
        <v>2314.9008789999998</v>
      </c>
      <c r="E284">
        <v>46.90000534</v>
      </c>
      <c r="F284">
        <v>82.524135150000006</v>
      </c>
      <c r="G284">
        <f>((F285-Estimates_of_the_use_of_water__2000_2020[[#This Row],[wat_bas_n]])/(B285-Estimates_of_the_use_of_water__2000_2020[[#This Row],[year]]))</f>
        <v>0.34918022599999859</v>
      </c>
      <c r="H284">
        <f>((N285-Estimates_of_the_use_of_water__2000_2020[[#This Row],[wat_bas_r]])/(B285-Estimates_of_the_use_of_water__2000_2020[[#This Row],[year]]))</f>
        <v>0.22302721000000075</v>
      </c>
      <c r="I284">
        <f>(R285-Estimates_of_the_use_of_water__2000_2020[[#This Row],[wat_bas_u]])/(B285-Estimates_of_the_use_of_water__2000_2020[[#This Row],[year]])</f>
        <v>-5.5454053999997657E-2</v>
      </c>
      <c r="J284">
        <f>ABS(Estimates_of_the_use_of_water__2000_2020[[#This Row],[ARC_r]]-Estimates_of_the_use_of_water__2000_2020[[#This Row],[ARC_u]])</f>
        <v>0.2784812639999984</v>
      </c>
      <c r="K284">
        <v>7.2754761539999997</v>
      </c>
      <c r="L284">
        <v>4.4164614110000002</v>
      </c>
      <c r="M284">
        <v>5.7839272810000004</v>
      </c>
      <c r="N284">
        <v>70.141031380000001</v>
      </c>
      <c r="O284">
        <v>11.72007222</v>
      </c>
      <c r="P284">
        <v>7.6143896370000004</v>
      </c>
      <c r="Q284">
        <v>10.52450676</v>
      </c>
      <c r="R284">
        <v>96.544235619999995</v>
      </c>
      <c r="S284">
        <v>2.2433222979999998</v>
      </c>
      <c r="T284">
        <v>0.79577988889999995</v>
      </c>
      <c r="U284">
        <v>0.41666219110000002</v>
      </c>
    </row>
    <row r="285" spans="1:21" x14ac:dyDescent="0.25">
      <c r="A285" s="1" t="s">
        <v>196</v>
      </c>
      <c r="B285">
        <v>2020</v>
      </c>
      <c r="C285" t="str">
        <f>IF(A286=Estimates_of_the_use_of_water__2000_2020[[#This Row],[name]], B286-Estimates_of_the_use_of_water__2000_2020[[#This Row],[year]],"")</f>
        <v/>
      </c>
      <c r="D285">
        <v>2540.9160160000001</v>
      </c>
      <c r="E285">
        <v>52.033000950000002</v>
      </c>
      <c r="F285">
        <v>84.270036279999999</v>
      </c>
      <c r="G285">
        <f>((F286-Estimates_of_the_use_of_water__2000_2020[[#This Row],[wat_bas_n]])/(B286-Estimates_of_the_use_of_water__2000_2020[[#This Row],[year]]))</f>
        <v>-3.145992744</v>
      </c>
      <c r="H285">
        <f>((N286-Estimates_of_the_use_of_water__2000_2020[[#This Row],[wat_bas_r]])/(B286-Estimates_of_the_use_of_water__2000_2020[[#This Row],[year]]))</f>
        <v>14.251233486</v>
      </c>
      <c r="I285">
        <f>(R286-Estimates_of_the_use_of_water__2000_2020[[#This Row],[wat_bas_u]])/(B286-Estimates_of_the_use_of_water__2000_2020[[#This Row],[year]])</f>
        <v>-0.74660692999999867</v>
      </c>
      <c r="J285">
        <f>ABS(Estimates_of_the_use_of_water__2000_2020[[#This Row],[ARC_r]]-Estimates_of_the_use_of_water__2000_2020[[#This Row],[ARC_u]])</f>
        <v>14.997840415999999</v>
      </c>
      <c r="K285">
        <v>7.0876275099999999</v>
      </c>
      <c r="L285">
        <v>3.740143722</v>
      </c>
      <c r="M285">
        <v>4.9021924849999996</v>
      </c>
      <c r="N285">
        <v>71.256167430000005</v>
      </c>
      <c r="O285">
        <v>11.97218925</v>
      </c>
      <c r="P285">
        <v>7.0818037589999996</v>
      </c>
      <c r="Q285">
        <v>9.6898395629999996</v>
      </c>
      <c r="R285">
        <v>96.266965350000007</v>
      </c>
      <c r="S285">
        <v>2.5847589649999998</v>
      </c>
      <c r="T285">
        <v>0.65961026379999999</v>
      </c>
      <c r="U285">
        <v>0.4886654211</v>
      </c>
    </row>
    <row r="286" spans="1:21" x14ac:dyDescent="0.25">
      <c r="A286" s="1" t="s">
        <v>32</v>
      </c>
      <c r="B286">
        <v>2015</v>
      </c>
      <c r="C286">
        <f>IF(A287=Estimates_of_the_use_of_water__2000_2020[[#This Row],[name]], B287-Estimates_of_the_use_of_water__2000_2020[[#This Row],[year]],"")</f>
        <v>5</v>
      </c>
      <c r="D286">
        <v>10.373999599999999</v>
      </c>
      <c r="E286">
        <v>100</v>
      </c>
      <c r="F286">
        <v>100</v>
      </c>
      <c r="G286">
        <f>((F287-Estimates_of_the_use_of_water__2000_2020[[#This Row],[wat_bas_n]])/(B287-Estimates_of_the_use_of_water__2000_2020[[#This Row],[year]]))</f>
        <v>0</v>
      </c>
      <c r="H286">
        <f>((N287-Estimates_of_the_use_of_water__2000_2020[[#This Row],[wat_bas_r]])/(B287-Estimates_of_the_use_of_water__2000_2020[[#This Row],[year]]))</f>
        <v>0</v>
      </c>
      <c r="I286">
        <f>(R287-Estimates_of_the_use_of_water__2000_2020[[#This Row],[wat_bas_u]])/(B287-Estimates_of_the_use_of_water__2000_2020[[#This Row],[year]])</f>
        <v>0</v>
      </c>
      <c r="J286">
        <f>ABS(Estimates_of_the_use_of_water__2000_2020[[#This Row],[ARC_r]]-Estimates_of_the_use_of_water__2000_2020[[#This Row],[ARC_u]])</f>
        <v>0</v>
      </c>
      <c r="K286">
        <v>0</v>
      </c>
      <c r="L286">
        <v>0</v>
      </c>
      <c r="M286">
        <v>0</v>
      </c>
      <c r="R286">
        <v>100</v>
      </c>
      <c r="S286">
        <v>0</v>
      </c>
      <c r="T286">
        <v>0</v>
      </c>
      <c r="U286">
        <v>0</v>
      </c>
    </row>
    <row r="287" spans="1:21" x14ac:dyDescent="0.25">
      <c r="A287" s="1" t="s">
        <v>32</v>
      </c>
      <c r="B287">
        <v>2020</v>
      </c>
      <c r="C287" t="str">
        <f>IF(A288=Estimates_of_the_use_of_water__2000_2020[[#This Row],[name]], B288-Estimates_of_the_use_of_water__2000_2020[[#This Row],[year]],"")</f>
        <v/>
      </c>
      <c r="D287">
        <v>10.833999629999999</v>
      </c>
      <c r="E287">
        <v>100</v>
      </c>
      <c r="F287">
        <v>100</v>
      </c>
      <c r="G287">
        <f>((F288-Estimates_of_the_use_of_water__2000_2020[[#This Row],[wat_bas_n]])/(B288-Estimates_of_the_use_of_water__2000_2020[[#This Row],[year]]))</f>
        <v>2.4383064819999989</v>
      </c>
      <c r="H287">
        <f>((N288-Estimates_of_the_use_of_water__2000_2020[[#This Row],[wat_bas_r]])/(B288-Estimates_of_the_use_of_water__2000_2020[[#This Row],[year]]))</f>
        <v>-17.448395928</v>
      </c>
      <c r="I287">
        <f>(R288-Estimates_of_the_use_of_water__2000_2020[[#This Row],[wat_bas_u]])/(B288-Estimates_of_the_use_of_water__2000_2020[[#This Row],[year]])</f>
        <v>1.9410657799999995</v>
      </c>
      <c r="J287">
        <f>ABS(Estimates_of_the_use_of_water__2000_2020[[#This Row],[ARC_r]]-Estimates_of_the_use_of_water__2000_2020[[#This Row],[ARC_u]])</f>
        <v>19.389461707999999</v>
      </c>
      <c r="K287">
        <v>0</v>
      </c>
      <c r="L287">
        <v>0</v>
      </c>
      <c r="M287">
        <v>0</v>
      </c>
      <c r="R287">
        <v>100</v>
      </c>
      <c r="S287">
        <v>0</v>
      </c>
      <c r="T287">
        <v>0</v>
      </c>
      <c r="U287">
        <v>0</v>
      </c>
    </row>
    <row r="288" spans="1:21" x14ac:dyDescent="0.25">
      <c r="A288" s="1" t="s">
        <v>186</v>
      </c>
      <c r="B288">
        <v>2015</v>
      </c>
      <c r="C288">
        <f>IF(A289=Estimates_of_the_use_of_water__2000_2020[[#This Row],[name]], B289-Estimates_of_the_use_of_water__2000_2020[[#This Row],[year]],"")</f>
        <v>5</v>
      </c>
      <c r="D288">
        <v>27015.033200000002</v>
      </c>
      <c r="E288">
        <v>18.556999210000001</v>
      </c>
      <c r="F288">
        <v>87.808467590000006</v>
      </c>
      <c r="G288">
        <f>((F289-Estimates_of_the_use_of_water__2000_2020[[#This Row],[wat_bas_n]])/(B289-Estimates_of_the_use_of_water__2000_2020[[#This Row],[year]]))</f>
        <v>0.45321483999999829</v>
      </c>
      <c r="H288">
        <f>((N289-Estimates_of_the_use_of_water__2000_2020[[#This Row],[wat_bas_r]])/(B289-Estimates_of_the_use_of_water__2000_2020[[#This Row],[year]]))</f>
        <v>0.59225840200000168</v>
      </c>
      <c r="I288">
        <f>(R289-Estimates_of_the_use_of_water__2000_2020[[#This Row],[wat_bas_u]])/(B289-Estimates_of_the_use_of_water__2000_2020[[#This Row],[year]])</f>
        <v>-0.14340758799999948</v>
      </c>
      <c r="J288">
        <f>ABS(Estimates_of_the_use_of_water__2000_2020[[#This Row],[ARC_r]]-Estimates_of_the_use_of_water__2000_2020[[#This Row],[ARC_u]])</f>
        <v>0.7356659900000011</v>
      </c>
      <c r="K288">
        <v>3.1679044589999998</v>
      </c>
      <c r="L288">
        <v>7.2642085280000002</v>
      </c>
      <c r="M288">
        <v>1.759419423</v>
      </c>
      <c r="N288">
        <v>87.241979639999997</v>
      </c>
      <c r="O288">
        <v>3.3102712580000002</v>
      </c>
      <c r="P288">
        <v>7.5313174839999997</v>
      </c>
      <c r="Q288">
        <v>1.9164316180000001</v>
      </c>
      <c r="R288">
        <v>90.294671100000002</v>
      </c>
      <c r="S288">
        <v>2.5430847519999999</v>
      </c>
      <c r="T288">
        <v>6.091920182</v>
      </c>
      <c r="U288">
        <v>1.07032397</v>
      </c>
    </row>
    <row r="289" spans="1:21" x14ac:dyDescent="0.25">
      <c r="A289" s="1" t="s">
        <v>186</v>
      </c>
      <c r="B289">
        <v>2020</v>
      </c>
      <c r="C289" t="str">
        <f>IF(A290=Estimates_of_the_use_of_water__2000_2020[[#This Row],[name]], B290-Estimates_of_the_use_of_water__2000_2020[[#This Row],[year]],"")</f>
        <v/>
      </c>
      <c r="D289">
        <v>29136.808590000001</v>
      </c>
      <c r="E289">
        <v>20.57600021</v>
      </c>
      <c r="F289">
        <v>90.074541789999998</v>
      </c>
      <c r="G289">
        <f>((F290-Estimates_of_the_use_of_water__2000_2020[[#This Row],[wat_bas_n]])/(B290-Estimates_of_the_use_of_water__2000_2020[[#This Row],[year]]))</f>
        <v>-1.9850913539999993</v>
      </c>
      <c r="H289">
        <f>((N290-Estimates_of_the_use_of_water__2000_2020[[#This Row],[wat_bas_r]])/(B290-Estimates_of_the_use_of_water__2000_2020[[#This Row],[year]]))</f>
        <v>-1.9593456699999989</v>
      </c>
      <c r="I289">
        <f>(R290-Estimates_of_the_use_of_water__2000_2020[[#This Row],[wat_bas_u]])/(B290-Estimates_of_the_use_of_water__2000_2020[[#This Row],[year]])</f>
        <v>-2.0844733679999989</v>
      </c>
      <c r="J289">
        <f>ABS(Estimates_of_the_use_of_water__2000_2020[[#This Row],[ARC_r]]-Estimates_of_the_use_of_water__2000_2020[[#This Row],[ARC_u]])</f>
        <v>0.12512769800000001</v>
      </c>
      <c r="K289">
        <v>3.979825725</v>
      </c>
      <c r="L289">
        <v>4.699081176</v>
      </c>
      <c r="M289">
        <v>1.246551314</v>
      </c>
      <c r="N289">
        <v>90.203271650000005</v>
      </c>
      <c r="O289">
        <v>4.2073482459999996</v>
      </c>
      <c r="P289">
        <v>4.2690239510000003</v>
      </c>
      <c r="Q289">
        <v>1.320356149</v>
      </c>
      <c r="R289">
        <v>89.577633160000005</v>
      </c>
      <c r="S289">
        <v>3.1015814110000002</v>
      </c>
      <c r="T289">
        <v>6.359123168</v>
      </c>
      <c r="U289">
        <v>0.96166225849999998</v>
      </c>
    </row>
    <row r="290" spans="1:21" x14ac:dyDescent="0.25">
      <c r="A290" s="1" t="s">
        <v>54</v>
      </c>
      <c r="B290">
        <v>2015</v>
      </c>
      <c r="C290">
        <f>IF(A291=Estimates_of_the_use_of_water__2000_2020[[#This Row],[name]], B291-Estimates_of_the_use_of_water__2000_2020[[#This Row],[year]],"")</f>
        <v>5</v>
      </c>
      <c r="D290">
        <v>16938.492190000001</v>
      </c>
      <c r="E290">
        <v>90.172996519999998</v>
      </c>
      <c r="F290">
        <v>99.999998559999995</v>
      </c>
      <c r="G290">
        <f>((F291-Estimates_of_the_use_of_water__2000_2020[[#This Row],[wat_bas_n]])/(B291-Estimates_of_the_use_of_water__2000_2020[[#This Row],[year]]))</f>
        <v>1.4600000213249588E-7</v>
      </c>
      <c r="H290">
        <f>((N291-Estimates_of_the_use_of_water__2000_2020[[#This Row],[wat_bas_r]])/(B291-Estimates_of_the_use_of_water__2000_2020[[#This Row],[year]]))</f>
        <v>0</v>
      </c>
      <c r="I290">
        <f>(R291-Estimates_of_the_use_of_water__2000_2020[[#This Row],[wat_bas_u]])/(B291-Estimates_of_the_use_of_water__2000_2020[[#This Row],[year]])</f>
        <v>0</v>
      </c>
      <c r="J290">
        <f>ABS(Estimates_of_the_use_of_water__2000_2020[[#This Row],[ARC_r]]-Estimates_of_the_use_of_water__2000_2020[[#This Row],[ARC_u]])</f>
        <v>0</v>
      </c>
      <c r="K290">
        <v>0</v>
      </c>
      <c r="L290">
        <v>1.441336238E-6</v>
      </c>
      <c r="M290">
        <v>0</v>
      </c>
      <c r="N290">
        <v>100</v>
      </c>
      <c r="O290">
        <v>0</v>
      </c>
      <c r="P290">
        <v>0</v>
      </c>
      <c r="Q290">
        <v>0</v>
      </c>
      <c r="R290">
        <v>100</v>
      </c>
      <c r="S290">
        <v>0</v>
      </c>
      <c r="T290">
        <v>0</v>
      </c>
      <c r="U290">
        <v>0</v>
      </c>
    </row>
    <row r="291" spans="1:21" x14ac:dyDescent="0.25">
      <c r="A291" s="1" t="s">
        <v>54</v>
      </c>
      <c r="B291">
        <v>2020</v>
      </c>
      <c r="C291" t="str">
        <f>IF(A292=Estimates_of_the_use_of_water__2000_2020[[#This Row],[name]], B292-Estimates_of_the_use_of_water__2000_2020[[#This Row],[year]],"")</f>
        <v/>
      </c>
      <c r="D291">
        <v>17134.873049999998</v>
      </c>
      <c r="E291">
        <v>92.236000059999995</v>
      </c>
      <c r="F291">
        <v>99.999999290000005</v>
      </c>
      <c r="G291">
        <f>((F292-Estimates_of_the_use_of_water__2000_2020[[#This Row],[wat_bas_n]])/(B292-Estimates_of_the_use_of_water__2000_2020[[#This Row],[year]]))</f>
        <v>0.3722881600000022</v>
      </c>
      <c r="H291">
        <f>((N292-Estimates_of_the_use_of_water__2000_2020[[#This Row],[wat_bas_r]])/(B292-Estimates_of_the_use_of_water__2000_2020[[#This Row],[year]]))</f>
        <v>20</v>
      </c>
      <c r="I291">
        <f>(R292-Estimates_of_the_use_of_water__2000_2020[[#This Row],[wat_bas_u]])/(B292-Estimates_of_the_use_of_water__2000_2020[[#This Row],[year]])</f>
        <v>20</v>
      </c>
      <c r="J291">
        <f>ABS(Estimates_of_the_use_of_water__2000_2020[[#This Row],[ARC_r]]-Estimates_of_the_use_of_water__2000_2020[[#This Row],[ARC_u]])</f>
        <v>0</v>
      </c>
      <c r="K291">
        <v>0</v>
      </c>
      <c r="L291">
        <v>7.1240862099999999E-7</v>
      </c>
      <c r="M291">
        <v>0</v>
      </c>
      <c r="N291">
        <v>100</v>
      </c>
      <c r="O291">
        <v>0</v>
      </c>
      <c r="P291">
        <v>0</v>
      </c>
      <c r="Q291">
        <v>0</v>
      </c>
      <c r="R291">
        <v>100</v>
      </c>
      <c r="S291">
        <v>0</v>
      </c>
      <c r="T291">
        <v>0</v>
      </c>
      <c r="U291">
        <v>0</v>
      </c>
    </row>
    <row r="292" spans="1:21" x14ac:dyDescent="0.25">
      <c r="A292" s="1" t="s">
        <v>97</v>
      </c>
      <c r="B292">
        <v>2015</v>
      </c>
      <c r="C292">
        <f>IF(A293=Estimates_of_the_use_of_water__2000_2020[[#This Row],[name]], B293-Estimates_of_the_use_of_water__2000_2020[[#This Row],[year]],"")</f>
        <v>5</v>
      </c>
      <c r="D292">
        <v>271.06201170000003</v>
      </c>
      <c r="E292">
        <v>69.379005430000007</v>
      </c>
      <c r="F292">
        <v>98.138558489999994</v>
      </c>
      <c r="G292">
        <f>((F293-Estimates_of_the_use_of_water__2000_2020[[#This Row],[wat_bas_n]])/(B293-Estimates_of_the_use_of_water__2000_2020[[#This Row],[year]]))</f>
        <v>0.23335241600000245</v>
      </c>
      <c r="H292">
        <f>((N293-Estimates_of_the_use_of_water__2000_2020[[#This Row],[wat_bas_r]])/(B293-Estimates_of_the_use_of_water__2000_2020[[#This Row],[year]]))</f>
        <v>0</v>
      </c>
      <c r="I292">
        <f>(R293-Estimates_of_the_use_of_water__2000_2020[[#This Row],[wat_bas_u]])/(B293-Estimates_of_the_use_of_water__2000_2020[[#This Row],[year]])</f>
        <v>0</v>
      </c>
      <c r="J292">
        <f>ABS(Estimates_of_the_use_of_water__2000_2020[[#This Row],[ARC_r]]-Estimates_of_the_use_of_water__2000_2020[[#This Row],[ARC_u]])</f>
        <v>0</v>
      </c>
      <c r="K292">
        <v>0</v>
      </c>
      <c r="L292">
        <v>1.861441508</v>
      </c>
      <c r="M292">
        <v>0</v>
      </c>
    </row>
    <row r="293" spans="1:21" x14ac:dyDescent="0.25">
      <c r="A293" s="1" t="s">
        <v>97</v>
      </c>
      <c r="B293">
        <v>2020</v>
      </c>
      <c r="C293" t="str">
        <f>IF(A294=Estimates_of_the_use_of_water__2000_2020[[#This Row],[name]], B294-Estimates_of_the_use_of_water__2000_2020[[#This Row],[year]],"")</f>
        <v/>
      </c>
      <c r="D293">
        <v>285.4909973</v>
      </c>
      <c r="E293">
        <v>71.517997739999998</v>
      </c>
      <c r="F293">
        <v>99.305320570000006</v>
      </c>
      <c r="G293">
        <f>((F294-Estimates_of_the_use_of_water__2000_2020[[#This Row],[wat_bas_n]])/(B294-Estimates_of_the_use_of_water__2000_2020[[#This Row],[year]]))</f>
        <v>-0.13893535599999893</v>
      </c>
      <c r="H293">
        <f>((N294-Estimates_of_the_use_of_water__2000_2020[[#This Row],[wat_bas_r]])/(B294-Estimates_of_the_use_of_water__2000_2020[[#This Row],[year]]))</f>
        <v>-20</v>
      </c>
      <c r="I293">
        <f>(R294-Estimates_of_the_use_of_water__2000_2020[[#This Row],[wat_bas_u]])/(B294-Estimates_of_the_use_of_water__2000_2020[[#This Row],[year]])</f>
        <v>-20</v>
      </c>
      <c r="J293">
        <f>ABS(Estimates_of_the_use_of_water__2000_2020[[#This Row],[ARC_r]]-Estimates_of_the_use_of_water__2000_2020[[#This Row],[ARC_u]])</f>
        <v>0</v>
      </c>
      <c r="K293">
        <v>0</v>
      </c>
      <c r="L293">
        <v>0.69467942780000003</v>
      </c>
      <c r="M293">
        <v>0</v>
      </c>
    </row>
    <row r="294" spans="1:21" x14ac:dyDescent="0.25">
      <c r="A294" s="1" t="s">
        <v>27</v>
      </c>
      <c r="B294">
        <v>2015</v>
      </c>
      <c r="C294">
        <f>IF(A295=Estimates_of_the_use_of_water__2000_2020[[#This Row],[name]], B295-Estimates_of_the_use_of_water__2000_2020[[#This Row],[year]],"")</f>
        <v>5</v>
      </c>
      <c r="D294">
        <v>4614.5268550000001</v>
      </c>
      <c r="E294">
        <v>86.340995789999994</v>
      </c>
      <c r="F294">
        <v>99.999997350000001</v>
      </c>
      <c r="G294">
        <f>((F295-Estimates_of_the_use_of_water__2000_2020[[#This Row],[wat_bas_n]])/(B295-Estimates_of_the_use_of_water__2000_2020[[#This Row],[year]]))</f>
        <v>7.8999999857387589E-7</v>
      </c>
      <c r="H294">
        <f>((N295-Estimates_of_the_use_of_water__2000_2020[[#This Row],[wat_bas_r]])/(B295-Estimates_of_the_use_of_water__2000_2020[[#This Row],[year]]))</f>
        <v>0</v>
      </c>
      <c r="I294">
        <f>(R295-Estimates_of_the_use_of_water__2000_2020[[#This Row],[wat_bas_u]])/(B295-Estimates_of_the_use_of_water__2000_2020[[#This Row],[year]])</f>
        <v>0</v>
      </c>
      <c r="J294">
        <f>ABS(Estimates_of_the_use_of_water__2000_2020[[#This Row],[ARC_r]]-Estimates_of_the_use_of_water__2000_2020[[#This Row],[ARC_u]])</f>
        <v>0</v>
      </c>
      <c r="K294">
        <v>0</v>
      </c>
      <c r="L294">
        <v>2.6453484029999998E-6</v>
      </c>
      <c r="M294">
        <v>0</v>
      </c>
      <c r="N294">
        <v>100</v>
      </c>
      <c r="O294">
        <v>0</v>
      </c>
      <c r="P294">
        <v>0</v>
      </c>
      <c r="Q294">
        <v>0</v>
      </c>
      <c r="R294">
        <v>100</v>
      </c>
      <c r="S294">
        <v>0</v>
      </c>
      <c r="T294">
        <v>0</v>
      </c>
      <c r="U294">
        <v>0</v>
      </c>
    </row>
    <row r="295" spans="1:21" x14ac:dyDescent="0.25">
      <c r="A295" s="1" t="s">
        <v>27</v>
      </c>
      <c r="B295">
        <v>2020</v>
      </c>
      <c r="C295" t="str">
        <f>IF(A296=Estimates_of_the_use_of_water__2000_2020[[#This Row],[name]], B296-Estimates_of_the_use_of_water__2000_2020[[#This Row],[year]],"")</f>
        <v/>
      </c>
      <c r="D295">
        <v>4822.2329099999997</v>
      </c>
      <c r="E295">
        <v>86.698997500000004</v>
      </c>
      <c r="F295">
        <v>100.00000129999999</v>
      </c>
      <c r="G295">
        <f>((F296-Estimates_of_the_use_of_water__2000_2020[[#This Row],[wat_bas_n]])/(B296-Estimates_of_the_use_of_water__2000_2020[[#This Row],[year]]))</f>
        <v>3.7293745519999986</v>
      </c>
      <c r="H295">
        <f>((N296-Estimates_of_the_use_of_water__2000_2020[[#This Row],[wat_bas_r]])/(B296-Estimates_of_the_use_of_water__2000_2020[[#This Row],[year]]))</f>
        <v>8.0990684319999993</v>
      </c>
      <c r="I295">
        <f>(R296-Estimates_of_the_use_of_water__2000_2020[[#This Row],[wat_bas_u]])/(B296-Estimates_of_the_use_of_water__2000_2020[[#This Row],[year]])</f>
        <v>0.55144902399999862</v>
      </c>
      <c r="J295">
        <f>ABS(Estimates_of_the_use_of_water__2000_2020[[#This Row],[ARC_r]]-Estimates_of_the_use_of_water__2000_2020[[#This Row],[ARC_u]])</f>
        <v>7.547619408000001</v>
      </c>
      <c r="K295">
        <v>0</v>
      </c>
      <c r="L295">
        <v>0</v>
      </c>
      <c r="M295">
        <v>0</v>
      </c>
      <c r="N295">
        <v>100</v>
      </c>
      <c r="O295">
        <v>0</v>
      </c>
      <c r="P295">
        <v>0</v>
      </c>
      <c r="Q295">
        <v>0</v>
      </c>
      <c r="R295">
        <v>100</v>
      </c>
      <c r="S295">
        <v>0</v>
      </c>
      <c r="T295">
        <v>0</v>
      </c>
      <c r="U295">
        <v>0</v>
      </c>
    </row>
    <row r="296" spans="1:21" x14ac:dyDescent="0.25">
      <c r="A296" s="1" t="s">
        <v>200</v>
      </c>
      <c r="B296">
        <v>2015</v>
      </c>
      <c r="C296">
        <f>IF(A297=Estimates_of_the_use_of_water__2000_2020[[#This Row],[name]], B297-Estimates_of_the_use_of_water__2000_2020[[#This Row],[year]],"")</f>
        <v>5</v>
      </c>
      <c r="D296">
        <v>6223.2338870000003</v>
      </c>
      <c r="E296">
        <v>57.894996640000002</v>
      </c>
      <c r="F296">
        <v>81.35312854</v>
      </c>
      <c r="G296">
        <f>((F297-Estimates_of_the_use_of_water__2000_2020[[#This Row],[wat_bas_n]])/(B297-Estimates_of_the_use_of_water__2000_2020[[#This Row],[year]]))</f>
        <v>7.11250519999993E-2</v>
      </c>
      <c r="H296">
        <f>((N297-Estimates_of_the_use_of_water__2000_2020[[#This Row],[wat_bas_r]])/(B297-Estimates_of_the_use_of_water__2000_2020[[#This Row],[year]]))</f>
        <v>-7.9442242000000357E-2</v>
      </c>
      <c r="I296">
        <f>(R297-Estimates_of_the_use_of_water__2000_2020[[#This Row],[wat_bas_u]])/(B297-Estimates_of_the_use_of_water__2000_2020[[#This Row],[year]])</f>
        <v>3.2840345999997564E-2</v>
      </c>
      <c r="J296">
        <f>ABS(Estimates_of_the_use_of_water__2000_2020[[#This Row],[ARC_r]]-Estimates_of_the_use_of_water__2000_2020[[#This Row],[ARC_u]])</f>
        <v>0.11228258799999792</v>
      </c>
      <c r="K296">
        <v>1.4259273880000001</v>
      </c>
      <c r="L296">
        <v>13.835758999999999</v>
      </c>
      <c r="M296">
        <v>3.3851850699999999</v>
      </c>
      <c r="N296">
        <v>59.50465784</v>
      </c>
      <c r="O296">
        <v>3.2389618649999998</v>
      </c>
      <c r="P296">
        <v>29.55960602</v>
      </c>
      <c r="Q296">
        <v>7.6967742709999998</v>
      </c>
      <c r="R296">
        <v>97.242754880000007</v>
      </c>
      <c r="S296">
        <v>0.1073710103</v>
      </c>
      <c r="T296">
        <v>2.4003566219999999</v>
      </c>
      <c r="U296">
        <v>0.24951748460000001</v>
      </c>
    </row>
    <row r="297" spans="1:21" x14ac:dyDescent="0.25">
      <c r="A297" s="1" t="s">
        <v>200</v>
      </c>
      <c r="B297">
        <v>2020</v>
      </c>
      <c r="C297" t="str">
        <f>IF(A298=Estimates_of_the_use_of_water__2000_2020[[#This Row],[name]], B298-Estimates_of_the_use_of_water__2000_2020[[#This Row],[year]],"")</f>
        <v/>
      </c>
      <c r="D297">
        <v>6624.5541990000002</v>
      </c>
      <c r="E297">
        <v>59.012001040000001</v>
      </c>
      <c r="F297">
        <v>81.708753799999997</v>
      </c>
      <c r="G297">
        <f>((F298-Estimates_of_the_use_of_water__2000_2020[[#This Row],[wat_bas_n]])/(B298-Estimates_of_the_use_of_water__2000_2020[[#This Row],[year]]))</f>
        <v>7.2452591479999997</v>
      </c>
      <c r="H297">
        <f>((N298-Estimates_of_the_use_of_water__2000_2020[[#This Row],[wat_bas_r]])/(B298-Estimates_of_the_use_of_water__2000_2020[[#This Row],[year]]))</f>
        <v>4.3555009959999991</v>
      </c>
      <c r="I297">
        <f>(R298-Estimates_of_the_use_of_water__2000_2020[[#This Row],[wat_bas_u]])/(B298-Estimates_of_the_use_of_water__2000_2020[[#This Row],[year]])</f>
        <v>1.9796835139999984</v>
      </c>
      <c r="J297">
        <f>ABS(Estimates_of_the_use_of_water__2000_2020[[#This Row],[ARC_r]]-Estimates_of_the_use_of_water__2000_2020[[#This Row],[ARC_u]])</f>
        <v>2.3758174820000004</v>
      </c>
      <c r="K297">
        <v>1.506645682</v>
      </c>
      <c r="L297">
        <v>13.530531140000001</v>
      </c>
      <c r="M297">
        <v>3.2540693780000001</v>
      </c>
      <c r="N297">
        <v>59.107446629999998</v>
      </c>
      <c r="O297">
        <v>3.5209742849999999</v>
      </c>
      <c r="P297">
        <v>29.780173680000001</v>
      </c>
      <c r="Q297">
        <v>7.5914054000000002</v>
      </c>
      <c r="R297">
        <v>97.406956609999995</v>
      </c>
      <c r="S297">
        <v>0.10755231429999999</v>
      </c>
      <c r="T297">
        <v>2.244007656</v>
      </c>
      <c r="U297">
        <v>0.24148342289999999</v>
      </c>
    </row>
    <row r="298" spans="1:21" x14ac:dyDescent="0.25">
      <c r="A298" s="1" t="s">
        <v>241</v>
      </c>
      <c r="B298">
        <v>2015</v>
      </c>
      <c r="C298">
        <f>IF(A299=Estimates_of_the_use_of_water__2000_2020[[#This Row],[name]], B299-Estimates_of_the_use_of_water__2000_2020[[#This Row],[year]],"")</f>
        <v>5</v>
      </c>
      <c r="D298">
        <v>20001.662110000001</v>
      </c>
      <c r="E298">
        <v>16.24699974</v>
      </c>
      <c r="F298">
        <v>45.482458059999999</v>
      </c>
      <c r="G298">
        <f>((F299-Estimates_of_the_use_of_water__2000_2020[[#This Row],[wat_bas_n]])/(B299-Estimates_of_the_use_of_water__2000_2020[[#This Row],[year]]))</f>
        <v>0.28586788200000085</v>
      </c>
      <c r="H298">
        <f>((N299-Estimates_of_the_use_of_water__2000_2020[[#This Row],[wat_bas_r]])/(B299-Estimates_of_the_use_of_water__2000_2020[[#This Row],[year]]))</f>
        <v>0.36484353399999919</v>
      </c>
      <c r="I298">
        <f>(R299-Estimates_of_the_use_of_water__2000_2020[[#This Row],[wat_bas_u]])/(B299-Estimates_of_the_use_of_water__2000_2020[[#This Row],[year]])</f>
        <v>-0.33893985600000176</v>
      </c>
      <c r="J298">
        <f>ABS(Estimates_of_the_use_of_water__2000_2020[[#This Row],[ARC_r]]-Estimates_of_the_use_of_water__2000_2020[[#This Row],[ARC_u]])</f>
        <v>0.70378339000000101</v>
      </c>
      <c r="K298">
        <v>16.128836960000001</v>
      </c>
      <c r="L298">
        <v>34.719560010000002</v>
      </c>
      <c r="M298">
        <v>3.6691449719999998</v>
      </c>
      <c r="N298">
        <v>37.329941650000002</v>
      </c>
      <c r="O298">
        <v>17.64359486</v>
      </c>
      <c r="P298">
        <v>40.888487750000003</v>
      </c>
      <c r="Q298">
        <v>4.1379757509999999</v>
      </c>
      <c r="R298">
        <v>87.508539040000002</v>
      </c>
      <c r="S298">
        <v>8.3202861959999996</v>
      </c>
      <c r="T298">
        <v>2.918844344</v>
      </c>
      <c r="U298">
        <v>1.252330425</v>
      </c>
    </row>
    <row r="299" spans="1:21" x14ac:dyDescent="0.25">
      <c r="A299" s="1" t="s">
        <v>241</v>
      </c>
      <c r="B299">
        <v>2020</v>
      </c>
      <c r="C299" t="str">
        <f>IF(A300=Estimates_of_the_use_of_water__2000_2020[[#This Row],[name]], B300-Estimates_of_the_use_of_water__2000_2020[[#This Row],[year]],"")</f>
        <v/>
      </c>
      <c r="D299">
        <v>24206.636719999999</v>
      </c>
      <c r="E299">
        <v>16.625999449999998</v>
      </c>
      <c r="F299">
        <v>46.911797470000003</v>
      </c>
      <c r="G299">
        <f>((F300-Estimates_of_the_use_of_water__2000_2020[[#This Row],[wat_bas_n]])/(B300-Estimates_of_the_use_of_water__2000_2020[[#This Row],[year]]))</f>
        <v>-4.373591598</v>
      </c>
      <c r="H299">
        <f>((N300-Estimates_of_the_use_of_water__2000_2020[[#This Row],[wat_bas_r]])/(B300-Estimates_of_the_use_of_water__2000_2020[[#This Row],[year]]))</f>
        <v>-2.8676579360000005</v>
      </c>
      <c r="I299">
        <f>(R300-Estimates_of_the_use_of_water__2000_2020[[#This Row],[wat_bas_u]])/(B300-Estimates_of_the_use_of_water__2000_2020[[#This Row],[year]])</f>
        <v>7.2996287999998799E-2</v>
      </c>
      <c r="J299">
        <f>ABS(Estimates_of_the_use_of_water__2000_2020[[#This Row],[ARC_r]]-Estimates_of_the_use_of_water__2000_2020[[#This Row],[ARC_u]])</f>
        <v>2.9406542239999993</v>
      </c>
      <c r="K299">
        <v>21.653898699999999</v>
      </c>
      <c r="L299">
        <v>27.027512439999999</v>
      </c>
      <c r="M299">
        <v>4.4067913919999997</v>
      </c>
      <c r="N299">
        <v>39.154159319999998</v>
      </c>
      <c r="O299">
        <v>23.987740389999999</v>
      </c>
      <c r="P299">
        <v>31.991506480000002</v>
      </c>
      <c r="Q299">
        <v>4.8665938129999997</v>
      </c>
      <c r="R299">
        <v>85.813839759999993</v>
      </c>
      <c r="S299">
        <v>9.9504408289999997</v>
      </c>
      <c r="T299">
        <v>2.1346877800000001</v>
      </c>
      <c r="U299">
        <v>2.1010316339999999</v>
      </c>
    </row>
    <row r="300" spans="1:21" x14ac:dyDescent="0.25">
      <c r="A300" s="1" t="s">
        <v>205</v>
      </c>
      <c r="B300">
        <v>2015</v>
      </c>
      <c r="C300">
        <f>IF(A301=Estimates_of_the_use_of_water__2000_2020[[#This Row],[name]], B301-Estimates_of_the_use_of_water__2000_2020[[#This Row],[year]],"")</f>
        <v>5</v>
      </c>
      <c r="D300">
        <v>181137.45310000001</v>
      </c>
      <c r="E300">
        <v>47.837997440000002</v>
      </c>
      <c r="F300">
        <v>68.779755460000004</v>
      </c>
      <c r="G300">
        <f>((F301-Estimates_of_the_use_of_water__2000_2020[[#This Row],[wat_bas_n]])/(B301-Estimates_of_the_use_of_water__2000_2020[[#This Row],[year]]))</f>
        <v>1.7658595840000004</v>
      </c>
      <c r="H300">
        <f>((N301-Estimates_of_the_use_of_water__2000_2020[[#This Row],[wat_bas_r]])/(B301-Estimates_of_the_use_of_water__2000_2020[[#This Row],[year]]))</f>
        <v>1.6331522059999997</v>
      </c>
      <c r="I300">
        <f>(R301-Estimates_of_the_use_of_water__2000_2020[[#This Row],[wat_bas_u]])/(B301-Estimates_of_the_use_of_water__2000_2020[[#This Row],[year]])</f>
        <v>1.381769374000001</v>
      </c>
      <c r="J300">
        <f>ABS(Estimates_of_the_use_of_water__2000_2020[[#This Row],[ARC_r]]-Estimates_of_the_use_of_water__2000_2020[[#This Row],[ARC_u]])</f>
        <v>0.25138283199999867</v>
      </c>
      <c r="K300">
        <v>6.7135509960000004</v>
      </c>
      <c r="L300">
        <v>14.733762459999999</v>
      </c>
      <c r="M300">
        <v>9.7729310859999998</v>
      </c>
      <c r="N300">
        <v>53.492449000000001</v>
      </c>
      <c r="O300">
        <v>7.1064402710000003</v>
      </c>
      <c r="P300">
        <v>23.107160100000002</v>
      </c>
      <c r="Q300">
        <v>16.29395062</v>
      </c>
      <c r="R300">
        <v>85.448858319999999</v>
      </c>
      <c r="S300">
        <v>6.2851490559999998</v>
      </c>
      <c r="T300">
        <v>5.6035061180000003</v>
      </c>
      <c r="U300">
        <v>2.6624865010000001</v>
      </c>
    </row>
    <row r="301" spans="1:21" x14ac:dyDescent="0.25">
      <c r="A301" s="1" t="s">
        <v>205</v>
      </c>
      <c r="B301">
        <v>2020</v>
      </c>
      <c r="C301" t="str">
        <f>IF(A302=Estimates_of_the_use_of_water__2000_2020[[#This Row],[name]], B302-Estimates_of_the_use_of_water__2000_2020[[#This Row],[year]],"")</f>
        <v/>
      </c>
      <c r="D301">
        <v>206139.5938</v>
      </c>
      <c r="E301">
        <v>51.958000179999999</v>
      </c>
      <c r="F301">
        <v>77.609053380000006</v>
      </c>
      <c r="G301">
        <f>((F302-Estimates_of_the_use_of_water__2000_2020[[#This Row],[wat_bas_n]])/(B302-Estimates_of_the_use_of_water__2000_2020[[#This Row],[year]]))</f>
        <v>-3.9994172059999982</v>
      </c>
      <c r="H301">
        <f>((N302-Estimates_of_the_use_of_water__2000_2020[[#This Row],[wat_bas_r]])/(B302-Estimates_of_the_use_of_water__2000_2020[[#This Row],[year]]))</f>
        <v>12.331642005999999</v>
      </c>
      <c r="I301">
        <f>(R302-Estimates_of_the_use_of_water__2000_2020[[#This Row],[wat_bas_u]])/(B302-Estimates_of_the_use_of_water__2000_2020[[#This Row],[year]])</f>
        <v>18.471541038000002</v>
      </c>
      <c r="J301">
        <f>ABS(Estimates_of_the_use_of_water__2000_2020[[#This Row],[ARC_r]]-Estimates_of_the_use_of_water__2000_2020[[#This Row],[ARC_u]])</f>
        <v>6.1398990320000024</v>
      </c>
      <c r="K301">
        <v>4.9793993429999999</v>
      </c>
      <c r="L301">
        <v>11.79691148</v>
      </c>
      <c r="M301">
        <v>5.6146357939999998</v>
      </c>
      <c r="N301">
        <v>61.658210029999999</v>
      </c>
      <c r="O301">
        <v>7.1289245829999999</v>
      </c>
      <c r="P301">
        <v>20.924875350000001</v>
      </c>
      <c r="Q301">
        <v>10.28799004</v>
      </c>
      <c r="R301">
        <v>92.357705190000004</v>
      </c>
      <c r="S301">
        <v>2.9918806500000001</v>
      </c>
      <c r="T301">
        <v>3.356908786</v>
      </c>
      <c r="U301">
        <v>1.2935053700000001</v>
      </c>
    </row>
    <row r="302" spans="1:21" x14ac:dyDescent="0.25">
      <c r="A302" s="1" t="s">
        <v>123</v>
      </c>
      <c r="B302">
        <v>2015</v>
      </c>
      <c r="C302">
        <f>IF(A303=Estimates_of_the_use_of_water__2000_2020[[#This Row],[name]], B303-Estimates_of_the_use_of_water__2000_2020[[#This Row],[year]],"")</f>
        <v>5</v>
      </c>
      <c r="D302">
        <v>1.6100000139999999</v>
      </c>
      <c r="E302">
        <v>42.568000789999999</v>
      </c>
      <c r="F302">
        <v>97.606139409999997</v>
      </c>
      <c r="G302">
        <f>((F303-Estimates_of_the_use_of_water__2000_2020[[#This Row],[wat_bas_n]])/(B303-Estimates_of_the_use_of_water__2000_2020[[#This Row],[year]]))</f>
        <v>-0.1190526460000001</v>
      </c>
      <c r="H302">
        <f>((N303-Estimates_of_the_use_of_water__2000_2020[[#This Row],[wat_bas_r]])/(B303-Estimates_of_the_use_of_water__2000_2020[[#This Row],[year]]))</f>
        <v>0</v>
      </c>
      <c r="I302">
        <f>(R303-Estimates_of_the_use_of_water__2000_2020[[#This Row],[wat_bas_u]])/(B303-Estimates_of_the_use_of_water__2000_2020[[#This Row],[year]])</f>
        <v>0</v>
      </c>
      <c r="J302">
        <f>ABS(Estimates_of_the_use_of_water__2000_2020[[#This Row],[ARC_r]]-Estimates_of_the_use_of_water__2000_2020[[#This Row],[ARC_u]])</f>
        <v>0</v>
      </c>
      <c r="K302">
        <v>0</v>
      </c>
      <c r="L302">
        <v>2.393860594</v>
      </c>
      <c r="M302">
        <v>0</v>
      </c>
    </row>
    <row r="303" spans="1:21" x14ac:dyDescent="0.25">
      <c r="A303" s="1" t="s">
        <v>123</v>
      </c>
      <c r="B303">
        <v>2020</v>
      </c>
      <c r="C303" t="str">
        <f>IF(A304=Estimates_of_the_use_of_water__2000_2020[[#This Row],[name]], B304-Estimates_of_the_use_of_water__2000_2020[[#This Row],[year]],"")</f>
        <v/>
      </c>
      <c r="D303">
        <v>1.618000031</v>
      </c>
      <c r="E303">
        <v>46.202003480000002</v>
      </c>
      <c r="F303">
        <v>97.010876179999997</v>
      </c>
      <c r="G303">
        <f>((F304-Estimates_of_the_use_of_water__2000_2020[[#This Row],[wat_bas_n]])/(B304-Estimates_of_the_use_of_water__2000_2020[[#This Row],[year]]))</f>
        <v>-9.2291330000000477E-2</v>
      </c>
      <c r="H303">
        <f>((N304-Estimates_of_the_use_of_water__2000_2020[[#This Row],[wat_bas_r]])/(B304-Estimates_of_the_use_of_water__2000_2020[[#This Row],[year]]))</f>
        <v>-19.526646625999998</v>
      </c>
      <c r="I303">
        <f>(R304-Estimates_of_the_use_of_water__2000_2020[[#This Row],[wat_bas_u]])/(B304-Estimates_of_the_use_of_water__2000_2020[[#This Row],[year]])</f>
        <v>-19.470591616</v>
      </c>
      <c r="J303">
        <f>ABS(Estimates_of_the_use_of_water__2000_2020[[#This Row],[ARC_r]]-Estimates_of_the_use_of_water__2000_2020[[#This Row],[ARC_u]])</f>
        <v>5.6055009999997907E-2</v>
      </c>
      <c r="K303">
        <v>0</v>
      </c>
      <c r="L303">
        <v>2.9891238219999998</v>
      </c>
      <c r="M303">
        <v>0</v>
      </c>
    </row>
    <row r="304" spans="1:21" x14ac:dyDescent="0.25">
      <c r="A304" s="1" t="s">
        <v>121</v>
      </c>
      <c r="B304">
        <v>2015</v>
      </c>
      <c r="C304">
        <f>IF(A305=Estimates_of_the_use_of_water__2000_2020[[#This Row],[name]], B305-Estimates_of_the_use_of_water__2000_2020[[#This Row],[year]],"")</f>
        <v>5</v>
      </c>
      <c r="D304">
        <v>2079.334961</v>
      </c>
      <c r="E304">
        <v>57.407997129999998</v>
      </c>
      <c r="F304">
        <v>97.472332829999999</v>
      </c>
      <c r="G304">
        <f>((F305-Estimates_of_the_use_of_water__2000_2020[[#This Row],[wat_bas_n]])/(B305-Estimates_of_the_use_of_water__2000_2020[[#This Row],[year]]))</f>
        <v>5.4096591999999076E-2</v>
      </c>
      <c r="H304">
        <f>((N305-Estimates_of_the_use_of_water__2000_2020[[#This Row],[wat_bas_r]])/(B305-Estimates_of_the_use_of_water__2000_2020[[#This Row],[year]]))</f>
        <v>-3.2903711999998107E-2</v>
      </c>
      <c r="I304">
        <f>(R305-Estimates_of_the_use_of_water__2000_2020[[#This Row],[wat_bas_u]])/(B305-Estimates_of_the_use_of_water__2000_2020[[#This Row],[year]])</f>
        <v>0.11688898200000039</v>
      </c>
      <c r="J304">
        <f>ABS(Estimates_of_the_use_of_water__2000_2020[[#This Row],[ARC_r]]-Estimates_of_the_use_of_water__2000_2020[[#This Row],[ARC_u]])</f>
        <v>0.14979269399999851</v>
      </c>
      <c r="K304">
        <v>1.8859917129999999</v>
      </c>
      <c r="L304">
        <v>0.59247317450000003</v>
      </c>
      <c r="M304">
        <v>4.9202279760000002E-2</v>
      </c>
      <c r="N304">
        <v>97.633233129999994</v>
      </c>
      <c r="O304">
        <v>1.2224645000000001</v>
      </c>
      <c r="P304">
        <v>1.0287823730000001</v>
      </c>
      <c r="Q304">
        <v>0.11552</v>
      </c>
      <c r="R304">
        <v>97.352958079999993</v>
      </c>
      <c r="S304">
        <v>2.37827419</v>
      </c>
      <c r="T304">
        <v>0.2687677275</v>
      </c>
      <c r="U304">
        <v>0</v>
      </c>
    </row>
    <row r="305" spans="1:21" x14ac:dyDescent="0.25">
      <c r="A305" s="1" t="s">
        <v>121</v>
      </c>
      <c r="B305">
        <v>2020</v>
      </c>
      <c r="C305" t="str">
        <f>IF(A306=Estimates_of_the_use_of_water__2000_2020[[#This Row],[name]], B306-Estimates_of_the_use_of_water__2000_2020[[#This Row],[year]],"")</f>
        <v/>
      </c>
      <c r="D305">
        <v>2083.3798830000001</v>
      </c>
      <c r="E305">
        <v>58.481998439999998</v>
      </c>
      <c r="F305">
        <v>97.742815789999995</v>
      </c>
      <c r="G305">
        <f>((F306-Estimates_of_the_use_of_water__2000_2020[[#This Row],[wat_bas_n]])/(B306-Estimates_of_the_use_of_water__2000_2020[[#This Row],[year]]))</f>
        <v>-0.44747351999999979</v>
      </c>
      <c r="H305">
        <f>((N306-Estimates_of_the_use_of_water__2000_2020[[#This Row],[wat_bas_r]])/(B306-Estimates_of_the_use_of_water__2000_2020[[#This Row],[year]]))</f>
        <v>19.493742914000002</v>
      </c>
      <c r="I305">
        <f>(R306-Estimates_of_the_use_of_water__2000_2020[[#This Row],[wat_bas_u]])/(B306-Estimates_of_the_use_of_water__2000_2020[[#This Row],[year]])</f>
        <v>19.587480597999999</v>
      </c>
      <c r="J305">
        <f>ABS(Estimates_of_the_use_of_water__2000_2020[[#This Row],[ARC_r]]-Estimates_of_the_use_of_water__2000_2020[[#This Row],[ARC_u]])</f>
        <v>9.3737683999997046E-2</v>
      </c>
      <c r="K305">
        <v>1.6349941400000001</v>
      </c>
      <c r="L305">
        <v>0.57422847619999995</v>
      </c>
      <c r="M305">
        <v>4.796159706E-2</v>
      </c>
      <c r="N305">
        <v>97.468714570000003</v>
      </c>
      <c r="O305">
        <v>1.505202232</v>
      </c>
      <c r="P305">
        <v>0.91056319819999998</v>
      </c>
      <c r="Q305">
        <v>0.11552</v>
      </c>
      <c r="R305">
        <v>97.937402989999995</v>
      </c>
      <c r="S305">
        <v>1.7271369539999999</v>
      </c>
      <c r="T305">
        <v>0.33546005629999998</v>
      </c>
      <c r="U305">
        <v>0</v>
      </c>
    </row>
    <row r="306" spans="1:21" x14ac:dyDescent="0.25">
      <c r="A306" s="1" t="s">
        <v>39</v>
      </c>
      <c r="B306">
        <v>2015</v>
      </c>
      <c r="C306">
        <f>IF(A307=Estimates_of_the_use_of_water__2000_2020[[#This Row],[name]], B307-Estimates_of_the_use_of_water__2000_2020[[#This Row],[year]],"")</f>
        <v>5</v>
      </c>
      <c r="D306">
        <v>55.778999329999998</v>
      </c>
      <c r="E306">
        <v>91.356994630000003</v>
      </c>
      <c r="F306">
        <v>99.980183389999993</v>
      </c>
      <c r="G306">
        <f>((F307-Estimates_of_the_use_of_water__2000_2020[[#This Row],[wat_bas_n]])/(B307-Estimates_of_the_use_of_water__2000_2020[[#This Row],[year]]))</f>
        <v>3.9633220000013123E-3</v>
      </c>
      <c r="H306">
        <f>((N307-Estimates_of_the_use_of_water__2000_2020[[#This Row],[wat_bas_r]])/(B307-Estimates_of_the_use_of_water__2000_2020[[#This Row],[year]]))</f>
        <v>0</v>
      </c>
      <c r="I306">
        <f>(R307-Estimates_of_the_use_of_water__2000_2020[[#This Row],[wat_bas_u]])/(B307-Estimates_of_the_use_of_water__2000_2020[[#This Row],[year]])</f>
        <v>0</v>
      </c>
      <c r="J306">
        <f>ABS(Estimates_of_the_use_of_water__2000_2020[[#This Row],[ARC_r]]-Estimates_of_the_use_of_water__2000_2020[[#This Row],[ARC_u]])</f>
        <v>0</v>
      </c>
      <c r="K306">
        <v>0</v>
      </c>
      <c r="L306">
        <v>1.9816611519999999E-2</v>
      </c>
      <c r="M306">
        <v>0</v>
      </c>
    </row>
    <row r="307" spans="1:21" x14ac:dyDescent="0.25">
      <c r="A307" s="1" t="s">
        <v>39</v>
      </c>
      <c r="B307">
        <v>2020</v>
      </c>
      <c r="C307" t="str">
        <f>IF(A308=Estimates_of_the_use_of_water__2000_2020[[#This Row],[name]], B308-Estimates_of_the_use_of_water__2000_2020[[#This Row],[year]],"")</f>
        <v/>
      </c>
      <c r="D307">
        <v>57.556999210000001</v>
      </c>
      <c r="E307">
        <v>91.797996519999998</v>
      </c>
      <c r="F307">
        <v>100</v>
      </c>
      <c r="G307">
        <f>((F308-Estimates_of_the_use_of_water__2000_2020[[#This Row],[wat_bas_n]])/(B308-Estimates_of_the_use_of_water__2000_2020[[#This Row],[year]]))</f>
        <v>-2.3999999996249246E-7</v>
      </c>
      <c r="H307">
        <f>((N308-Estimates_of_the_use_of_water__2000_2020[[#This Row],[wat_bas_r]])/(B308-Estimates_of_the_use_of_water__2000_2020[[#This Row],[year]]))</f>
        <v>-20</v>
      </c>
      <c r="I307">
        <f>(R308-Estimates_of_the_use_of_water__2000_2020[[#This Row],[wat_bas_u]])/(B308-Estimates_of_the_use_of_water__2000_2020[[#This Row],[year]])</f>
        <v>-20</v>
      </c>
      <c r="J307">
        <f>ABS(Estimates_of_the_use_of_water__2000_2020[[#This Row],[ARC_r]]-Estimates_of_the_use_of_water__2000_2020[[#This Row],[ARC_u]])</f>
        <v>0</v>
      </c>
      <c r="K307">
        <v>0</v>
      </c>
      <c r="L307">
        <v>0</v>
      </c>
      <c r="M307">
        <v>0</v>
      </c>
    </row>
    <row r="308" spans="1:21" x14ac:dyDescent="0.25">
      <c r="A308" s="1" t="s">
        <v>28</v>
      </c>
      <c r="B308">
        <v>2015</v>
      </c>
      <c r="C308">
        <f>IF(A309=Estimates_of_the_use_of_water__2000_2020[[#This Row],[name]], B309-Estimates_of_the_use_of_water__2000_2020[[#This Row],[year]],"")</f>
        <v>5</v>
      </c>
      <c r="D308">
        <v>5199.8271480000003</v>
      </c>
      <c r="E308">
        <v>81.090995789999994</v>
      </c>
      <c r="F308">
        <v>100.0000012</v>
      </c>
      <c r="G308">
        <f>((F309-Estimates_of_the_use_of_water__2000_2020[[#This Row],[wat_bas_n]])/(B309-Estimates_of_the_use_of_water__2000_2020[[#This Row],[year]]))</f>
        <v>-1.1400000005323819E-6</v>
      </c>
      <c r="H308">
        <f>((N309-Estimates_of_the_use_of_water__2000_2020[[#This Row],[wat_bas_r]])/(B309-Estimates_of_the_use_of_water__2000_2020[[#This Row],[year]]))</f>
        <v>0</v>
      </c>
      <c r="I308">
        <f>(R309-Estimates_of_the_use_of_water__2000_2020[[#This Row],[wat_bas_u]])/(B309-Estimates_of_the_use_of_water__2000_2020[[#This Row],[year]])</f>
        <v>0</v>
      </c>
      <c r="J308">
        <f>ABS(Estimates_of_the_use_of_water__2000_2020[[#This Row],[ARC_r]]-Estimates_of_the_use_of_water__2000_2020[[#This Row],[ARC_u]])</f>
        <v>0</v>
      </c>
      <c r="K308">
        <v>0</v>
      </c>
      <c r="L308">
        <v>0</v>
      </c>
      <c r="M308">
        <v>0</v>
      </c>
      <c r="N308">
        <v>100</v>
      </c>
      <c r="O308">
        <v>0</v>
      </c>
      <c r="P308">
        <v>0</v>
      </c>
      <c r="Q308">
        <v>0</v>
      </c>
      <c r="R308">
        <v>100</v>
      </c>
      <c r="S308">
        <v>0</v>
      </c>
      <c r="T308">
        <v>0</v>
      </c>
      <c r="U308">
        <v>0</v>
      </c>
    </row>
    <row r="309" spans="1:21" x14ac:dyDescent="0.25">
      <c r="A309" s="1" t="s">
        <v>28</v>
      </c>
      <c r="B309">
        <v>2020</v>
      </c>
      <c r="C309" t="str">
        <f>IF(A310=Estimates_of_the_use_of_water__2000_2020[[#This Row],[name]], B310-Estimates_of_the_use_of_water__2000_2020[[#This Row],[year]],"")</f>
        <v/>
      </c>
      <c r="D309">
        <v>5421.2421880000002</v>
      </c>
      <c r="E309">
        <v>82.973991389999995</v>
      </c>
      <c r="F309">
        <v>99.999995499999997</v>
      </c>
      <c r="G309">
        <f>((F310-Estimates_of_the_use_of_water__2000_2020[[#This Row],[wat_bas_n]])/(B310-Estimates_of_the_use_of_water__2000_2020[[#This Row],[year]]))</f>
        <v>1.9523019720000008</v>
      </c>
      <c r="H309">
        <f>((N310-Estimates_of_the_use_of_water__2000_2020[[#This Row],[wat_bas_r]])/(B310-Estimates_of_the_use_of_water__2000_2020[[#This Row],[year]]))</f>
        <v>5.1266183079999994</v>
      </c>
      <c r="I309">
        <f>(R310-Estimates_of_the_use_of_water__2000_2020[[#This Row],[wat_bas_u]])/(B310-Estimates_of_the_use_of_water__2000_2020[[#This Row],[year]])</f>
        <v>1.224570983999999</v>
      </c>
      <c r="J309">
        <f>ABS(Estimates_of_the_use_of_water__2000_2020[[#This Row],[ARC_r]]-Estimates_of_the_use_of_water__2000_2020[[#This Row],[ARC_u]])</f>
        <v>3.9020473240000006</v>
      </c>
      <c r="K309">
        <v>0</v>
      </c>
      <c r="L309">
        <v>4.5034074529999998E-6</v>
      </c>
      <c r="M309">
        <v>0</v>
      </c>
      <c r="N309">
        <v>100</v>
      </c>
      <c r="O309">
        <v>0</v>
      </c>
      <c r="P309">
        <v>0</v>
      </c>
      <c r="Q309">
        <v>0</v>
      </c>
      <c r="R309">
        <v>100</v>
      </c>
      <c r="S309">
        <v>0</v>
      </c>
      <c r="T309">
        <v>0</v>
      </c>
      <c r="U309">
        <v>0</v>
      </c>
    </row>
    <row r="310" spans="1:21" x14ac:dyDescent="0.25">
      <c r="A310" s="1" t="s">
        <v>176</v>
      </c>
      <c r="B310">
        <v>2015</v>
      </c>
      <c r="C310">
        <f>IF(A311=Estimates_of_the_use_of_water__2000_2020[[#This Row],[name]], B311-Estimates_of_the_use_of_water__2000_2020[[#This Row],[year]],"")</f>
        <v>5</v>
      </c>
      <c r="D310">
        <v>4267.3408200000003</v>
      </c>
      <c r="E310">
        <v>81.349998470000003</v>
      </c>
      <c r="F310">
        <v>90.238485639999993</v>
      </c>
      <c r="G310">
        <f>((F311-Estimates_of_the_use_of_water__2000_2020[[#This Row],[wat_bas_n]])/(B311-Estimates_of_the_use_of_water__2000_2020[[#This Row],[year]]))</f>
        <v>0.38590781000000052</v>
      </c>
      <c r="H310">
        <f>((N311-Estimates_of_the_use_of_water__2000_2020[[#This Row],[wat_bas_r]])/(B311-Estimates_of_the_use_of_water__2000_2020[[#This Row],[year]]))</f>
        <v>0.37677429000000018</v>
      </c>
      <c r="I310">
        <f>(R311-Estimates_of_the_use_of_water__2000_2020[[#This Row],[wat_bas_u]])/(B311-Estimates_of_the_use_of_water__2000_2020[[#This Row],[year]])</f>
        <v>0.1645709839999995</v>
      </c>
      <c r="J310">
        <f>ABS(Estimates_of_the_use_of_water__2000_2020[[#This Row],[ARC_r]]-Estimates_of_the_use_of_water__2000_2020[[#This Row],[ARC_u]])</f>
        <v>0.21220330600000067</v>
      </c>
      <c r="K310">
        <v>8.2088027879999999</v>
      </c>
      <c r="L310">
        <v>1.473142599</v>
      </c>
      <c r="M310">
        <v>7.9568975099999995E-2</v>
      </c>
      <c r="N310">
        <v>74.366908460000005</v>
      </c>
      <c r="O310">
        <v>21.097672360000001</v>
      </c>
      <c r="P310">
        <v>4.3867318319999997</v>
      </c>
      <c r="Q310">
        <v>0.14868735080000001</v>
      </c>
      <c r="R310">
        <v>93.877145080000005</v>
      </c>
      <c r="S310">
        <v>5.2539479289999997</v>
      </c>
      <c r="T310">
        <v>0.80518384210000005</v>
      </c>
      <c r="U310">
        <v>6.3723150359999994E-2</v>
      </c>
    </row>
    <row r="311" spans="1:21" x14ac:dyDescent="0.25">
      <c r="A311" s="1" t="s">
        <v>176</v>
      </c>
      <c r="B311">
        <v>2020</v>
      </c>
      <c r="C311" t="str">
        <f>IF(A312=Estimates_of_the_use_of_water__2000_2020[[#This Row],[name]], B312-Estimates_of_the_use_of_water__2000_2020[[#This Row],[year]],"")</f>
        <v/>
      </c>
      <c r="D311">
        <v>5106.6220700000003</v>
      </c>
      <c r="E311">
        <v>86.275993349999993</v>
      </c>
      <c r="F311">
        <v>92.168024689999996</v>
      </c>
      <c r="G311">
        <f>((F312-Estimates_of_the_use_of_water__2000_2020[[#This Row],[wat_bas_n]])/(B312-Estimates_of_the_use_of_water__2000_2020[[#This Row],[year]]))</f>
        <v>0.54260846999999901</v>
      </c>
      <c r="H311">
        <f>((N312-Estimates_of_the_use_of_water__2000_2020[[#This Row],[wat_bas_r]])/(B312-Estimates_of_the_use_of_water__2000_2020[[#This Row],[year]]))</f>
        <v>-2.1800353699999988</v>
      </c>
      <c r="I311">
        <f>(R312-Estimates_of_the_use_of_water__2000_2020[[#This Row],[wat_bas_u]])/(B312-Estimates_of_the_use_of_water__2000_2020[[#This Row],[year]])</f>
        <v>0.23071823200000097</v>
      </c>
      <c r="J311">
        <f>ABS(Estimates_of_the_use_of_water__2000_2020[[#This Row],[ARC_r]]-Estimates_of_the_use_of_water__2000_2020[[#This Row],[ARC_u]])</f>
        <v>2.4107536019999998</v>
      </c>
      <c r="K311">
        <v>7.5414198929999996</v>
      </c>
      <c r="L311">
        <v>0.26040520360000002</v>
      </c>
      <c r="M311">
        <v>3.0150217449999999E-2</v>
      </c>
      <c r="N311">
        <v>76.250779910000006</v>
      </c>
      <c r="O311">
        <v>21.632121130000002</v>
      </c>
      <c r="P311">
        <v>1.897409218</v>
      </c>
      <c r="Q311">
        <v>0.21968973750000001</v>
      </c>
      <c r="R311">
        <v>94.7</v>
      </c>
      <c r="S311">
        <v>5.3</v>
      </c>
      <c r="T311">
        <v>0</v>
      </c>
      <c r="U311">
        <v>0</v>
      </c>
    </row>
    <row r="312" spans="1:21" x14ac:dyDescent="0.25">
      <c r="A312" s="1" t="s">
        <v>185</v>
      </c>
      <c r="B312">
        <v>2015</v>
      </c>
      <c r="C312">
        <f>IF(A313=Estimates_of_the_use_of_water__2000_2020[[#This Row],[name]], B313-Estimates_of_the_use_of_water__2000_2020[[#This Row],[year]],"")</f>
        <v>5</v>
      </c>
      <c r="D312">
        <v>199426.95310000001</v>
      </c>
      <c r="E312">
        <v>36.026000979999999</v>
      </c>
      <c r="F312">
        <v>89.454982340000001</v>
      </c>
      <c r="G312">
        <f>((F313-Estimates_of_the_use_of_water__2000_2020[[#This Row],[wat_bas_n]])/(B313-Estimates_of_the_use_of_water__2000_2020[[#This Row],[year]]))</f>
        <v>0.13879654799999913</v>
      </c>
      <c r="H312">
        <f>((N313-Estimates_of_the_use_of_water__2000_2020[[#This Row],[wat_bas_r]])/(B313-Estimates_of_the_use_of_water__2000_2020[[#This Row],[year]]))</f>
        <v>0.28978079999999978</v>
      </c>
      <c r="I312">
        <f>(R313-Estimates_of_the_use_of_water__2000_2020[[#This Row],[wat_bas_u]])/(B313-Estimates_of_the_use_of_water__2000_2020[[#This Row],[year]])</f>
        <v>-0.15567179800000019</v>
      </c>
      <c r="J312">
        <f>ABS(Estimates_of_the_use_of_water__2000_2020[[#This Row],[ARC_r]]-Estimates_of_the_use_of_water__2000_2020[[#This Row],[ARC_u]])</f>
        <v>0.44545259799999998</v>
      </c>
      <c r="K312">
        <v>3.6559530200000001</v>
      </c>
      <c r="L312">
        <v>4.4216911899999998</v>
      </c>
      <c r="M312">
        <v>2.4673734469999999</v>
      </c>
      <c r="N312">
        <v>87.15095676</v>
      </c>
      <c r="O312">
        <v>3.9565638390000002</v>
      </c>
      <c r="P312">
        <v>5.2364128790000004</v>
      </c>
      <c r="Q312">
        <v>3.6560665229999998</v>
      </c>
      <c r="R312">
        <v>93.546408839999998</v>
      </c>
      <c r="S312">
        <v>3.1221364330000001</v>
      </c>
      <c r="T312">
        <v>2.9749303889999998</v>
      </c>
      <c r="U312">
        <v>0.35652434</v>
      </c>
    </row>
    <row r="313" spans="1:21" x14ac:dyDescent="0.25">
      <c r="A313" s="1" t="s">
        <v>185</v>
      </c>
      <c r="B313">
        <v>2020</v>
      </c>
      <c r="C313" t="str">
        <f>IF(A314=Estimates_of_the_use_of_water__2000_2020[[#This Row],[name]], B314-Estimates_of_the_use_of_water__2000_2020[[#This Row],[year]],"")</f>
        <v/>
      </c>
      <c r="D313">
        <v>220892.32810000001</v>
      </c>
      <c r="E313">
        <v>37.165000919999997</v>
      </c>
      <c r="F313">
        <v>90.148965079999996</v>
      </c>
      <c r="G313">
        <f>((F314-Estimates_of_the_use_of_water__2000_2020[[#This Row],[wat_bas_n]])/(B314-Estimates_of_the_use_of_water__2000_2020[[#This Row],[year]]))</f>
        <v>-1.896237154000002</v>
      </c>
      <c r="H313">
        <f>((N314-Estimates_of_the_use_of_water__2000_2020[[#This Row],[wat_bas_r]])/(B314-Estimates_of_the_use_of_water__2000_2020[[#This Row],[year]]))</f>
        <v>-2.2028021440000005</v>
      </c>
      <c r="I313">
        <f>(R314-Estimates_of_the_use_of_water__2000_2020[[#This Row],[wat_bas_u]])/(B314-Estimates_of_the_use_of_water__2000_2020[[#This Row],[year]])</f>
        <v>-1.3733303760000013</v>
      </c>
      <c r="J313">
        <f>ABS(Estimates_of_the_use_of_water__2000_2020[[#This Row],[ARC_r]]-Estimates_of_the_use_of_water__2000_2020[[#This Row],[ARC_u]])</f>
        <v>0.82947176799999922</v>
      </c>
      <c r="K313">
        <v>3.8222795249999999</v>
      </c>
      <c r="L313">
        <v>4.4133075740000001</v>
      </c>
      <c r="M313">
        <v>1.61544782</v>
      </c>
      <c r="N313">
        <v>88.599860759999999</v>
      </c>
      <c r="O313">
        <v>3.852278117</v>
      </c>
      <c r="P313">
        <v>5.1745965089999997</v>
      </c>
      <c r="Q313">
        <v>2.3732646169999998</v>
      </c>
      <c r="R313">
        <v>92.768049849999997</v>
      </c>
      <c r="S313">
        <v>3.7715611619999998</v>
      </c>
      <c r="T313">
        <v>3.126184571</v>
      </c>
      <c r="U313">
        <v>0.33420442230000003</v>
      </c>
    </row>
    <row r="314" spans="1:21" x14ac:dyDescent="0.25">
      <c r="A314" s="1" t="s">
        <v>88</v>
      </c>
      <c r="B314">
        <v>2015</v>
      </c>
      <c r="C314">
        <f>IF(A315=Estimates_of_the_use_of_water__2000_2020[[#This Row],[name]], B315-Estimates_of_the_use_of_water__2000_2020[[#This Row],[year]],"")</f>
        <v>5</v>
      </c>
      <c r="D314">
        <v>17.665000920000001</v>
      </c>
      <c r="E314">
        <v>78.158996579999993</v>
      </c>
      <c r="F314">
        <v>99.630150850000007</v>
      </c>
      <c r="G314">
        <f>((F315-Estimates_of_the_use_of_water__2000_2020[[#This Row],[wat_bas_n]])/(B315-Estimates_of_the_use_of_water__2000_2020[[#This Row],[year]]))</f>
        <v>5.4789299999981724E-3</v>
      </c>
      <c r="H314">
        <f>((N315-Estimates_of_the_use_of_water__2000_2020[[#This Row],[wat_bas_r]])/(B315-Estimates_of_the_use_of_water__2000_2020[[#This Row],[year]]))</f>
        <v>2.8622709999999073E-2</v>
      </c>
      <c r="I314">
        <f>(R315-Estimates_of_the_use_of_water__2000_2020[[#This Row],[wat_bas_u]])/(B315-Estimates_of_the_use_of_water__2000_2020[[#This Row],[year]])</f>
        <v>-9.9948000001859325E-5</v>
      </c>
      <c r="J314">
        <f>ABS(Estimates_of_the_use_of_water__2000_2020[[#This Row],[ARC_r]]-Estimates_of_the_use_of_water__2000_2020[[#This Row],[ARC_u]])</f>
        <v>2.8722658000000931E-2</v>
      </c>
      <c r="K314">
        <v>0</v>
      </c>
      <c r="L314">
        <v>0.36984914990000001</v>
      </c>
      <c r="M314">
        <v>0</v>
      </c>
      <c r="N314">
        <v>99.61387148</v>
      </c>
      <c r="O314">
        <v>0</v>
      </c>
      <c r="P314">
        <v>0.38612851729999997</v>
      </c>
      <c r="Q314">
        <v>0</v>
      </c>
      <c r="R314">
        <v>99.634701730000003</v>
      </c>
      <c r="S314">
        <v>0</v>
      </c>
      <c r="T314">
        <v>0.36529827059999997</v>
      </c>
      <c r="U314">
        <v>0</v>
      </c>
    </row>
    <row r="315" spans="1:21" x14ac:dyDescent="0.25">
      <c r="A315" s="1" t="s">
        <v>88</v>
      </c>
      <c r="B315">
        <v>2020</v>
      </c>
      <c r="C315" t="str">
        <f>IF(A316=Estimates_of_the_use_of_water__2000_2020[[#This Row],[name]], B316-Estimates_of_the_use_of_water__2000_2020[[#This Row],[year]],"")</f>
        <v/>
      </c>
      <c r="D315">
        <v>18.091999049999998</v>
      </c>
      <c r="E315">
        <v>80.987998959999999</v>
      </c>
      <c r="F315">
        <v>99.657545499999998</v>
      </c>
      <c r="G315">
        <f>((F316-Estimates_of_the_use_of_water__2000_2020[[#This Row],[wat_bas_n]])/(B316-Estimates_of_the_use_of_water__2000_2020[[#This Row],[year]]))</f>
        <v>1.3506359779999997</v>
      </c>
      <c r="H315">
        <f>((N316-Estimates_of_the_use_of_water__2000_2020[[#This Row],[wat_bas_r]])/(B316-Estimates_of_the_use_of_water__2000_2020[[#This Row],[year]]))</f>
        <v>3.2154810999999994</v>
      </c>
      <c r="I315">
        <f>(R316-Estimates_of_the_use_of_water__2000_2020[[#This Row],[wat_bas_u]])/(B316-Estimates_of_the_use_of_water__2000_2020[[#This Row],[year]])</f>
        <v>0.42470491999999921</v>
      </c>
      <c r="J315">
        <f>ABS(Estimates_of_the_use_of_water__2000_2020[[#This Row],[ARC_r]]-Estimates_of_the_use_of_water__2000_2020[[#This Row],[ARC_u]])</f>
        <v>2.7907761800000004</v>
      </c>
      <c r="K315">
        <v>0</v>
      </c>
      <c r="L315">
        <v>0.34245449839999997</v>
      </c>
      <c r="M315">
        <v>0</v>
      </c>
      <c r="N315">
        <v>99.756985029999996</v>
      </c>
      <c r="O315">
        <v>0</v>
      </c>
      <c r="P315">
        <v>0.2430149677</v>
      </c>
      <c r="Q315">
        <v>0</v>
      </c>
      <c r="R315">
        <v>99.634201989999994</v>
      </c>
      <c r="S315">
        <v>0</v>
      </c>
      <c r="T315">
        <v>0.36579800779999999</v>
      </c>
      <c r="U315">
        <v>0</v>
      </c>
    </row>
    <row r="316" spans="1:21" x14ac:dyDescent="0.25">
      <c r="A316" s="1" t="s">
        <v>159</v>
      </c>
      <c r="B316">
        <v>2015</v>
      </c>
      <c r="C316">
        <f>IF(A317=Estimates_of_the_use_of_water__2000_2020[[#This Row],[name]], B317-Estimates_of_the_use_of_water__2000_2020[[#This Row],[year]],"")</f>
        <v>5</v>
      </c>
      <c r="D316">
        <v>3968.48999</v>
      </c>
      <c r="E316">
        <v>66.695999150000006</v>
      </c>
      <c r="F316">
        <v>92.904365609999999</v>
      </c>
      <c r="G316">
        <f>((F317-Estimates_of_the_use_of_water__2000_2020[[#This Row],[wat_bas_n]])/(B317-Estimates_of_the_use_of_water__2000_2020[[#This Row],[year]]))</f>
        <v>0.29363575000000142</v>
      </c>
      <c r="H316">
        <f>((N317-Estimates_of_the_use_of_water__2000_2020[[#This Row],[wat_bas_r]])/(B317-Estimates_of_the_use_of_water__2000_2020[[#This Row],[year]]))</f>
        <v>0.52870074600000128</v>
      </c>
      <c r="I316">
        <f>(R317-Estimates_of_the_use_of_water__2000_2020[[#This Row],[wat_bas_u]])/(B317-Estimates_of_the_use_of_water__2000_2020[[#This Row],[year]])</f>
        <v>0.11564305600000183</v>
      </c>
      <c r="J316">
        <f>ABS(Estimates_of_the_use_of_water__2000_2020[[#This Row],[ARC_r]]-Estimates_of_the_use_of_water__2000_2020[[#This Row],[ARC_u]])</f>
        <v>0.41305768999999948</v>
      </c>
      <c r="K316">
        <v>1.845644171</v>
      </c>
      <c r="L316">
        <v>3.160016841</v>
      </c>
      <c r="M316">
        <v>2.08997338</v>
      </c>
      <c r="N316">
        <v>83.679579529999998</v>
      </c>
      <c r="O316">
        <v>1.737106037</v>
      </c>
      <c r="P316">
        <v>8.379298168</v>
      </c>
      <c r="Q316">
        <v>6.2040162600000004</v>
      </c>
      <c r="R316">
        <v>97.510677389999998</v>
      </c>
      <c r="S316">
        <v>1.899841721</v>
      </c>
      <c r="T316">
        <v>0.55381483909999996</v>
      </c>
      <c r="U316">
        <v>3.5666046159999999E-2</v>
      </c>
    </row>
    <row r="317" spans="1:21" x14ac:dyDescent="0.25">
      <c r="A317" s="1" t="s">
        <v>159</v>
      </c>
      <c r="B317">
        <v>2020</v>
      </c>
      <c r="C317" t="str">
        <f>IF(A318=Estimates_of_the_use_of_water__2000_2020[[#This Row],[name]], B318-Estimates_of_the_use_of_water__2000_2020[[#This Row],[year]],"")</f>
        <v/>
      </c>
      <c r="D317">
        <v>4314.7680659999996</v>
      </c>
      <c r="E317">
        <v>68.414001459999994</v>
      </c>
      <c r="F317">
        <v>94.372544360000006</v>
      </c>
      <c r="G317">
        <f>((F318-Estimates_of_the_use_of_water__2000_2020[[#This Row],[wat_bas_n]])/(B318-Estimates_of_the_use_of_water__2000_2020[[#This Row],[year]]))</f>
        <v>10.577407184000002</v>
      </c>
      <c r="H317">
        <f>((N318-Estimates_of_the_use_of_water__2000_2020[[#This Row],[wat_bas_r]])/(B318-Estimates_of_the_use_of_water__2000_2020[[#This Row],[year]]))</f>
        <v>10.266490052</v>
      </c>
      <c r="I317">
        <f>(R318-Estimates_of_the_use_of_water__2000_2020[[#This Row],[wat_bas_u]])/(B318-Estimates_of_the_use_of_water__2000_2020[[#This Row],[year]])</f>
        <v>2.6367499220000012</v>
      </c>
      <c r="J317">
        <f>ABS(Estimates_of_the_use_of_water__2000_2020[[#This Row],[ARC_r]]-Estimates_of_the_use_of_water__2000_2020[[#This Row],[ARC_u]])</f>
        <v>7.6297401299999983</v>
      </c>
      <c r="K317">
        <v>1.8734805919999999</v>
      </c>
      <c r="L317">
        <v>2.2623042469999999</v>
      </c>
      <c r="M317">
        <v>1.491670799</v>
      </c>
      <c r="N317">
        <v>86.323083260000004</v>
      </c>
      <c r="O317">
        <v>1.791982583</v>
      </c>
      <c r="P317">
        <v>7.1623643420000001</v>
      </c>
      <c r="Q317">
        <v>4.7225698109999996</v>
      </c>
      <c r="R317">
        <v>98.088892670000007</v>
      </c>
      <c r="S317">
        <v>1.9111073329999999</v>
      </c>
      <c r="T317">
        <v>0</v>
      </c>
      <c r="U317">
        <v>0</v>
      </c>
    </row>
    <row r="318" spans="1:21" x14ac:dyDescent="0.25">
      <c r="A318" s="1" t="s">
        <v>244</v>
      </c>
      <c r="B318">
        <v>2015</v>
      </c>
      <c r="C318">
        <f>IF(A319=Estimates_of_the_use_of_water__2000_2020[[#This Row],[name]], B319-Estimates_of_the_use_of_water__2000_2020[[#This Row],[year]],"")</f>
        <v>5</v>
      </c>
      <c r="D318">
        <v>8107.7719729999999</v>
      </c>
      <c r="E318">
        <v>13.01200008</v>
      </c>
      <c r="F318">
        <v>41.485508439999997</v>
      </c>
      <c r="G318">
        <f>((F319-Estimates_of_the_use_of_water__2000_2020[[#This Row],[wat_bas_n]])/(B319-Estimates_of_the_use_of_water__2000_2020[[#This Row],[year]]))</f>
        <v>0.77170181600000087</v>
      </c>
      <c r="H318">
        <f>((N319-Estimates_of_the_use_of_water__2000_2020[[#This Row],[wat_bas_r]])/(B319-Estimates_of_the_use_of_water__2000_2020[[#This Row],[year]]))</f>
        <v>0.81614213399999902</v>
      </c>
      <c r="I318">
        <f>(R319-Estimates_of_the_use_of_water__2000_2020[[#This Row],[wat_bas_u]])/(B319-Estimates_of_the_use_of_water__2000_2020[[#This Row],[year]])</f>
        <v>0.2340257159999993</v>
      </c>
      <c r="J318">
        <f>ABS(Estimates_of_the_use_of_water__2000_2020[[#This Row],[ARC_r]]-Estimates_of_the_use_of_water__2000_2020[[#This Row],[ARC_u]])</f>
        <v>0.58211641799999969</v>
      </c>
      <c r="K318">
        <v>1.8099530800000001</v>
      </c>
      <c r="L318">
        <v>21.261051999999999</v>
      </c>
      <c r="M318">
        <v>35.443486479999997</v>
      </c>
      <c r="N318">
        <v>34.990633000000003</v>
      </c>
      <c r="O318">
        <v>1.8047244330000001</v>
      </c>
      <c r="P318">
        <v>23.25354875</v>
      </c>
      <c r="Q318">
        <v>39.951093819999997</v>
      </c>
      <c r="R318">
        <v>84.90514306</v>
      </c>
      <c r="S318">
        <v>1.844907912</v>
      </c>
      <c r="T318">
        <v>7.9407764350000001</v>
      </c>
      <c r="U318">
        <v>5.309172598</v>
      </c>
    </row>
    <row r="319" spans="1:21" x14ac:dyDescent="0.25">
      <c r="A319" s="1" t="s">
        <v>244</v>
      </c>
      <c r="B319">
        <v>2020</v>
      </c>
      <c r="C319" t="str">
        <f>IF(A320=Estimates_of_the_use_of_water__2000_2020[[#This Row],[name]], B320-Estimates_of_the_use_of_water__2000_2020[[#This Row],[year]],"")</f>
        <v/>
      </c>
      <c r="D319">
        <v>8947.0273440000001</v>
      </c>
      <c r="E319">
        <v>13.34500027</v>
      </c>
      <c r="F319">
        <v>45.344017520000001</v>
      </c>
      <c r="G319">
        <f>((F320-Estimates_of_the_use_of_water__2000_2020[[#This Row],[wat_bas_n]])/(B320-Estimates_of_the_use_of_water__2000_2020[[#This Row],[year]]))</f>
        <v>-10.298439402000001</v>
      </c>
      <c r="H319">
        <f>((N320-Estimates_of_the_use_of_water__2000_2020[[#This Row],[wat_bas_r]])/(B320-Estimates_of_the_use_of_water__2000_2020[[#This Row],[year]]))</f>
        <v>-10.854671324000002</v>
      </c>
      <c r="I319">
        <f>(R320-Estimates_of_the_use_of_water__2000_2020[[#This Row],[wat_bas_u]])/(B320-Estimates_of_the_use_of_water__2000_2020[[#This Row],[year]])</f>
        <v>-2.6033554180000009</v>
      </c>
      <c r="J319">
        <f>ABS(Estimates_of_the_use_of_water__2000_2020[[#This Row],[ARC_r]]-Estimates_of_the_use_of_water__2000_2020[[#This Row],[ARC_u]])</f>
        <v>8.2513159060000003</v>
      </c>
      <c r="K319">
        <v>2.128564452</v>
      </c>
      <c r="L319">
        <v>22.157624949999999</v>
      </c>
      <c r="M319">
        <v>30.369793080000001</v>
      </c>
      <c r="N319">
        <v>39.071343669999997</v>
      </c>
      <c r="O319">
        <v>2.4298502929999999</v>
      </c>
      <c r="P319">
        <v>24.431800859999999</v>
      </c>
      <c r="Q319">
        <v>34.067005170000002</v>
      </c>
      <c r="R319">
        <v>86.075271639999997</v>
      </c>
      <c r="S319">
        <v>0.17218226079999999</v>
      </c>
      <c r="T319">
        <v>7.3903855639999998</v>
      </c>
      <c r="U319">
        <v>6.3621605319999999</v>
      </c>
    </row>
    <row r="320" spans="1:21" x14ac:dyDescent="0.25">
      <c r="A320" s="1" t="s">
        <v>89</v>
      </c>
      <c r="B320">
        <v>2015</v>
      </c>
      <c r="C320">
        <f>IF(A321=Estimates_of_the_use_of_water__2000_2020[[#This Row],[name]], B321-Estimates_of_the_use_of_water__2000_2020[[#This Row],[year]],"")</f>
        <v>5</v>
      </c>
      <c r="D320">
        <v>6688.7460940000001</v>
      </c>
      <c r="E320">
        <v>60.75</v>
      </c>
      <c r="F320">
        <v>96.836214530000007</v>
      </c>
      <c r="G320">
        <f>((F321-Estimates_of_the_use_of_water__2000_2020[[#This Row],[wat_bas_n]])/(B321-Estimates_of_the_use_of_water__2000_2020[[#This Row],[year]]))</f>
        <v>0.55145035999999836</v>
      </c>
      <c r="H320">
        <f>((N321-Estimates_of_the_use_of_water__2000_2020[[#This Row],[wat_bas_r]])/(B321-Estimates_of_the_use_of_water__2000_2020[[#This Row],[year]]))</f>
        <v>1.1533054479999976</v>
      </c>
      <c r="I320">
        <f>(R321-Estimates_of_the_use_of_water__2000_2020[[#This Row],[wat_bas_u]])/(B321-Estimates_of_the_use_of_water__2000_2020[[#This Row],[year]])</f>
        <v>0.15893996199999946</v>
      </c>
      <c r="J320">
        <f>ABS(Estimates_of_the_use_of_water__2000_2020[[#This Row],[ARC_r]]-Estimates_of_the_use_of_water__2000_2020[[#This Row],[ARC_u]])</f>
        <v>0.99436548599999808</v>
      </c>
      <c r="K320">
        <v>0.32842400300000002</v>
      </c>
      <c r="L320">
        <v>2.7567681990000001</v>
      </c>
      <c r="M320">
        <v>7.8593266980000007E-2</v>
      </c>
      <c r="N320">
        <v>93.344700290000006</v>
      </c>
      <c r="O320">
        <v>0.69766643969999997</v>
      </c>
      <c r="P320">
        <v>5.757395646</v>
      </c>
      <c r="Q320">
        <v>0.20023762880000001</v>
      </c>
      <c r="R320">
        <v>99.092048730000002</v>
      </c>
      <c r="S320">
        <v>8.9859971169999997E-2</v>
      </c>
      <c r="T320">
        <v>0.81809130100000005</v>
      </c>
      <c r="U320">
        <v>0</v>
      </c>
    </row>
    <row r="321" spans="1:21" x14ac:dyDescent="0.25">
      <c r="A321" s="1" t="s">
        <v>89</v>
      </c>
      <c r="B321">
        <v>2020</v>
      </c>
      <c r="C321" t="str">
        <f>IF(A322=Estimates_of_the_use_of_water__2000_2020[[#This Row],[name]], B322-Estimates_of_the_use_of_water__2000_2020[[#This Row],[year]],"")</f>
        <v/>
      </c>
      <c r="D321">
        <v>7132.5297849999997</v>
      </c>
      <c r="E321">
        <v>62.182994839999999</v>
      </c>
      <c r="F321">
        <v>99.593466329999998</v>
      </c>
      <c r="G321">
        <f>((F322-Estimates_of_the_use_of_water__2000_2020[[#This Row],[wat_bas_n]])/(B322-Estimates_of_the_use_of_water__2000_2020[[#This Row],[year]]))</f>
        <v>1.8622926579999983</v>
      </c>
      <c r="H321">
        <f>((N322-Estimates_of_the_use_of_water__2000_2020[[#This Row],[wat_bas_r]])/(B322-Estimates_of_the_use_of_water__2000_2020[[#This Row],[year]]))</f>
        <v>5.1647207379999998</v>
      </c>
      <c r="I321">
        <f>(R322-Estimates_of_the_use_of_water__2000_2020[[#This Row],[wat_bas_u]])/(B322-Estimates_of_the_use_of_water__2000_2020[[#This Row],[year]])</f>
        <v>0.92607230399999874</v>
      </c>
      <c r="J321">
        <f>ABS(Estimates_of_the_use_of_water__2000_2020[[#This Row],[ARC_r]]-Estimates_of_the_use_of_water__2000_2020[[#This Row],[ARC_u]])</f>
        <v>4.2386484340000008</v>
      </c>
      <c r="K321">
        <v>0.40653024389999998</v>
      </c>
      <c r="L321">
        <v>3.4229177000000001E-6</v>
      </c>
      <c r="M321">
        <v>0</v>
      </c>
      <c r="N321">
        <v>99.111227529999994</v>
      </c>
      <c r="O321">
        <v>0.88877246840000002</v>
      </c>
      <c r="P321">
        <v>0</v>
      </c>
      <c r="Q321">
        <v>0</v>
      </c>
      <c r="R321">
        <v>99.886748539999999</v>
      </c>
      <c r="S321">
        <v>0.11325146429999999</v>
      </c>
      <c r="T321">
        <v>0</v>
      </c>
      <c r="U321">
        <v>0</v>
      </c>
    </row>
    <row r="322" spans="1:21" x14ac:dyDescent="0.25">
      <c r="A322" s="1" t="s">
        <v>171</v>
      </c>
      <c r="B322">
        <v>2015</v>
      </c>
      <c r="C322">
        <f>IF(A323=Estimates_of_the_use_of_water__2000_2020[[#This Row],[name]], B323-Estimates_of_the_use_of_water__2000_2020[[#This Row],[year]],"")</f>
        <v>5</v>
      </c>
      <c r="D322">
        <v>30470.738280000001</v>
      </c>
      <c r="E322">
        <v>77.357002260000002</v>
      </c>
      <c r="F322">
        <v>90.282003040000006</v>
      </c>
      <c r="G322">
        <f>((F323-Estimates_of_the_use_of_water__2000_2020[[#This Row],[wat_bas_n]])/(B323-Estimates_of_the_use_of_water__2000_2020[[#This Row],[year]]))</f>
        <v>0.57147263399999981</v>
      </c>
      <c r="H322">
        <f>((N323-Estimates_of_the_use_of_water__2000_2020[[#This Row],[wat_bas_r]])/(B323-Estimates_of_the_use_of_water__2000_2020[[#This Row],[year]]))</f>
        <v>1.502362930000001</v>
      </c>
      <c r="I322">
        <f>(R323-Estimates_of_the_use_of_water__2000_2020[[#This Row],[wat_bas_u]])/(B323-Estimates_of_the_use_of_water__2000_2020[[#This Row],[year]])</f>
        <v>0.2606914119999999</v>
      </c>
      <c r="J322">
        <f>ABS(Estimates_of_the_use_of_water__2000_2020[[#This Row],[ARC_r]]-Estimates_of_the_use_of_water__2000_2020[[#This Row],[ARC_u]])</f>
        <v>1.2416715180000011</v>
      </c>
      <c r="K322">
        <v>0.93258347190000002</v>
      </c>
      <c r="L322">
        <v>5.7636260549999996</v>
      </c>
      <c r="M322">
        <v>3.0217874390000001</v>
      </c>
      <c r="N322">
        <v>73.287623839999995</v>
      </c>
      <c r="O322">
        <v>1.5230403370000001</v>
      </c>
      <c r="P322">
        <v>12.99206766</v>
      </c>
      <c r="Q322">
        <v>12.197268169999999</v>
      </c>
      <c r="R322">
        <v>95.256387020000005</v>
      </c>
      <c r="S322">
        <v>0.75975208999999999</v>
      </c>
      <c r="T322">
        <v>3.6478085579999999</v>
      </c>
      <c r="U322">
        <v>0.33605232909999999</v>
      </c>
    </row>
    <row r="323" spans="1:21" x14ac:dyDescent="0.25">
      <c r="A323" s="1" t="s">
        <v>171</v>
      </c>
      <c r="B323">
        <v>2020</v>
      </c>
      <c r="C323" t="str">
        <f>IF(A324=Estimates_of_the_use_of_water__2000_2020[[#This Row],[name]], B324-Estimates_of_the_use_of_water__2000_2020[[#This Row],[year]],"")</f>
        <v/>
      </c>
      <c r="D323">
        <v>32971.847659999999</v>
      </c>
      <c r="E323">
        <v>78.297004700000002</v>
      </c>
      <c r="F323">
        <v>93.139366210000006</v>
      </c>
      <c r="G323">
        <f>((F324-Estimates_of_the_use_of_water__2000_2020[[#This Row],[wat_bas_n]])/(B324-Estimates_of_the_use_of_water__2000_2020[[#This Row],[year]]))</f>
        <v>0.22433303800000032</v>
      </c>
      <c r="H323">
        <f>((N324-Estimates_of_the_use_of_water__2000_2020[[#This Row],[wat_bas_r]])/(B324-Estimates_of_the_use_of_water__2000_2020[[#This Row],[year]]))</f>
        <v>-1.4817447679999987</v>
      </c>
      <c r="I323">
        <f>(R324-Estimates_of_the_use_of_water__2000_2020[[#This Row],[wat_bas_u]])/(B324-Estimates_of_the_use_of_water__2000_2020[[#This Row],[year]])</f>
        <v>2.4178388000001404E-2</v>
      </c>
      <c r="J323">
        <f>ABS(Estimates_of_the_use_of_water__2000_2020[[#This Row],[ARC_r]]-Estimates_of_the_use_of_water__2000_2020[[#This Row],[ARC_u]])</f>
        <v>1.5059231560000002</v>
      </c>
      <c r="K323">
        <v>0.84955935110000003</v>
      </c>
      <c r="L323">
        <v>4.1504683489999996</v>
      </c>
      <c r="M323">
        <v>1.8606060870000001</v>
      </c>
      <c r="N323">
        <v>80.79943849</v>
      </c>
      <c r="O323">
        <v>1.5969437710000001</v>
      </c>
      <c r="P323">
        <v>9.6126911629999992</v>
      </c>
      <c r="Q323">
        <v>7.9909265779999998</v>
      </c>
      <c r="R323">
        <v>96.559844080000005</v>
      </c>
      <c r="S323">
        <v>0.64239323559999995</v>
      </c>
      <c r="T323">
        <v>2.6364086929999999</v>
      </c>
      <c r="U323">
        <v>0.1613539953</v>
      </c>
    </row>
    <row r="324" spans="1:21" x14ac:dyDescent="0.25">
      <c r="A324" s="1" t="s">
        <v>164</v>
      </c>
      <c r="B324">
        <v>2015</v>
      </c>
      <c r="C324">
        <f>IF(A325=Estimates_of_the_use_of_water__2000_2020[[#This Row],[name]], B325-Estimates_of_the_use_of_water__2000_2020[[#This Row],[year]],"")</f>
        <v>5</v>
      </c>
      <c r="D324">
        <v>102113.2031</v>
      </c>
      <c r="E324">
        <v>46.284000399999996</v>
      </c>
      <c r="F324">
        <v>92.017701020000004</v>
      </c>
      <c r="G324">
        <f>((F325-Estimates_of_the_use_of_water__2000_2020[[#This Row],[wat_bas_n]])/(B325-Estimates_of_the_use_of_water__2000_2020[[#This Row],[year]]))</f>
        <v>0.41826670799999877</v>
      </c>
      <c r="H324">
        <f>((N325-Estimates_of_the_use_of_water__2000_2020[[#This Row],[wat_bas_r]])/(B325-Estimates_of_the_use_of_water__2000_2020[[#This Row],[year]]))</f>
        <v>0.57075417800000139</v>
      </c>
      <c r="I324">
        <f>(R325-Estimates_of_the_use_of_water__2000_2020[[#This Row],[wat_bas_u]])/(B325-Estimates_of_the_use_of_water__2000_2020[[#This Row],[year]])</f>
        <v>0.21007607200000109</v>
      </c>
      <c r="J324">
        <f>ABS(Estimates_of_the_use_of_water__2000_2020[[#This Row],[ARC_r]]-Estimates_of_the_use_of_water__2000_2020[[#This Row],[ARC_u]])</f>
        <v>0.36067810600000028</v>
      </c>
      <c r="K324">
        <v>2.9204293190000001</v>
      </c>
      <c r="L324">
        <v>4.5321384619999998</v>
      </c>
      <c r="M324">
        <v>0.52973119440000005</v>
      </c>
      <c r="N324">
        <v>88.208162329999993</v>
      </c>
      <c r="O324">
        <v>3.8258925420000001</v>
      </c>
      <c r="P324">
        <v>7.1112130369999997</v>
      </c>
      <c r="Q324">
        <v>0.85473209370000003</v>
      </c>
      <c r="R324">
        <v>96.438952139999998</v>
      </c>
      <c r="S324">
        <v>1.8695723529999999</v>
      </c>
      <c r="T324">
        <v>1.5389318729999999</v>
      </c>
      <c r="U324">
        <v>0.15254363930000001</v>
      </c>
    </row>
    <row r="325" spans="1:21" x14ac:dyDescent="0.25">
      <c r="A325" s="1" t="s">
        <v>164</v>
      </c>
      <c r="B325">
        <v>2020</v>
      </c>
      <c r="C325" t="str">
        <f>IF(A326=Estimates_of_the_use_of_water__2000_2020[[#This Row],[name]], B326-Estimates_of_the_use_of_water__2000_2020[[#This Row],[year]],"")</f>
        <v/>
      </c>
      <c r="D325">
        <v>109581.08590000001</v>
      </c>
      <c r="E325">
        <v>47.407997129999998</v>
      </c>
      <c r="F325">
        <v>94.109034559999998</v>
      </c>
      <c r="G325">
        <f>((F326-Estimates_of_the_use_of_water__2000_2020[[#This Row],[wat_bas_n]])/(B326-Estimates_of_the_use_of_water__2000_2020[[#This Row],[year]]))</f>
        <v>-1.024607064</v>
      </c>
      <c r="H325">
        <f>((N326-Estimates_of_the_use_of_water__2000_2020[[#This Row],[wat_bas_r]])/(B326-Estimates_of_the_use_of_water__2000_2020[[#This Row],[year]]))</f>
        <v>-1.4951940019999994</v>
      </c>
      <c r="I325">
        <f>(R326-Estimates_of_the_use_of_water__2000_2020[[#This Row],[wat_bas_u]])/(B326-Estimates_of_the_use_of_water__2000_2020[[#This Row],[year]])</f>
        <v>-0.4400367259999996</v>
      </c>
      <c r="J325">
        <f>ABS(Estimates_of_the_use_of_water__2000_2020[[#This Row],[ARC_r]]-Estimates_of_the_use_of_water__2000_2020[[#This Row],[ARC_u]])</f>
        <v>1.0551572759999999</v>
      </c>
      <c r="K325">
        <v>2.8564861370000001</v>
      </c>
      <c r="L325">
        <v>3.0344793069999998</v>
      </c>
      <c r="M325">
        <v>0</v>
      </c>
      <c r="N325">
        <v>91.06193322</v>
      </c>
      <c r="O325">
        <v>3.9595204279999998</v>
      </c>
      <c r="P325">
        <v>4.978546347</v>
      </c>
      <c r="Q325">
        <v>0</v>
      </c>
      <c r="R325">
        <v>97.489332500000003</v>
      </c>
      <c r="S325">
        <v>1.632836465</v>
      </c>
      <c r="T325">
        <v>0.87783103600000001</v>
      </c>
      <c r="U325">
        <v>0</v>
      </c>
    </row>
    <row r="326" spans="1:21" x14ac:dyDescent="0.25">
      <c r="A326" s="1" t="s">
        <v>63</v>
      </c>
      <c r="B326">
        <v>2015</v>
      </c>
      <c r="C326">
        <f>IF(A327=Estimates_of_the_use_of_water__2000_2020[[#This Row],[name]], B327-Estimates_of_the_use_of_water__2000_2020[[#This Row],[year]],"")</f>
        <v>5</v>
      </c>
      <c r="D326">
        <v>38034.074220000002</v>
      </c>
      <c r="E326">
        <v>60.27799606</v>
      </c>
      <c r="F326">
        <v>99.232069879999997</v>
      </c>
      <c r="G326">
        <f>((F327-Estimates_of_the_use_of_water__2000_2020[[#This Row],[wat_bas_n]])/(B327-Estimates_of_the_use_of_water__2000_2020[[#This Row],[year]]))</f>
        <v>0.1469043340000013</v>
      </c>
      <c r="H326">
        <f>((N327-Estimates_of_the_use_of_water__2000_2020[[#This Row],[wat_bas_r]])/(B327-Estimates_of_the_use_of_water__2000_2020[[#This Row],[year]]))</f>
        <v>0.29241935400000046</v>
      </c>
      <c r="I326">
        <f>(R327-Estimates_of_the_use_of_water__2000_2020[[#This Row],[wat_bas_u]])/(B327-Estimates_of_the_use_of_water__2000_2020[[#This Row],[year]])</f>
        <v>5.0967742000000274E-2</v>
      </c>
      <c r="J326">
        <f>ABS(Estimates_of_the_use_of_water__2000_2020[[#This Row],[ARC_r]]-Estimates_of_the_use_of_water__2000_2020[[#This Row],[ARC_u]])</f>
        <v>0.2414516120000002</v>
      </c>
      <c r="K326">
        <v>0</v>
      </c>
      <c r="L326">
        <v>0.76793012459999999</v>
      </c>
      <c r="M326">
        <v>0</v>
      </c>
      <c r="N326">
        <v>98.537903229999998</v>
      </c>
      <c r="O326">
        <v>0</v>
      </c>
      <c r="P326">
        <v>1.4620967739999999</v>
      </c>
      <c r="Q326">
        <v>0</v>
      </c>
      <c r="R326">
        <v>99.689516130000001</v>
      </c>
      <c r="S326">
        <v>0</v>
      </c>
      <c r="T326">
        <v>0.31048387100000002</v>
      </c>
      <c r="U326">
        <v>0</v>
      </c>
    </row>
    <row r="327" spans="1:21" x14ac:dyDescent="0.25">
      <c r="A327" s="1" t="s">
        <v>63</v>
      </c>
      <c r="B327">
        <v>2020</v>
      </c>
      <c r="C327" t="str">
        <f>IF(A328=Estimates_of_the_use_of_water__2000_2020[[#This Row],[name]], B328-Estimates_of_the_use_of_water__2000_2020[[#This Row],[year]],"")</f>
        <v/>
      </c>
      <c r="D327">
        <v>37846.605470000002</v>
      </c>
      <c r="E327">
        <v>60.043003079999998</v>
      </c>
      <c r="F327">
        <v>99.966591550000004</v>
      </c>
      <c r="G327">
        <f>((F328-Estimates_of_the_use_of_water__2000_2020[[#This Row],[wat_bas_n]])/(B328-Estimates_of_the_use_of_water__2000_2020[[#This Row],[year]]))</f>
        <v>1.2380342000000155E-2</v>
      </c>
      <c r="H327">
        <f>((N328-Estimates_of_the_use_of_water__2000_2020[[#This Row],[wat_bas_r]])/(B328-Estimates_of_the_use_of_water__2000_2020[[#This Row],[year]]))</f>
        <v>5.2244781999999643E-2</v>
      </c>
      <c r="I327">
        <f>(R328-Estimates_of_the_use_of_water__2000_2020[[#This Row],[wat_bas_u]])/(B328-Estimates_of_the_use_of_water__2000_2020[[#This Row],[year]])</f>
        <v>-1.1129031999999484E-2</v>
      </c>
      <c r="J327">
        <f>ABS(Estimates_of_the_use_of_water__2000_2020[[#This Row],[ARC_r]]-Estimates_of_the_use_of_water__2000_2020[[#This Row],[ARC_u]])</f>
        <v>6.3373813999999126E-2</v>
      </c>
      <c r="K327">
        <v>0</v>
      </c>
      <c r="L327">
        <v>3.3408445289999998E-2</v>
      </c>
      <c r="M327">
        <v>0</v>
      </c>
      <c r="N327">
        <v>100</v>
      </c>
      <c r="O327">
        <v>0</v>
      </c>
      <c r="P327">
        <v>0</v>
      </c>
      <c r="Q327">
        <v>0</v>
      </c>
      <c r="R327">
        <v>99.944354840000003</v>
      </c>
      <c r="S327">
        <v>0</v>
      </c>
      <c r="T327">
        <v>5.5645161290000002E-2</v>
      </c>
      <c r="U327">
        <v>0</v>
      </c>
    </row>
    <row r="328" spans="1:21" x14ac:dyDescent="0.25">
      <c r="A328" s="1" t="s">
        <v>68</v>
      </c>
      <c r="B328">
        <v>2015</v>
      </c>
      <c r="C328">
        <f>IF(A329=Estimates_of_the_use_of_water__2000_2020[[#This Row],[name]], B329-Estimates_of_the_use_of_water__2000_2020[[#This Row],[year]],"")</f>
        <v>5</v>
      </c>
      <c r="D328">
        <v>10368.3457</v>
      </c>
      <c r="E328">
        <v>63.513999939999998</v>
      </c>
      <c r="F328">
        <v>99.904689840000003</v>
      </c>
      <c r="G328">
        <f>((F329-Estimates_of_the_use_of_water__2000_2020[[#This Row],[wat_bas_n]])/(B329-Estimates_of_the_use_of_water__2000_2020[[#This Row],[year]]))</f>
        <v>1.4607659999995803E-3</v>
      </c>
      <c r="H328">
        <f>((N329-Estimates_of_the_use_of_water__2000_2020[[#This Row],[wat_bas_r]])/(B329-Estimates_of_the_use_of_water__2000_2020[[#This Row],[year]]))</f>
        <v>0</v>
      </c>
      <c r="I328">
        <f>(R329-Estimates_of_the_use_of_water__2000_2020[[#This Row],[wat_bas_u]])/(B329-Estimates_of_the_use_of_water__2000_2020[[#This Row],[year]])</f>
        <v>0</v>
      </c>
      <c r="J328">
        <f>ABS(Estimates_of_the_use_of_water__2000_2020[[#This Row],[ARC_r]]-Estimates_of_the_use_of_water__2000_2020[[#This Row],[ARC_u]])</f>
        <v>0</v>
      </c>
      <c r="K328">
        <v>0</v>
      </c>
      <c r="L328">
        <v>9.5310157000000006E-2</v>
      </c>
      <c r="M328">
        <v>0</v>
      </c>
      <c r="N328">
        <v>99.738776090000002</v>
      </c>
      <c r="O328">
        <v>0</v>
      </c>
      <c r="P328">
        <v>0.26122391220000002</v>
      </c>
      <c r="Q328">
        <v>0</v>
      </c>
      <c r="R328">
        <v>100</v>
      </c>
      <c r="S328">
        <v>0</v>
      </c>
      <c r="T328">
        <v>0</v>
      </c>
      <c r="U328">
        <v>0</v>
      </c>
    </row>
    <row r="329" spans="1:21" x14ac:dyDescent="0.25">
      <c r="A329" s="1" t="s">
        <v>68</v>
      </c>
      <c r="B329">
        <v>2020</v>
      </c>
      <c r="C329" t="str">
        <f>IF(A330=Estimates_of_the_use_of_water__2000_2020[[#This Row],[name]], B330-Estimates_of_the_use_of_water__2000_2020[[#This Row],[year]],"")</f>
        <v/>
      </c>
      <c r="D329">
        <v>10196.70703</v>
      </c>
      <c r="E329">
        <v>66.309997559999999</v>
      </c>
      <c r="F329">
        <v>99.911993670000001</v>
      </c>
      <c r="G329">
        <f>((F330-Estimates_of_the_use_of_water__2000_2020[[#This Row],[wat_bas_n]])/(B330-Estimates_of_the_use_of_water__2000_2020[[#This Row],[year]]))</f>
        <v>9.7308781999998928E-2</v>
      </c>
      <c r="H329">
        <f>((N330-Estimates_of_the_use_of_water__2000_2020[[#This Row],[wat_bas_r]])/(B330-Estimates_of_the_use_of_water__2000_2020[[#This Row],[year]]))</f>
        <v>19.947755218000001</v>
      </c>
      <c r="I329">
        <f>(R330-Estimates_of_the_use_of_water__2000_2020[[#This Row],[wat_bas_u]])/(B330-Estimates_of_the_use_of_water__2000_2020[[#This Row],[year]])</f>
        <v>20</v>
      </c>
      <c r="J329">
        <f>ABS(Estimates_of_the_use_of_water__2000_2020[[#This Row],[ARC_r]]-Estimates_of_the_use_of_water__2000_2020[[#This Row],[ARC_u]])</f>
        <v>5.2244781999998935E-2</v>
      </c>
      <c r="K329">
        <v>0</v>
      </c>
      <c r="L329">
        <v>8.8006333689999994E-2</v>
      </c>
      <c r="M329">
        <v>0</v>
      </c>
      <c r="N329">
        <v>99.738776090000002</v>
      </c>
      <c r="O329">
        <v>0</v>
      </c>
      <c r="P329">
        <v>0.26122391220000002</v>
      </c>
      <c r="Q329">
        <v>0</v>
      </c>
      <c r="R329">
        <v>100</v>
      </c>
      <c r="S329">
        <v>0</v>
      </c>
      <c r="T329">
        <v>0</v>
      </c>
      <c r="U329">
        <v>0</v>
      </c>
    </row>
    <row r="330" spans="1:21" x14ac:dyDescent="0.25">
      <c r="A330" s="1" t="s">
        <v>44</v>
      </c>
      <c r="B330">
        <v>2015</v>
      </c>
      <c r="C330">
        <f>IF(A331=Estimates_of_the_use_of_water__2000_2020[[#This Row],[name]], B331-Estimates_of_the_use_of_water__2000_2020[[#This Row],[year]],"")</f>
        <v>5</v>
      </c>
      <c r="D330">
        <v>3381.5119629999999</v>
      </c>
      <c r="E330">
        <v>93.624000550000005</v>
      </c>
      <c r="F330">
        <v>99.425449760000006</v>
      </c>
      <c r="G330">
        <f>((F331-Estimates_of_the_use_of_water__2000_2020[[#This Row],[wat_bas_n]])/(B331-Estimates_of_the_use_of_water__2000_2020[[#This Row],[year]]))</f>
        <v>0.11491004799999871</v>
      </c>
      <c r="H330">
        <f>((N331-Estimates_of_the_use_of_water__2000_2020[[#This Row],[wat_bas_r]])/(B331-Estimates_of_the_use_of_water__2000_2020[[#This Row],[year]]))</f>
        <v>0</v>
      </c>
      <c r="I330">
        <f>(R331-Estimates_of_the_use_of_water__2000_2020[[#This Row],[wat_bas_u]])/(B331-Estimates_of_the_use_of_water__2000_2020[[#This Row],[year]])</f>
        <v>0</v>
      </c>
      <c r="J330">
        <f>ABS(Estimates_of_the_use_of_water__2000_2020[[#This Row],[ARC_r]]-Estimates_of_the_use_of_water__2000_2020[[#This Row],[ARC_u]])</f>
        <v>0</v>
      </c>
      <c r="K330">
        <v>0</v>
      </c>
      <c r="L330">
        <v>0.57455024300000002</v>
      </c>
      <c r="M330">
        <v>0</v>
      </c>
    </row>
    <row r="331" spans="1:21" x14ac:dyDescent="0.25">
      <c r="A331" s="1" t="s">
        <v>44</v>
      </c>
      <c r="B331">
        <v>2020</v>
      </c>
      <c r="C331" t="str">
        <f>IF(A332=Estimates_of_the_use_of_water__2000_2020[[#This Row],[name]], B332-Estimates_of_the_use_of_water__2000_2020[[#This Row],[year]],"")</f>
        <v/>
      </c>
      <c r="D331">
        <v>2860.8400879999999</v>
      </c>
      <c r="E331">
        <v>93.581001279999995</v>
      </c>
      <c r="F331">
        <v>100</v>
      </c>
      <c r="G331">
        <f>((F332-Estimates_of_the_use_of_water__2000_2020[[#This Row],[wat_bas_n]])/(B332-Estimates_of_the_use_of_water__2000_2020[[#This Row],[year]]))</f>
        <v>6.1699723999998922E-2</v>
      </c>
      <c r="H331">
        <f>((N332-Estimates_of_the_use_of_water__2000_2020[[#This Row],[wat_bas_r]])/(B332-Estimates_of_the_use_of_water__2000_2020[[#This Row],[year]]))</f>
        <v>0</v>
      </c>
      <c r="I331">
        <f>(R332-Estimates_of_the_use_of_water__2000_2020[[#This Row],[wat_bas_u]])/(B332-Estimates_of_the_use_of_water__2000_2020[[#This Row],[year]])</f>
        <v>0</v>
      </c>
      <c r="J331">
        <f>ABS(Estimates_of_the_use_of_water__2000_2020[[#This Row],[ARC_r]]-Estimates_of_the_use_of_water__2000_2020[[#This Row],[ARC_u]])</f>
        <v>0</v>
      </c>
      <c r="K331">
        <v>0</v>
      </c>
      <c r="L331">
        <v>0</v>
      </c>
      <c r="M331">
        <v>0</v>
      </c>
    </row>
    <row r="332" spans="1:21" x14ac:dyDescent="0.25">
      <c r="A332" s="1" t="s">
        <v>86</v>
      </c>
      <c r="B332">
        <v>2015</v>
      </c>
      <c r="C332">
        <f>IF(A333=Estimates_of_the_use_of_water__2000_2020[[#This Row],[name]], B333-Estimates_of_the_use_of_water__2000_2020[[#This Row],[year]],"")</f>
        <v>5</v>
      </c>
      <c r="D332">
        <v>2565.7080080000001</v>
      </c>
      <c r="E332">
        <v>98.944992069999998</v>
      </c>
      <c r="F332">
        <v>99.691501380000005</v>
      </c>
      <c r="G332">
        <f>((F333-Estimates_of_the_use_of_water__2000_2020[[#This Row],[wat_bas_n]])/(B333-Estimates_of_the_use_of_water__2000_2020[[#This Row],[year]]))</f>
        <v>-2.4679888000000004E-2</v>
      </c>
      <c r="H332">
        <f>((N333-Estimates_of_the_use_of_water__2000_2020[[#This Row],[wat_bas_r]])/(B333-Estimates_of_the_use_of_water__2000_2020[[#This Row],[year]]))</f>
        <v>0</v>
      </c>
      <c r="I332">
        <f>(R333-Estimates_of_the_use_of_water__2000_2020[[#This Row],[wat_bas_u]])/(B333-Estimates_of_the_use_of_water__2000_2020[[#This Row],[year]])</f>
        <v>0</v>
      </c>
      <c r="J332">
        <f>ABS(Estimates_of_the_use_of_water__2000_2020[[#This Row],[ARC_r]]-Estimates_of_the_use_of_water__2000_2020[[#This Row],[ARC_u]])</f>
        <v>0</v>
      </c>
      <c r="K332">
        <v>0</v>
      </c>
      <c r="L332">
        <v>0.30849861699999997</v>
      </c>
      <c r="M332">
        <v>0</v>
      </c>
    </row>
    <row r="333" spans="1:21" x14ac:dyDescent="0.25">
      <c r="A333" s="1" t="s">
        <v>86</v>
      </c>
      <c r="B333">
        <v>2020</v>
      </c>
      <c r="C333" t="str">
        <f>IF(A334=Estimates_of_the_use_of_water__2000_2020[[#This Row],[name]], B334-Estimates_of_the_use_of_water__2000_2020[[#This Row],[year]],"")</f>
        <v/>
      </c>
      <c r="D333">
        <v>2881.0600589999999</v>
      </c>
      <c r="E333">
        <v>99.23500061</v>
      </c>
      <c r="F333">
        <v>99.568101940000005</v>
      </c>
      <c r="G333">
        <f>((F334-Estimates_of_the_use_of_water__2000_2020[[#This Row],[wat_bas_n]])/(B334-Estimates_of_the_use_of_water__2000_2020[[#This Row],[year]]))</f>
        <v>1.9071106000001236E-2</v>
      </c>
      <c r="H333">
        <f>((N334-Estimates_of_the_use_of_water__2000_2020[[#This Row],[wat_bas_r]])/(B334-Estimates_of_the_use_of_water__2000_2020[[#This Row],[year]]))</f>
        <v>0</v>
      </c>
      <c r="I333">
        <f>(R334-Estimates_of_the_use_of_water__2000_2020[[#This Row],[wat_bas_u]])/(B334-Estimates_of_the_use_of_water__2000_2020[[#This Row],[year]])</f>
        <v>0</v>
      </c>
      <c r="J333">
        <f>ABS(Estimates_of_the_use_of_water__2000_2020[[#This Row],[ARC_r]]-Estimates_of_the_use_of_water__2000_2020[[#This Row],[ARC_u]])</f>
        <v>0</v>
      </c>
      <c r="K333">
        <v>0</v>
      </c>
      <c r="L333">
        <v>0.4318980637</v>
      </c>
      <c r="M333">
        <v>0</v>
      </c>
    </row>
    <row r="334" spans="1:21" x14ac:dyDescent="0.25">
      <c r="A334" s="1" t="s">
        <v>64</v>
      </c>
      <c r="B334">
        <v>2015</v>
      </c>
      <c r="C334">
        <f>IF(A335=Estimates_of_the_use_of_water__2000_2020[[#This Row],[name]], B335-Estimates_of_the_use_of_water__2000_2020[[#This Row],[year]],"")</f>
        <v>5</v>
      </c>
      <c r="D334">
        <v>50823.085939999997</v>
      </c>
      <c r="E334">
        <v>81.634002690000003</v>
      </c>
      <c r="F334">
        <v>99.472746409999999</v>
      </c>
      <c r="G334">
        <f>((F335-Estimates_of_the_use_of_water__2000_2020[[#This Row],[wat_bas_n]])/(B335-Estimates_of_the_use_of_water__2000_2020[[#This Row],[year]]))</f>
        <v>9.1730047999999439E-2</v>
      </c>
      <c r="H334">
        <f>((N335-Estimates_of_the_use_of_water__2000_2020[[#This Row],[wat_bas_r]])/(B335-Estimates_of_the_use_of_water__2000_2020[[#This Row],[year]]))</f>
        <v>0</v>
      </c>
      <c r="I334">
        <f>(R335-Estimates_of_the_use_of_water__2000_2020[[#This Row],[wat_bas_u]])/(B335-Estimates_of_the_use_of_water__2000_2020[[#This Row],[year]])</f>
        <v>0</v>
      </c>
      <c r="J334">
        <f>ABS(Estimates_of_the_use_of_water__2000_2020[[#This Row],[ARC_r]]-Estimates_of_the_use_of_water__2000_2020[[#This Row],[ARC_u]])</f>
        <v>0</v>
      </c>
      <c r="K334">
        <v>0</v>
      </c>
      <c r="L334">
        <v>0.5272535907</v>
      </c>
      <c r="M334">
        <v>0</v>
      </c>
    </row>
    <row r="335" spans="1:21" x14ac:dyDescent="0.25">
      <c r="A335" s="1" t="s">
        <v>64</v>
      </c>
      <c r="B335">
        <v>2020</v>
      </c>
      <c r="C335" t="str">
        <f>IF(A336=Estimates_of_the_use_of_water__2000_2020[[#This Row],[name]], B336-Estimates_of_the_use_of_water__2000_2020[[#This Row],[year]],"")</f>
        <v/>
      </c>
      <c r="D335">
        <v>51269.183590000001</v>
      </c>
      <c r="E335">
        <v>81.414001459999994</v>
      </c>
      <c r="F335">
        <v>99.931396649999996</v>
      </c>
      <c r="G335">
        <f>((F336-Estimates_of_the_use_of_water__2000_2020[[#This Row],[wat_bas_n]])/(B336-Estimates_of_the_use_of_water__2000_2020[[#This Row],[year]]))</f>
        <v>2.2710729499999984</v>
      </c>
      <c r="H335">
        <f>((N336-Estimates_of_the_use_of_water__2000_2020[[#This Row],[wat_bas_r]])/(B336-Estimates_of_the_use_of_water__2000_2020[[#This Row],[year]]))</f>
        <v>-16.508498150000001</v>
      </c>
      <c r="I335">
        <f>(R336-Estimates_of_the_use_of_water__2000_2020[[#This Row],[wat_bas_u]])/(B336-Estimates_of_the_use_of_water__2000_2020[[#This Row],[year]])</f>
        <v>-19.348479879999999</v>
      </c>
      <c r="J335">
        <f>ABS(Estimates_of_the_use_of_water__2000_2020[[#This Row],[ARC_r]]-Estimates_of_the_use_of_water__2000_2020[[#This Row],[ARC_u]])</f>
        <v>2.8399817299999981</v>
      </c>
      <c r="K335">
        <v>0</v>
      </c>
      <c r="L335">
        <v>6.8603352960000002E-2</v>
      </c>
      <c r="M335">
        <v>0</v>
      </c>
    </row>
    <row r="336" spans="1:21" x14ac:dyDescent="0.25">
      <c r="A336" s="1" t="s">
        <v>182</v>
      </c>
      <c r="B336">
        <v>2015</v>
      </c>
      <c r="C336">
        <f>IF(A337=Estimates_of_the_use_of_water__2000_2020[[#This Row],[name]], B337-Estimates_of_the_use_of_water__2000_2020[[#This Row],[year]],"")</f>
        <v>5</v>
      </c>
      <c r="D336">
        <v>4070.705078</v>
      </c>
      <c r="E336">
        <v>42.489997860000003</v>
      </c>
      <c r="F336">
        <v>88.576031900000004</v>
      </c>
      <c r="G336">
        <f>((F337-Estimates_of_the_use_of_water__2000_2020[[#This Row],[wat_bas_n]])/(B337-Estimates_of_the_use_of_water__2000_2020[[#This Row],[year]]))</f>
        <v>0.39878606799999827</v>
      </c>
      <c r="H336">
        <f>((N337-Estimates_of_the_use_of_water__2000_2020[[#This Row],[wat_bas_r]])/(B337-Estimates_of_the_use_of_water__2000_2020[[#This Row],[year]]))</f>
        <v>0.58770947399999895</v>
      </c>
      <c r="I336">
        <f>(R337-Estimates_of_the_use_of_water__2000_2020[[#This Row],[wat_bas_u]])/(B337-Estimates_of_the_use_of_water__2000_2020[[#This Row],[year]])</f>
        <v>0.12300901600000032</v>
      </c>
      <c r="J336">
        <f>ABS(Estimates_of_the_use_of_water__2000_2020[[#This Row],[ARC_r]]-Estimates_of_the_use_of_water__2000_2020[[#This Row],[ARC_u]])</f>
        <v>0.46470045799999865</v>
      </c>
      <c r="K336">
        <v>1.485629517</v>
      </c>
      <c r="L336">
        <v>9.9383385820000001</v>
      </c>
      <c r="M336">
        <v>0</v>
      </c>
      <c r="N336">
        <v>82.542490749999999</v>
      </c>
      <c r="O336">
        <v>1.4702224820000001</v>
      </c>
      <c r="P336">
        <v>15.987286770000001</v>
      </c>
      <c r="Q336">
        <v>0</v>
      </c>
      <c r="R336">
        <v>96.742399399999996</v>
      </c>
      <c r="S336">
        <v>1.5064828610000001</v>
      </c>
      <c r="T336">
        <v>1.7511177389999999</v>
      </c>
      <c r="U336">
        <v>0</v>
      </c>
    </row>
    <row r="337" spans="1:21" x14ac:dyDescent="0.25">
      <c r="A337" s="1" t="s">
        <v>182</v>
      </c>
      <c r="B337">
        <v>2020</v>
      </c>
      <c r="C337" t="str">
        <f>IF(A338=Estimates_of_the_use_of_water__2000_2020[[#This Row],[name]], B338-Estimates_of_the_use_of_water__2000_2020[[#This Row],[year]],"")</f>
        <v/>
      </c>
      <c r="D337">
        <v>4033.9628910000001</v>
      </c>
      <c r="E337">
        <v>42.849002839999997</v>
      </c>
      <c r="F337">
        <v>90.569962239999995</v>
      </c>
      <c r="G337">
        <f>((F338-Estimates_of_the_use_of_water__2000_2020[[#This Row],[wat_bas_n]])/(B338-Estimates_of_the_use_of_water__2000_2020[[#This Row],[year]]))</f>
        <v>-1.8683135899999996</v>
      </c>
      <c r="H337">
        <f>((N338-Estimates_of_the_use_of_water__2000_2020[[#This Row],[wat_bas_r]])/(B338-Estimates_of_the_use_of_water__2000_2020[[#This Row],[year]]))</f>
        <v>17.096207623999998</v>
      </c>
      <c r="I337">
        <f>(R338-Estimates_of_the_use_of_water__2000_2020[[#This Row],[wat_bas_u]])/(B338-Estimates_of_the_use_of_water__2000_2020[[#This Row],[year]])</f>
        <v>19.471488896</v>
      </c>
      <c r="J337">
        <f>ABS(Estimates_of_the_use_of_water__2000_2020[[#This Row],[ARC_r]]-Estimates_of_the_use_of_water__2000_2020[[#This Row],[ARC_u]])</f>
        <v>2.3752812720000023</v>
      </c>
      <c r="K337">
        <v>1.519776762</v>
      </c>
      <c r="L337">
        <v>7.910260997</v>
      </c>
      <c r="M337">
        <v>0</v>
      </c>
      <c r="N337">
        <v>85.481038119999994</v>
      </c>
      <c r="O337">
        <v>1.52256302</v>
      </c>
      <c r="P337">
        <v>12.996398859999999</v>
      </c>
      <c r="Q337">
        <v>0</v>
      </c>
      <c r="R337">
        <v>97.357444479999998</v>
      </c>
      <c r="S337">
        <v>1.516060408</v>
      </c>
      <c r="T337">
        <v>1.1264951110000001</v>
      </c>
      <c r="U337">
        <v>0</v>
      </c>
    </row>
    <row r="338" spans="1:21" x14ac:dyDescent="0.25">
      <c r="A338" s="1" t="s">
        <v>42</v>
      </c>
      <c r="B338">
        <v>2015</v>
      </c>
      <c r="C338">
        <f>IF(A339=Estimates_of_the_use_of_water__2000_2020[[#This Row],[name]], B339-Estimates_of_the_use_of_water__2000_2020[[#This Row],[year]],"")</f>
        <v>5</v>
      </c>
      <c r="D338">
        <v>863.35900879999997</v>
      </c>
      <c r="E338">
        <v>99.339004520000003</v>
      </c>
      <c r="F338">
        <v>99.911530189999993</v>
      </c>
      <c r="G338">
        <f>((F339-Estimates_of_the_use_of_water__2000_2020[[#This Row],[wat_bas_n]])/(B339-Estimates_of_the_use_of_water__2000_2020[[#This Row],[year]]))</f>
        <v>1.7693962000001305E-2</v>
      </c>
      <c r="H338">
        <f>((N339-Estimates_of_the_use_of_water__2000_2020[[#This Row],[wat_bas_r]])/(B339-Estimates_of_the_use_of_water__2000_2020[[#This Row],[year]]))</f>
        <v>0</v>
      </c>
      <c r="I338">
        <f>(R339-Estimates_of_the_use_of_water__2000_2020[[#This Row],[wat_bas_u]])/(B339-Estimates_of_the_use_of_water__2000_2020[[#This Row],[year]])</f>
        <v>0</v>
      </c>
      <c r="J338">
        <f>ABS(Estimates_of_the_use_of_water__2000_2020[[#This Row],[ARC_r]]-Estimates_of_the_use_of_water__2000_2020[[#This Row],[ARC_u]])</f>
        <v>0</v>
      </c>
      <c r="K338">
        <v>0</v>
      </c>
      <c r="L338">
        <v>8.8469814100000002E-2</v>
      </c>
      <c r="M338">
        <v>0</v>
      </c>
    </row>
    <row r="339" spans="1:21" x14ac:dyDescent="0.25">
      <c r="A339" s="1" t="s">
        <v>42</v>
      </c>
      <c r="B339">
        <v>2020</v>
      </c>
      <c r="C339" t="str">
        <f>IF(A340=Estimates_of_the_use_of_water__2000_2020[[#This Row],[name]], B340-Estimates_of_the_use_of_water__2000_2020[[#This Row],[year]],"")</f>
        <v/>
      </c>
      <c r="D339">
        <v>895.30798340000001</v>
      </c>
      <c r="E339">
        <v>99.659004210000006</v>
      </c>
      <c r="F339">
        <v>100</v>
      </c>
      <c r="G339">
        <f>((F340-Estimates_of_the_use_of_water__2000_2020[[#This Row],[wat_bas_n]])/(B340-Estimates_of_the_use_of_water__2000_2020[[#This Row],[year]]))</f>
        <v>0</v>
      </c>
      <c r="H339">
        <f>((N340-Estimates_of_the_use_of_water__2000_2020[[#This Row],[wat_bas_r]])/(B340-Estimates_of_the_use_of_water__2000_2020[[#This Row],[year]]))</f>
        <v>-20</v>
      </c>
      <c r="I339">
        <f>(R340-Estimates_of_the_use_of_water__2000_2020[[#This Row],[wat_bas_u]])/(B340-Estimates_of_the_use_of_water__2000_2020[[#This Row],[year]])</f>
        <v>-20</v>
      </c>
      <c r="J339">
        <f>ABS(Estimates_of_the_use_of_water__2000_2020[[#This Row],[ARC_r]]-Estimates_of_the_use_of_water__2000_2020[[#This Row],[ARC_u]])</f>
        <v>0</v>
      </c>
      <c r="K339">
        <v>0</v>
      </c>
      <c r="L339">
        <v>0</v>
      </c>
      <c r="M339">
        <v>0</v>
      </c>
    </row>
    <row r="340" spans="1:21" x14ac:dyDescent="0.25">
      <c r="A340" s="1" t="s">
        <v>50</v>
      </c>
      <c r="B340">
        <v>2015</v>
      </c>
      <c r="C340">
        <f>IF(A341=Estimates_of_the_use_of_water__2000_2020[[#This Row],[name]], B341-Estimates_of_the_use_of_water__2000_2020[[#This Row],[year]],"")</f>
        <v>5</v>
      </c>
      <c r="D340">
        <v>19925.181639999999</v>
      </c>
      <c r="E340">
        <v>53.886997219999998</v>
      </c>
      <c r="F340">
        <v>100</v>
      </c>
      <c r="G340">
        <f>((F341-Estimates_of_the_use_of_water__2000_2020[[#This Row],[wat_bas_n]])/(B341-Estimates_of_the_use_of_water__2000_2020[[#This Row],[year]]))</f>
        <v>0</v>
      </c>
      <c r="H340">
        <f>((N341-Estimates_of_the_use_of_water__2000_2020[[#This Row],[wat_bas_r]])/(B341-Estimates_of_the_use_of_water__2000_2020[[#This Row],[year]]))</f>
        <v>0</v>
      </c>
      <c r="I340">
        <f>(R341-Estimates_of_the_use_of_water__2000_2020[[#This Row],[wat_bas_u]])/(B341-Estimates_of_the_use_of_water__2000_2020[[#This Row],[year]])</f>
        <v>0</v>
      </c>
      <c r="J340">
        <f>ABS(Estimates_of_the_use_of_water__2000_2020[[#This Row],[ARC_r]]-Estimates_of_the_use_of_water__2000_2020[[#This Row],[ARC_u]])</f>
        <v>0</v>
      </c>
      <c r="K340">
        <v>0</v>
      </c>
      <c r="L340">
        <v>0</v>
      </c>
      <c r="M340">
        <v>0</v>
      </c>
      <c r="N340">
        <v>100</v>
      </c>
      <c r="O340">
        <v>0</v>
      </c>
      <c r="P340">
        <v>0</v>
      </c>
      <c r="Q340">
        <v>0</v>
      </c>
      <c r="R340">
        <v>100</v>
      </c>
      <c r="S340">
        <v>0</v>
      </c>
      <c r="T340">
        <v>0</v>
      </c>
      <c r="U340">
        <v>0</v>
      </c>
    </row>
    <row r="341" spans="1:21" x14ac:dyDescent="0.25">
      <c r="A341" s="1" t="s">
        <v>50</v>
      </c>
      <c r="B341">
        <v>2020</v>
      </c>
      <c r="C341" t="str">
        <f>IF(A342=Estimates_of_the_use_of_water__2000_2020[[#This Row],[name]], B342-Estimates_of_the_use_of_water__2000_2020[[#This Row],[year]],"")</f>
        <v/>
      </c>
      <c r="D341">
        <v>19237.681639999999</v>
      </c>
      <c r="E341">
        <v>54.194000240000001</v>
      </c>
      <c r="F341">
        <v>100</v>
      </c>
      <c r="G341">
        <f>((F342-Estimates_of_the_use_of_water__2000_2020[[#This Row],[wat_bas_n]])/(B342-Estimates_of_the_use_of_water__2000_2020[[#This Row],[year]]))</f>
        <v>0.69456891400000131</v>
      </c>
      <c r="H341">
        <f>((N342-Estimates_of_the_use_of_water__2000_2020[[#This Row],[wat_bas_r]])/(B342-Estimates_of_the_use_of_water__2000_2020[[#This Row],[year]]))</f>
        <v>1.9779781979999995</v>
      </c>
      <c r="I341">
        <f>(R342-Estimates_of_the_use_of_water__2000_2020[[#This Row],[wat_bas_u]])/(B342-Estimates_of_the_use_of_water__2000_2020[[#This Row],[year]])</f>
        <v>0.2448130219999996</v>
      </c>
      <c r="J341">
        <f>ABS(Estimates_of_the_use_of_water__2000_2020[[#This Row],[ARC_r]]-Estimates_of_the_use_of_water__2000_2020[[#This Row],[ARC_u]])</f>
        <v>1.733165176</v>
      </c>
      <c r="K341">
        <v>0</v>
      </c>
      <c r="L341">
        <v>0</v>
      </c>
      <c r="M341">
        <v>0</v>
      </c>
      <c r="N341">
        <v>100</v>
      </c>
      <c r="O341">
        <v>0</v>
      </c>
      <c r="P341">
        <v>0</v>
      </c>
      <c r="Q341">
        <v>0</v>
      </c>
      <c r="R341">
        <v>100</v>
      </c>
      <c r="S341">
        <v>0</v>
      </c>
      <c r="T341">
        <v>0</v>
      </c>
      <c r="U341">
        <v>0</v>
      </c>
    </row>
    <row r="342" spans="1:21" x14ac:dyDescent="0.25">
      <c r="A342" s="1" t="s">
        <v>134</v>
      </c>
      <c r="B342">
        <v>2015</v>
      </c>
      <c r="C342">
        <f>IF(A343=Estimates_of_the_use_of_water__2000_2020[[#This Row],[name]], B343-Estimates_of_the_use_of_water__2000_2020[[#This Row],[year]],"")</f>
        <v>5</v>
      </c>
      <c r="D342">
        <v>144985.0625</v>
      </c>
      <c r="E342">
        <v>74.049995420000002</v>
      </c>
      <c r="F342">
        <v>96.527155429999993</v>
      </c>
      <c r="G342">
        <f>((F343-Estimates_of_the_use_of_water__2000_2020[[#This Row],[wat_bas_n]])/(B343-Estimates_of_the_use_of_water__2000_2020[[#This Row],[year]]))</f>
        <v>9.307852800000091E-2</v>
      </c>
      <c r="H342">
        <f>((N343-Estimates_of_the_use_of_water__2000_2020[[#This Row],[wat_bas_r]])/(B343-Estimates_of_the_use_of_water__2000_2020[[#This Row],[year]]))</f>
        <v>0.2867985900000008</v>
      </c>
      <c r="I342">
        <f>(R343-Estimates_of_the_use_of_water__2000_2020[[#This Row],[wat_bas_u]])/(B343-Estimates_of_the_use_of_water__2000_2020[[#This Row],[year]])</f>
        <v>1.1332944000000112E-2</v>
      </c>
      <c r="J342">
        <f>ABS(Estimates_of_the_use_of_water__2000_2020[[#This Row],[ARC_r]]-Estimates_of_the_use_of_water__2000_2020[[#This Row],[ARC_u]])</f>
        <v>0.27546564600000067</v>
      </c>
      <c r="K342">
        <v>0.62448653440000002</v>
      </c>
      <c r="L342">
        <v>2.848358036</v>
      </c>
      <c r="N342">
        <v>90.110109010000002</v>
      </c>
      <c r="O342">
        <v>1.558364042</v>
      </c>
      <c r="P342">
        <v>8.3315269460000003</v>
      </c>
      <c r="R342">
        <v>98.775934890000002</v>
      </c>
      <c r="S342">
        <v>0.29721946310000003</v>
      </c>
      <c r="T342">
        <v>0.72684564200000001</v>
      </c>
      <c r="U342">
        <v>0.2</v>
      </c>
    </row>
    <row r="343" spans="1:21" x14ac:dyDescent="0.25">
      <c r="A343" s="1" t="s">
        <v>134</v>
      </c>
      <c r="B343">
        <v>2020</v>
      </c>
      <c r="C343" t="str">
        <f>IF(A344=Estimates_of_the_use_of_water__2000_2020[[#This Row],[name]], B344-Estimates_of_the_use_of_water__2000_2020[[#This Row],[year]],"")</f>
        <v/>
      </c>
      <c r="D343">
        <v>145934.45310000001</v>
      </c>
      <c r="E343">
        <v>74.754005430000007</v>
      </c>
      <c r="F343">
        <v>96.992548069999998</v>
      </c>
      <c r="G343">
        <f>((F344-Estimates_of_the_use_of_water__2000_2020[[#This Row],[wat_bas_n]])/(B344-Estimates_of_the_use_of_water__2000_2020[[#This Row],[year]]))</f>
        <v>7.9741548099999999</v>
      </c>
      <c r="H343">
        <f>((N344-Estimates_of_the_use_of_water__2000_2020[[#This Row],[wat_bas_r]])/(B344-Estimates_of_the_use_of_water__2000_2020[[#This Row],[year]]))</f>
        <v>7.8382784800000014</v>
      </c>
      <c r="I343">
        <f>(R344-Estimates_of_the_use_of_water__2000_2020[[#This Row],[wat_bas_u]])/(B344-Estimates_of_the_use_of_water__2000_2020[[#This Row],[year]])</f>
        <v>3.6866324460000017</v>
      </c>
      <c r="J343">
        <f>ABS(Estimates_of_the_use_of_water__2000_2020[[#This Row],[ARC_r]]-Estimates_of_the_use_of_water__2000_2020[[#This Row],[ARC_u]])</f>
        <v>4.1516460339999997</v>
      </c>
      <c r="K343">
        <v>0.62199637659999996</v>
      </c>
      <c r="L343">
        <v>2.3854555500000001</v>
      </c>
      <c r="N343">
        <v>91.544101960000006</v>
      </c>
      <c r="O343">
        <v>1.5831635129999999</v>
      </c>
      <c r="P343">
        <v>6.8727345309999999</v>
      </c>
      <c r="R343">
        <v>98.832599610000003</v>
      </c>
      <c r="S343">
        <v>0.29738996870000001</v>
      </c>
      <c r="T343">
        <v>0.67001042359999996</v>
      </c>
      <c r="U343">
        <v>0.2</v>
      </c>
    </row>
    <row r="344" spans="1:21" x14ac:dyDescent="0.25">
      <c r="A344" s="1" t="s">
        <v>232</v>
      </c>
      <c r="B344">
        <v>2015</v>
      </c>
      <c r="C344">
        <f>IF(A345=Estimates_of_the_use_of_water__2000_2020[[#This Row],[name]], B345-Estimates_of_the_use_of_water__2000_2020[[#This Row],[year]],"")</f>
        <v>5</v>
      </c>
      <c r="D344">
        <v>11369.066409999999</v>
      </c>
      <c r="E344">
        <v>17.003999709999999</v>
      </c>
      <c r="F344">
        <v>57.121774019999997</v>
      </c>
      <c r="G344">
        <f>((F345-Estimates_of_the_use_of_water__2000_2020[[#This Row],[wat_bas_n]])/(B345-Estimates_of_the_use_of_water__2000_2020[[#This Row],[year]]))</f>
        <v>0.65854542600000054</v>
      </c>
      <c r="H344">
        <f>((N345-Estimates_of_the_use_of_water__2000_2020[[#This Row],[wat_bas_r]])/(B345-Estimates_of_the_use_of_water__2000_2020[[#This Row],[year]]))</f>
        <v>0.65795173399999951</v>
      </c>
      <c r="I344">
        <f>(R345-Estimates_of_the_use_of_water__2000_2020[[#This Row],[wat_bas_u]])/(B345-Estimates_of_the_use_of_water__2000_2020[[#This Row],[year]])</f>
        <v>0.52363238400000112</v>
      </c>
      <c r="J344">
        <f>ABS(Estimates_of_the_use_of_water__2000_2020[[#This Row],[ARC_r]]-Estimates_of_the_use_of_water__2000_2020[[#This Row],[ARC_u]])</f>
        <v>0.13431934999999839</v>
      </c>
      <c r="K344">
        <v>22.154046149999999</v>
      </c>
      <c r="L344">
        <v>13.45013172</v>
      </c>
      <c r="M344">
        <v>7.2740481099999998</v>
      </c>
      <c r="N344">
        <v>52.352709560000001</v>
      </c>
      <c r="O344">
        <v>24.60883866</v>
      </c>
      <c r="P344">
        <v>14.980603540000001</v>
      </c>
      <c r="Q344">
        <v>8.0578482410000003</v>
      </c>
      <c r="R344">
        <v>80.399437379999995</v>
      </c>
      <c r="S344">
        <v>10.172282620000001</v>
      </c>
      <c r="T344">
        <v>5.9799351659999997</v>
      </c>
      <c r="U344">
        <v>3.4483448280000002</v>
      </c>
    </row>
    <row r="345" spans="1:21" x14ac:dyDescent="0.25">
      <c r="A345" s="1" t="s">
        <v>232</v>
      </c>
      <c r="B345">
        <v>2020</v>
      </c>
      <c r="C345" t="str">
        <f>IF(A346=Estimates_of_the_use_of_water__2000_2020[[#This Row],[name]], B346-Estimates_of_the_use_of_water__2000_2020[[#This Row],[year]],"")</f>
        <v/>
      </c>
      <c r="D345">
        <v>12952.208979999999</v>
      </c>
      <c r="E345">
        <v>17.432001110000002</v>
      </c>
      <c r="F345">
        <v>60.41450115</v>
      </c>
      <c r="G345">
        <f>((F346-Estimates_of_the_use_of_water__2000_2020[[#This Row],[wat_bas_n]])/(B346-Estimates_of_the_use_of_water__2000_2020[[#This Row],[year]]))</f>
        <v>-7.9100836239999994</v>
      </c>
      <c r="H345">
        <f>((N346-Estimates_of_the_use_of_water__2000_2020[[#This Row],[wat_bas_r]])/(B346-Estimates_of_the_use_of_water__2000_2020[[#This Row],[year]]))</f>
        <v>11.128493645999999</v>
      </c>
      <c r="I345">
        <f>(R346-Estimates_of_the_use_of_water__2000_2020[[#This Row],[wat_bas_u]])/(B346-Estimates_of_the_use_of_water__2000_2020[[#This Row],[year]])</f>
        <v>-3.3894639939999989</v>
      </c>
      <c r="J345">
        <f>ABS(Estimates_of_the_use_of_water__2000_2020[[#This Row],[ARC_r]]-Estimates_of_the_use_of_water__2000_2020[[#This Row],[ARC_u]])</f>
        <v>14.517957639999999</v>
      </c>
      <c r="K345">
        <v>22.3207193</v>
      </c>
      <c r="L345">
        <v>13.15480415</v>
      </c>
      <c r="M345">
        <v>4.1099754009999998</v>
      </c>
      <c r="N345">
        <v>55.642468229999999</v>
      </c>
      <c r="O345">
        <v>25.08014133</v>
      </c>
      <c r="P345">
        <v>14.778867719999999</v>
      </c>
      <c r="Q345">
        <v>4.4985227139999999</v>
      </c>
      <c r="R345">
        <v>83.017599300000001</v>
      </c>
      <c r="S345">
        <v>9.2505062509999991</v>
      </c>
      <c r="T345">
        <v>5.4623030569999997</v>
      </c>
      <c r="U345">
        <v>2.2695913939999999</v>
      </c>
    </row>
    <row r="346" spans="1:21" x14ac:dyDescent="0.25">
      <c r="A346" s="1" t="s">
        <v>31</v>
      </c>
      <c r="B346">
        <v>2015</v>
      </c>
      <c r="C346">
        <f>IF(A347=Estimates_of_the_use_of_water__2000_2020[[#This Row],[name]], B347-Estimates_of_the_use_of_water__2000_2020[[#This Row],[year]],"")</f>
        <v>5</v>
      </c>
      <c r="D346">
        <v>9.6959999999999997</v>
      </c>
      <c r="E346">
        <v>100</v>
      </c>
      <c r="F346">
        <v>99.964919269999996</v>
      </c>
      <c r="G346">
        <f>((F347-Estimates_of_the_use_of_water__2000_2020[[#This Row],[wat_bas_n]])/(B347-Estimates_of_the_use_of_water__2000_2020[[#This Row],[year]]))</f>
        <v>7.0161460000008448E-3</v>
      </c>
      <c r="H346">
        <f>((N347-Estimates_of_the_use_of_water__2000_2020[[#This Row],[wat_bas_r]])/(B347-Estimates_of_the_use_of_water__2000_2020[[#This Row],[year]]))</f>
        <v>0</v>
      </c>
      <c r="I346">
        <f>(R347-Estimates_of_the_use_of_water__2000_2020[[#This Row],[wat_bas_u]])/(B347-Estimates_of_the_use_of_water__2000_2020[[#This Row],[year]])</f>
        <v>7.0161460000008448E-3</v>
      </c>
      <c r="J346">
        <f>ABS(Estimates_of_the_use_of_water__2000_2020[[#This Row],[ARC_r]]-Estimates_of_the_use_of_water__2000_2020[[#This Row],[ARC_u]])</f>
        <v>7.0161460000008448E-3</v>
      </c>
      <c r="K346">
        <v>0</v>
      </c>
      <c r="L346">
        <v>3.5080726299999997E-2</v>
      </c>
      <c r="M346">
        <v>0</v>
      </c>
      <c r="R346">
        <v>99.964919269999996</v>
      </c>
      <c r="S346">
        <v>0</v>
      </c>
      <c r="T346">
        <v>3.5080726299999997E-2</v>
      </c>
      <c r="U346">
        <v>0</v>
      </c>
    </row>
    <row r="347" spans="1:21" x14ac:dyDescent="0.25">
      <c r="A347" s="1" t="s">
        <v>31</v>
      </c>
      <c r="B347">
        <v>2020</v>
      </c>
      <c r="C347" t="str">
        <f>IF(A348=Estimates_of_the_use_of_water__2000_2020[[#This Row],[name]], B348-Estimates_of_the_use_of_water__2000_2020[[#This Row],[year]],"")</f>
        <v/>
      </c>
      <c r="D347">
        <v>9.8849999999999998</v>
      </c>
      <c r="E347">
        <v>100</v>
      </c>
      <c r="F347">
        <v>100</v>
      </c>
      <c r="G347">
        <f>((F348-Estimates_of_the_use_of_water__2000_2020[[#This Row],[wat_bas_n]])/(B348-Estimates_of_the_use_of_water__2000_2020[[#This Row],[year]]))</f>
        <v>0.20999999999999944</v>
      </c>
      <c r="H347">
        <f>((N348-Estimates_of_the_use_of_water__2000_2020[[#This Row],[wat_bas_r]])/(B348-Estimates_of_the_use_of_water__2000_2020[[#This Row],[year]]))</f>
        <v>0</v>
      </c>
      <c r="I347">
        <f>(R348-Estimates_of_the_use_of_water__2000_2020[[#This Row],[wat_bas_u]])/(B348-Estimates_of_the_use_of_water__2000_2020[[#This Row],[year]])</f>
        <v>20</v>
      </c>
      <c r="J347">
        <f>ABS(Estimates_of_the_use_of_water__2000_2020[[#This Row],[ARC_r]]-Estimates_of_the_use_of_water__2000_2020[[#This Row],[ARC_u]])</f>
        <v>20</v>
      </c>
      <c r="K347">
        <v>0</v>
      </c>
      <c r="L347">
        <v>0</v>
      </c>
      <c r="M347">
        <v>0</v>
      </c>
      <c r="R347">
        <v>100</v>
      </c>
      <c r="S347">
        <v>0</v>
      </c>
      <c r="T347">
        <v>0</v>
      </c>
      <c r="U347">
        <v>0</v>
      </c>
    </row>
    <row r="348" spans="1:21" x14ac:dyDescent="0.25">
      <c r="A348" s="1" t="s">
        <v>100</v>
      </c>
      <c r="B348">
        <v>2015</v>
      </c>
      <c r="C348">
        <f>IF(A349=Estimates_of_the_use_of_water__2000_2020[[#This Row],[name]], B349-Estimates_of_the_use_of_water__2000_2020[[#This Row],[year]],"")</f>
        <v>5</v>
      </c>
      <c r="D348">
        <v>5.8689999579999999</v>
      </c>
      <c r="E348">
        <v>39.539997100000001</v>
      </c>
      <c r="F348">
        <v>98.95</v>
      </c>
      <c r="G348">
        <f>((F349-Estimates_of_the_use_of_water__2000_2020[[#This Row],[wat_bas_n]])/(B349-Estimates_of_the_use_of_water__2000_2020[[#This Row],[year]]))</f>
        <v>2.9999999999998295E-2</v>
      </c>
      <c r="H348">
        <f>((N349-Estimates_of_the_use_of_water__2000_2020[[#This Row],[wat_bas_r]])/(B349-Estimates_of_the_use_of_water__2000_2020[[#This Row],[year]]))</f>
        <v>0</v>
      </c>
      <c r="I348">
        <f>(R349-Estimates_of_the_use_of_water__2000_2020[[#This Row],[wat_bas_u]])/(B349-Estimates_of_the_use_of_water__2000_2020[[#This Row],[year]])</f>
        <v>0</v>
      </c>
      <c r="J348">
        <f>ABS(Estimates_of_the_use_of_water__2000_2020[[#This Row],[ARC_r]]-Estimates_of_the_use_of_water__2000_2020[[#This Row],[ARC_u]])</f>
        <v>0</v>
      </c>
      <c r="K348">
        <v>0</v>
      </c>
      <c r="L348">
        <v>1.05</v>
      </c>
      <c r="M348">
        <v>0</v>
      </c>
    </row>
    <row r="349" spans="1:21" x14ac:dyDescent="0.25">
      <c r="A349" s="1" t="s">
        <v>100</v>
      </c>
      <c r="B349">
        <v>2020</v>
      </c>
      <c r="C349" t="str">
        <f>IF(A350=Estimates_of_the_use_of_water__2000_2020[[#This Row],[name]], B350-Estimates_of_the_use_of_water__2000_2020[[#This Row],[year]],"")</f>
        <v/>
      </c>
      <c r="D349">
        <v>6.0710000989999999</v>
      </c>
      <c r="E349">
        <v>40.082000729999997</v>
      </c>
      <c r="F349">
        <v>99.1</v>
      </c>
      <c r="G349">
        <f>((F350-Estimates_of_the_use_of_water__2000_2020[[#This Row],[wat_bas_n]])/(B350-Estimates_of_the_use_of_water__2000_2020[[#This Row],[year]]))</f>
        <v>9.7629173999999347E-2</v>
      </c>
      <c r="H349">
        <f>((N350-Estimates_of_the_use_of_water__2000_2020[[#This Row],[wat_bas_r]])/(B350-Estimates_of_the_use_of_water__2000_2020[[#This Row],[year]]))</f>
        <v>0</v>
      </c>
      <c r="I349">
        <f>(R350-Estimates_of_the_use_of_water__2000_2020[[#This Row],[wat_bas_u]])/(B350-Estimates_of_the_use_of_water__2000_2020[[#This Row],[year]])</f>
        <v>0</v>
      </c>
      <c r="J349">
        <f>ABS(Estimates_of_the_use_of_water__2000_2020[[#This Row],[ARC_r]]-Estimates_of_the_use_of_water__2000_2020[[#This Row],[ARC_u]])</f>
        <v>0</v>
      </c>
      <c r="K349">
        <v>0</v>
      </c>
      <c r="L349">
        <v>0.9</v>
      </c>
      <c r="M349">
        <v>0</v>
      </c>
    </row>
    <row r="350" spans="1:21" x14ac:dyDescent="0.25">
      <c r="A350" s="1" t="s">
        <v>110</v>
      </c>
      <c r="B350">
        <v>2015</v>
      </c>
      <c r="C350">
        <f>IF(A351=Estimates_of_the_use_of_water__2000_2020[[#This Row],[name]], B351-Estimates_of_the_use_of_water__2000_2020[[#This Row],[year]],"")</f>
        <v>2</v>
      </c>
      <c r="D350">
        <v>51.203998570000003</v>
      </c>
      <c r="E350">
        <v>30.82700157</v>
      </c>
      <c r="F350">
        <v>98.611854129999998</v>
      </c>
      <c r="G350">
        <f>((F351-Estimates_of_the_use_of_water__2000_2020[[#This Row],[wat_bas_n]])/(B351-Estimates_of_the_use_of_water__2000_2020[[#This Row],[year]]))</f>
        <v>0</v>
      </c>
      <c r="H350">
        <f>((N351-Estimates_of_the_use_of_water__2000_2020[[#This Row],[wat_bas_r]])/(B351-Estimates_of_the_use_of_water__2000_2020[[#This Row],[year]]))</f>
        <v>0</v>
      </c>
      <c r="I350">
        <f>(R351-Estimates_of_the_use_of_water__2000_2020[[#This Row],[wat_bas_u]])/(B351-Estimates_of_the_use_of_water__2000_2020[[#This Row],[year]])</f>
        <v>0</v>
      </c>
      <c r="J350">
        <f>ABS(Estimates_of_the_use_of_water__2000_2020[[#This Row],[ARC_r]]-Estimates_of_the_use_of_water__2000_2020[[#This Row],[ARC_u]])</f>
        <v>0</v>
      </c>
      <c r="K350">
        <v>0</v>
      </c>
      <c r="L350">
        <v>1.3881458680000001</v>
      </c>
      <c r="M350">
        <v>0</v>
      </c>
    </row>
    <row r="351" spans="1:21" x14ac:dyDescent="0.25">
      <c r="A351" s="1" t="s">
        <v>110</v>
      </c>
      <c r="B351">
        <v>2017</v>
      </c>
      <c r="C351" t="str">
        <f>IF(A352=Estimates_of_the_use_of_water__2000_2020[[#This Row],[name]], B352-Estimates_of_the_use_of_water__2000_2020[[#This Row],[year]],"")</f>
        <v/>
      </c>
      <c r="D351">
        <v>52.0359993</v>
      </c>
      <c r="E351">
        <v>30.772996899999999</v>
      </c>
      <c r="F351">
        <v>98.611854129999998</v>
      </c>
      <c r="G351">
        <f>((F352-Estimates_of_the_use_of_water__2000_2020[[#This Row],[wat_bas_n]])/(B352-Estimates_of_the_use_of_water__2000_2020[[#This Row],[year]]))</f>
        <v>1.5218799250000004</v>
      </c>
      <c r="H351">
        <f>((N352-Estimates_of_the_use_of_water__2000_2020[[#This Row],[wat_bas_r]])/(B352-Estimates_of_the_use_of_water__2000_2020[[#This Row],[year]]))</f>
        <v>-47.656130619999999</v>
      </c>
      <c r="I351">
        <f>(R352-Estimates_of_the_use_of_water__2000_2020[[#This Row],[wat_bas_u]])/(B352-Estimates_of_the_use_of_water__2000_2020[[#This Row],[year]])</f>
        <v>-48.347016590000003</v>
      </c>
      <c r="J351">
        <f>ABS(Estimates_of_the_use_of_water__2000_2020[[#This Row],[ARC_r]]-Estimates_of_the_use_of_water__2000_2020[[#This Row],[ARC_u]])</f>
        <v>0.69088597000000362</v>
      </c>
      <c r="K351">
        <v>0</v>
      </c>
      <c r="L351">
        <v>1.3881458680000001</v>
      </c>
      <c r="M351">
        <v>0</v>
      </c>
    </row>
    <row r="352" spans="1:21" x14ac:dyDescent="0.25">
      <c r="A352" s="1" t="s">
        <v>135</v>
      </c>
      <c r="B352">
        <v>2015</v>
      </c>
      <c r="C352">
        <f>IF(A353=Estimates_of_the_use_of_water__2000_2020[[#This Row],[name]], B353-Estimates_of_the_use_of_water__2000_2020[[#This Row],[year]],"")</f>
        <v>5</v>
      </c>
      <c r="D352">
        <v>179.1309967</v>
      </c>
      <c r="E352">
        <v>18.51499939</v>
      </c>
      <c r="F352">
        <v>95.568094279999997</v>
      </c>
      <c r="G352">
        <f>((F353-Estimates_of_the_use_of_water__2000_2020[[#This Row],[wat_bas_n]])/(B353-Estimates_of_the_use_of_water__2000_2020[[#This Row],[year]]))</f>
        <v>0.26395005800000038</v>
      </c>
      <c r="H352">
        <f>((N353-Estimates_of_the_use_of_water__2000_2020[[#This Row],[wat_bas_r]])/(B353-Estimates_of_the_use_of_water__2000_2020[[#This Row],[year]]))</f>
        <v>0.30035251799999968</v>
      </c>
      <c r="I352">
        <f>(R353-Estimates_of_the_use_of_water__2000_2020[[#This Row],[wat_bas_u]])/(B353-Estimates_of_the_use_of_water__2000_2020[[#This Row],[year]])</f>
        <v>0.10235780200000022</v>
      </c>
      <c r="J352">
        <f>ABS(Estimates_of_the_use_of_water__2000_2020[[#This Row],[ARC_r]]-Estimates_of_the_use_of_water__2000_2020[[#This Row],[ARC_u]])</f>
        <v>0.19799471599999946</v>
      </c>
      <c r="K352">
        <v>1.790210415</v>
      </c>
      <c r="L352">
        <v>2.6416953030000001</v>
      </c>
      <c r="M352">
        <v>0</v>
      </c>
      <c r="N352">
        <v>95.312261239999998</v>
      </c>
      <c r="O352">
        <v>1.707252381</v>
      </c>
      <c r="P352">
        <v>2.9804863780000002</v>
      </c>
      <c r="Q352">
        <v>0</v>
      </c>
      <c r="R352">
        <v>96.694033180000005</v>
      </c>
      <c r="S352">
        <v>2.1553111029999998</v>
      </c>
      <c r="T352">
        <v>1.1506557129999999</v>
      </c>
      <c r="U352">
        <v>0</v>
      </c>
    </row>
    <row r="353" spans="1:21" x14ac:dyDescent="0.25">
      <c r="A353" s="1" t="s">
        <v>135</v>
      </c>
      <c r="B353">
        <v>2020</v>
      </c>
      <c r="C353" t="str">
        <f>IF(A354=Estimates_of_the_use_of_water__2000_2020[[#This Row],[name]], B354-Estimates_of_the_use_of_water__2000_2020[[#This Row],[year]],"")</f>
        <v/>
      </c>
      <c r="D353">
        <v>183.62899780000001</v>
      </c>
      <c r="E353">
        <v>18.8409996</v>
      </c>
      <c r="F353">
        <v>96.887844569999999</v>
      </c>
      <c r="G353">
        <f>((F354-Estimates_of_the_use_of_water__2000_2020[[#This Row],[wat_bas_n]])/(B354-Estimates_of_the_use_of_water__2000_2020[[#This Row],[year]]))</f>
        <v>-0.6223859260000012</v>
      </c>
      <c r="H353">
        <f>((N354-Estimates_of_the_use_of_water__2000_2020[[#This Row],[wat_bas_r]])/(B354-Estimates_of_the_use_of_water__2000_2020[[#This Row],[year]]))</f>
        <v>19.362804766</v>
      </c>
      <c r="I353">
        <f>(R354-Estimates_of_the_use_of_water__2000_2020[[#This Row],[wat_bas_u]])/(B354-Estimates_of_the_use_of_water__2000_2020[[#This Row],[year]])</f>
        <v>-0.55879040199999963</v>
      </c>
      <c r="J353">
        <f>ABS(Estimates_of_the_use_of_water__2000_2020[[#This Row],[ARC_r]]-Estimates_of_the_use_of_water__2000_2020[[#This Row],[ARC_u]])</f>
        <v>19.921595168</v>
      </c>
      <c r="K353">
        <v>1.815652166</v>
      </c>
      <c r="L353">
        <v>1.296503269</v>
      </c>
      <c r="M353">
        <v>0</v>
      </c>
      <c r="N353">
        <v>96.814023829999996</v>
      </c>
      <c r="O353">
        <v>1.7341522549999999</v>
      </c>
      <c r="P353">
        <v>1.4518239180000001</v>
      </c>
      <c r="Q353">
        <v>0</v>
      </c>
      <c r="R353">
        <v>97.205822190000006</v>
      </c>
      <c r="S353">
        <v>2.166718886</v>
      </c>
      <c r="T353">
        <v>0.6274589237</v>
      </c>
      <c r="U353">
        <v>0</v>
      </c>
    </row>
    <row r="354" spans="1:21" x14ac:dyDescent="0.25">
      <c r="A354" s="1" t="s">
        <v>58</v>
      </c>
      <c r="B354">
        <v>2015</v>
      </c>
      <c r="C354">
        <f>IF(A355=Estimates_of_the_use_of_water__2000_2020[[#This Row],[name]], B355-Estimates_of_the_use_of_water__2000_2020[[#This Row],[year]],"")</f>
        <v>5</v>
      </c>
      <c r="D354">
        <v>35.865000000000002</v>
      </c>
      <c r="E354">
        <v>100</v>
      </c>
      <c r="F354">
        <v>99.999774200000004</v>
      </c>
      <c r="G354">
        <f>((F355-Estimates_of_the_use_of_water__2000_2020[[#This Row],[wat_bas_n]])/(B355-Estimates_of_the_use_of_water__2000_2020[[#This Row],[year]]))</f>
        <v>-1.0056200000008175E-4</v>
      </c>
      <c r="H354">
        <f>((N355-Estimates_of_the_use_of_water__2000_2020[[#This Row],[wat_bas_r]])/(B355-Estimates_of_the_use_of_water__2000_2020[[#This Row],[year]]))</f>
        <v>0</v>
      </c>
      <c r="I354">
        <f>(R355-Estimates_of_the_use_of_water__2000_2020[[#This Row],[wat_bas_u]])/(B355-Estimates_of_the_use_of_water__2000_2020[[#This Row],[year]])</f>
        <v>-1.0056200000008175E-4</v>
      </c>
      <c r="J354">
        <f>ABS(Estimates_of_the_use_of_water__2000_2020[[#This Row],[ARC_r]]-Estimates_of_the_use_of_water__2000_2020[[#This Row],[ARC_u]])</f>
        <v>1.0056200000008175E-4</v>
      </c>
      <c r="K354">
        <v>0</v>
      </c>
      <c r="L354">
        <v>2.2580388819999999E-4</v>
      </c>
      <c r="M354">
        <v>0</v>
      </c>
      <c r="R354">
        <v>99.999774200000004</v>
      </c>
      <c r="S354">
        <v>0</v>
      </c>
      <c r="T354">
        <v>2.2580388819999999E-4</v>
      </c>
      <c r="U354">
        <v>0</v>
      </c>
    </row>
    <row r="355" spans="1:21" x14ac:dyDescent="0.25">
      <c r="A355" s="1" t="s">
        <v>58</v>
      </c>
      <c r="B355">
        <v>2020</v>
      </c>
      <c r="C355" t="str">
        <f>IF(A356=Estimates_of_the_use_of_water__2000_2020[[#This Row],[name]], B356-Estimates_of_the_use_of_water__2000_2020[[#This Row],[year]],"")</f>
        <v/>
      </c>
      <c r="D355">
        <v>38.658999999999999</v>
      </c>
      <c r="E355">
        <v>100</v>
      </c>
      <c r="F355">
        <v>99.999271390000004</v>
      </c>
      <c r="G355">
        <f>((F356-Estimates_of_the_use_of_water__2000_2020[[#This Row],[wat_bas_n]])/(B356-Estimates_of_the_use_of_water__2000_2020[[#This Row],[year]]))</f>
        <v>1.7198542779999997</v>
      </c>
      <c r="H355">
        <f>((N356-Estimates_of_the_use_of_water__2000_2020[[#This Row],[wat_bas_r]])/(B356-Estimates_of_the_use_of_water__2000_2020[[#This Row],[year]]))</f>
        <v>0</v>
      </c>
      <c r="I355">
        <f>(R356-Estimates_of_the_use_of_water__2000_2020[[#This Row],[wat_bas_u]])/(B356-Estimates_of_the_use_of_water__2000_2020[[#This Row],[year]])</f>
        <v>19.999854278000001</v>
      </c>
      <c r="J355">
        <f>ABS(Estimates_of_the_use_of_water__2000_2020[[#This Row],[ARC_r]]-Estimates_of_the_use_of_water__2000_2020[[#This Row],[ARC_u]])</f>
        <v>19.999854278000001</v>
      </c>
      <c r="K355">
        <v>0</v>
      </c>
      <c r="L355">
        <v>7.2861055070000001E-4</v>
      </c>
      <c r="M355">
        <v>0</v>
      </c>
      <c r="R355">
        <v>99.999271390000004</v>
      </c>
      <c r="S355">
        <v>0</v>
      </c>
      <c r="T355">
        <v>7.2861055070000001E-4</v>
      </c>
      <c r="U355">
        <v>0</v>
      </c>
    </row>
    <row r="356" spans="1:21" x14ac:dyDescent="0.25">
      <c r="A356" s="1" t="s">
        <v>179</v>
      </c>
      <c r="B356">
        <v>2015</v>
      </c>
      <c r="C356">
        <f>IF(A357=Estimates_of_the_use_of_water__2000_2020[[#This Row],[name]], B357-Estimates_of_the_use_of_water__2000_2020[[#This Row],[year]],"")</f>
        <v>5</v>
      </c>
      <c r="D356">
        <v>5.9920001029999996</v>
      </c>
      <c r="E356">
        <v>89.888999940000005</v>
      </c>
      <c r="F356">
        <v>91.4</v>
      </c>
      <c r="G356">
        <f>((F357-Estimates_of_the_use_of_water__2000_2020[[#This Row],[wat_bas_n]])/(B357-Estimates_of_the_use_of_water__2000_2020[[#This Row],[year]]))</f>
        <v>0</v>
      </c>
      <c r="H356">
        <f>((N357-Estimates_of_the_use_of_water__2000_2020[[#This Row],[wat_bas_r]])/(B357-Estimates_of_the_use_of_water__2000_2020[[#This Row],[year]]))</f>
        <v>0</v>
      </c>
      <c r="I356">
        <f>(R357-Estimates_of_the_use_of_water__2000_2020[[#This Row],[wat_bas_u]])/(B357-Estimates_of_the_use_of_water__2000_2020[[#This Row],[year]])</f>
        <v>0</v>
      </c>
      <c r="J356">
        <f>ABS(Estimates_of_the_use_of_water__2000_2020[[#This Row],[ARC_r]]-Estimates_of_the_use_of_water__2000_2020[[#This Row],[ARC_u]])</f>
        <v>0</v>
      </c>
      <c r="K356">
        <v>0</v>
      </c>
      <c r="L356">
        <v>8.6</v>
      </c>
      <c r="M356">
        <v>0</v>
      </c>
    </row>
    <row r="357" spans="1:21" x14ac:dyDescent="0.25">
      <c r="A357" s="1" t="s">
        <v>179</v>
      </c>
      <c r="B357">
        <v>2020</v>
      </c>
      <c r="C357" t="str">
        <f>IF(A358=Estimates_of_the_use_of_water__2000_2020[[#This Row],[name]], B358-Estimates_of_the_use_of_water__2000_2020[[#This Row],[year]],"")</f>
        <v/>
      </c>
      <c r="D357">
        <v>5.795000076</v>
      </c>
      <c r="E357">
        <v>89.96199799</v>
      </c>
      <c r="F357">
        <v>91.4</v>
      </c>
      <c r="G357">
        <f>((F358-Estimates_of_the_use_of_water__2000_2020[[#This Row],[wat_bas_n]])/(B358-Estimates_of_the_use_of_water__2000_2020[[#This Row],[year]]))</f>
        <v>-0.74904397999999905</v>
      </c>
      <c r="H357">
        <f>((N358-Estimates_of_the_use_of_water__2000_2020[[#This Row],[wat_bas_r]])/(B358-Estimates_of_the_use_of_water__2000_2020[[#This Row],[year]]))</f>
        <v>0</v>
      </c>
      <c r="I357">
        <f>(R358-Estimates_of_the_use_of_water__2000_2020[[#This Row],[wat_bas_u]])/(B358-Estimates_of_the_use_of_water__2000_2020[[#This Row],[year]])</f>
        <v>0</v>
      </c>
      <c r="J357">
        <f>ABS(Estimates_of_the_use_of_water__2000_2020[[#This Row],[ARC_r]]-Estimates_of_the_use_of_water__2000_2020[[#This Row],[ARC_u]])</f>
        <v>0</v>
      </c>
      <c r="K357">
        <v>0</v>
      </c>
      <c r="L357">
        <v>8.6</v>
      </c>
      <c r="M357">
        <v>0</v>
      </c>
    </row>
    <row r="358" spans="1:21" x14ac:dyDescent="0.25">
      <c r="A358" s="1" t="s">
        <v>155</v>
      </c>
      <c r="B358">
        <v>2015</v>
      </c>
      <c r="C358">
        <f>IF(A359=Estimates_of_the_use_of_water__2000_2020[[#This Row],[name]], B359-Estimates_of_the_use_of_water__2000_2020[[#This Row],[year]],"")</f>
        <v>3</v>
      </c>
      <c r="D358">
        <v>109.13500209999999</v>
      </c>
      <c r="E358">
        <v>50.963996889999997</v>
      </c>
      <c r="F358">
        <v>95.145219900000001</v>
      </c>
      <c r="G358">
        <f>((F359-Estimates_of_the_use_of_water__2000_2020[[#This Row],[wat_bas_n]])/(B359-Estimates_of_the_use_of_water__2000_2020[[#This Row],[year]]))</f>
        <v>0</v>
      </c>
      <c r="H358">
        <f>((N359-Estimates_of_the_use_of_water__2000_2020[[#This Row],[wat_bas_r]])/(B359-Estimates_of_the_use_of_water__2000_2020[[#This Row],[year]]))</f>
        <v>0</v>
      </c>
      <c r="I358">
        <f>(R359-Estimates_of_the_use_of_water__2000_2020[[#This Row],[wat_bas_u]])/(B359-Estimates_of_the_use_of_water__2000_2020[[#This Row],[year]])</f>
        <v>0</v>
      </c>
      <c r="J358">
        <f>ABS(Estimates_of_the_use_of_water__2000_2020[[#This Row],[ARC_r]]-Estimates_of_the_use_of_water__2000_2020[[#This Row],[ARC_u]])</f>
        <v>0</v>
      </c>
      <c r="K358">
        <v>0</v>
      </c>
      <c r="L358">
        <v>4.0700937030000004</v>
      </c>
      <c r="M358">
        <v>0.78468639699999998</v>
      </c>
    </row>
    <row r="359" spans="1:21" x14ac:dyDescent="0.25">
      <c r="A359" s="1" t="s">
        <v>155</v>
      </c>
      <c r="B359">
        <v>2018</v>
      </c>
      <c r="C359" t="str">
        <f>IF(A360=Estimates_of_the_use_of_water__2000_2020[[#This Row],[name]], B360-Estimates_of_the_use_of_water__2000_2020[[#This Row],[year]],"")</f>
        <v/>
      </c>
      <c r="D359">
        <v>110.2099991</v>
      </c>
      <c r="E359">
        <v>52.197998050000002</v>
      </c>
      <c r="F359">
        <v>95.145219900000001</v>
      </c>
      <c r="G359">
        <f>((F360-Estimates_of_the_use_of_water__2000_2020[[#This Row],[wat_bas_n]])/(B360-Estimates_of_the_use_of_water__2000_2020[[#This Row],[year]]))</f>
        <v>1.2746075133333317</v>
      </c>
      <c r="H359">
        <f>((N360-Estimates_of_the_use_of_water__2000_2020[[#This Row],[wat_bas_r]])/(B360-Estimates_of_the_use_of_water__2000_2020[[#This Row],[year]]))</f>
        <v>-30.462138550000002</v>
      </c>
      <c r="I359">
        <f>(R360-Estimates_of_the_use_of_water__2000_2020[[#This Row],[wat_bas_u]])/(B360-Estimates_of_the_use_of_water__2000_2020[[#This Row],[year]])</f>
        <v>-30.347549560000001</v>
      </c>
      <c r="J359">
        <f>ABS(Estimates_of_the_use_of_water__2000_2020[[#This Row],[ARC_r]]-Estimates_of_the_use_of_water__2000_2020[[#This Row],[ARC_u]])</f>
        <v>0.11458899000000144</v>
      </c>
      <c r="K359">
        <v>0</v>
      </c>
      <c r="L359">
        <v>4.8547801000000002</v>
      </c>
    </row>
    <row r="360" spans="1:21" x14ac:dyDescent="0.25">
      <c r="A360" s="1" t="s">
        <v>177</v>
      </c>
      <c r="B360">
        <v>2015</v>
      </c>
      <c r="C360">
        <f>IF(A361=Estimates_of_the_use_of_water__2000_2020[[#This Row],[name]], B361-Estimates_of_the_use_of_water__2000_2020[[#This Row],[year]],"")</f>
        <v>5</v>
      </c>
      <c r="D360">
        <v>193.5099945</v>
      </c>
      <c r="E360">
        <v>18.914001460000001</v>
      </c>
      <c r="F360">
        <v>91.321397360000006</v>
      </c>
      <c r="G360">
        <f>((F361-Estimates_of_the_use_of_water__2000_2020[[#This Row],[wat_bas_n]])/(B361-Estimates_of_the_use_of_water__2000_2020[[#This Row],[year]]))</f>
        <v>0.10326543799999968</v>
      </c>
      <c r="H360">
        <f>((N361-Estimates_of_the_use_of_water__2000_2020[[#This Row],[wat_bas_r]])/(B361-Estimates_of_the_use_of_water__2000_2020[[#This Row],[year]]))</f>
        <v>7.8781444000000533E-2</v>
      </c>
      <c r="I360">
        <f>(R361-Estimates_of_the_use_of_water__2000_2020[[#This Row],[wat_bas_u]])/(B361-Estimates_of_the_use_of_water__2000_2020[[#This Row],[year]])</f>
        <v>0.21170826400000067</v>
      </c>
      <c r="J360">
        <f>ABS(Estimates_of_the_use_of_water__2000_2020[[#This Row],[ARC_r]]-Estimates_of_the_use_of_water__2000_2020[[#This Row],[ARC_u]])</f>
        <v>0.13292682000000014</v>
      </c>
      <c r="K360">
        <v>6.4992812960000004</v>
      </c>
      <c r="L360">
        <v>1.929815904</v>
      </c>
      <c r="M360">
        <v>0.24950544129999999</v>
      </c>
      <c r="N360">
        <v>91.386415650000004</v>
      </c>
      <c r="O360">
        <v>6.194005024</v>
      </c>
      <c r="P360">
        <v>2.1485295340000001</v>
      </c>
      <c r="Q360">
        <v>0.2710497959</v>
      </c>
      <c r="R360">
        <v>91.042648679999999</v>
      </c>
      <c r="S360">
        <v>7.8080270609999998</v>
      </c>
      <c r="T360">
        <v>0.9921814015</v>
      </c>
      <c r="U360">
        <v>0.15714285710000001</v>
      </c>
    </row>
    <row r="361" spans="1:21" x14ac:dyDescent="0.25">
      <c r="A361" s="1" t="s">
        <v>177</v>
      </c>
      <c r="B361">
        <v>2020</v>
      </c>
      <c r="C361" t="str">
        <f>IF(A362=Estimates_of_the_use_of_water__2000_2020[[#This Row],[name]], B362-Estimates_of_the_use_of_water__2000_2020[[#This Row],[year]],"")</f>
        <v/>
      </c>
      <c r="D361">
        <v>198.4100037</v>
      </c>
      <c r="E361">
        <v>17.888999940000001</v>
      </c>
      <c r="F361">
        <v>91.837724550000004</v>
      </c>
      <c r="G361">
        <f>((F362-Estimates_of_the_use_of_water__2000_2020[[#This Row],[wat_bas_n]])/(B362-Estimates_of_the_use_of_water__2000_2020[[#This Row],[year]]))</f>
        <v>-1.6324550899999992</v>
      </c>
      <c r="H361">
        <f>((N362-Estimates_of_the_use_of_water__2000_2020[[#This Row],[wat_bas_r]])/(B362-Estimates_of_the_use_of_water__2000_2020[[#This Row],[year]]))</f>
        <v>18.356064574000001</v>
      </c>
      <c r="I361">
        <f>(R362-Estimates_of_the_use_of_water__2000_2020[[#This Row],[wat_bas_u]])/(B362-Estimates_of_the_use_of_water__2000_2020[[#This Row],[year]])</f>
        <v>18.420238000000001</v>
      </c>
      <c r="J361">
        <f>ABS(Estimates_of_the_use_of_water__2000_2020[[#This Row],[ARC_r]]-Estimates_of_the_use_of_water__2000_2020[[#This Row],[ARC_u]])</f>
        <v>6.4173425999999978E-2</v>
      </c>
      <c r="K361">
        <v>6.5208999519999997</v>
      </c>
      <c r="L361">
        <v>1.4186234280000001</v>
      </c>
      <c r="M361">
        <v>0.22275206789999999</v>
      </c>
      <c r="N361">
        <v>91.780322870000006</v>
      </c>
      <c r="O361">
        <v>6.2207033389999999</v>
      </c>
      <c r="P361">
        <v>1.7276921599999999</v>
      </c>
      <c r="Q361">
        <v>0.2712816327</v>
      </c>
      <c r="R361">
        <v>92.101190000000003</v>
      </c>
      <c r="S361">
        <v>7.8988100000000001</v>
      </c>
      <c r="T361">
        <v>0</v>
      </c>
      <c r="U361">
        <v>0</v>
      </c>
    </row>
    <row r="362" spans="1:21" x14ac:dyDescent="0.25">
      <c r="A362" s="1" t="s">
        <v>34</v>
      </c>
      <c r="B362">
        <v>2015</v>
      </c>
      <c r="C362">
        <f>IF(A363=Estimates_of_the_use_of_water__2000_2020[[#This Row],[name]], B363-Estimates_of_the_use_of_water__2000_2020[[#This Row],[year]],"")</f>
        <v>5</v>
      </c>
      <c r="D362">
        <v>33.270000459999999</v>
      </c>
      <c r="E362">
        <v>96.738998409999994</v>
      </c>
      <c r="F362">
        <v>100</v>
      </c>
      <c r="G362">
        <f>((F363-Estimates_of_the_use_of_water__2000_2020[[#This Row],[wat_bas_n]])/(B363-Estimates_of_the_use_of_water__2000_2020[[#This Row],[year]]))</f>
        <v>0</v>
      </c>
      <c r="H362">
        <f>((N363-Estimates_of_the_use_of_water__2000_2020[[#This Row],[wat_bas_r]])/(B363-Estimates_of_the_use_of_water__2000_2020[[#This Row],[year]]))</f>
        <v>0</v>
      </c>
      <c r="I362">
        <f>(R363-Estimates_of_the_use_of_water__2000_2020[[#This Row],[wat_bas_u]])/(B363-Estimates_of_the_use_of_water__2000_2020[[#This Row],[year]])</f>
        <v>0</v>
      </c>
      <c r="J362">
        <f>ABS(Estimates_of_the_use_of_water__2000_2020[[#This Row],[ARC_r]]-Estimates_of_the_use_of_water__2000_2020[[#This Row],[ARC_u]])</f>
        <v>0</v>
      </c>
      <c r="K362">
        <v>0</v>
      </c>
      <c r="L362">
        <v>0</v>
      </c>
      <c r="M362">
        <v>0</v>
      </c>
    </row>
    <row r="363" spans="1:21" x14ac:dyDescent="0.25">
      <c r="A363" s="1" t="s">
        <v>34</v>
      </c>
      <c r="B363">
        <v>2020</v>
      </c>
      <c r="C363" t="str">
        <f>IF(A364=Estimates_of_the_use_of_water__2000_2020[[#This Row],[name]], B364-Estimates_of_the_use_of_water__2000_2020[[#This Row],[year]],"")</f>
        <v/>
      </c>
      <c r="D363">
        <v>33.937999730000001</v>
      </c>
      <c r="E363">
        <v>97.499000550000005</v>
      </c>
      <c r="F363">
        <v>100</v>
      </c>
      <c r="G363">
        <f>((F364-Estimates_of_the_use_of_water__2000_2020[[#This Row],[wat_bas_n]])/(B364-Estimates_of_the_use_of_water__2000_2020[[#This Row],[year]]))</f>
        <v>4.5751540419999994</v>
      </c>
      <c r="H363">
        <f>((N364-Estimates_of_the_use_of_water__2000_2020[[#This Row],[wat_bas_r]])/(B364-Estimates_of_the_use_of_water__2000_2020[[#This Row],[year]]))</f>
        <v>-14.256543328000001</v>
      </c>
      <c r="I363">
        <f>(R364-Estimates_of_the_use_of_water__2000_2020[[#This Row],[wat_bas_u]])/(B364-Estimates_of_the_use_of_water__2000_2020[[#This Row],[year]])</f>
        <v>-15.921408199999998</v>
      </c>
      <c r="J363">
        <f>ABS(Estimates_of_the_use_of_water__2000_2020[[#This Row],[ARC_r]]-Estimates_of_the_use_of_water__2000_2020[[#This Row],[ARC_u]])</f>
        <v>1.6648648719999972</v>
      </c>
      <c r="K363">
        <v>0</v>
      </c>
      <c r="L363">
        <v>0</v>
      </c>
      <c r="M363">
        <v>0</v>
      </c>
    </row>
    <row r="364" spans="1:21" x14ac:dyDescent="0.25">
      <c r="A364" s="1" t="s">
        <v>203</v>
      </c>
      <c r="B364">
        <v>2015</v>
      </c>
      <c r="C364">
        <f>IF(A365=Estimates_of_the_use_of_water__2000_2020[[#This Row],[name]], B365-Estimates_of_the_use_of_water__2000_2020[[#This Row],[year]],"")</f>
        <v>5</v>
      </c>
      <c r="D364">
        <v>199.43899540000001</v>
      </c>
      <c r="E364">
        <v>70.174003600000006</v>
      </c>
      <c r="F364">
        <v>77.124229790000001</v>
      </c>
      <c r="G364">
        <f>((F365-Estimates_of_the_use_of_water__2000_2020[[#This Row],[wat_bas_n]])/(B365-Estimates_of_the_use_of_water__2000_2020[[#This Row],[year]]))</f>
        <v>0.22044507399999985</v>
      </c>
      <c r="H364">
        <f>((N365-Estimates_of_the_use_of_water__2000_2020[[#This Row],[wat_bas_r]])/(B365-Estimates_of_the_use_of_water__2000_2020[[#This Row],[year]]))</f>
        <v>0.6035795699999994</v>
      </c>
      <c r="I364">
        <f>(R365-Estimates_of_the_use_of_water__2000_2020[[#This Row],[wat_bas_u]])/(B365-Estimates_of_the_use_of_water__2000_2020[[#This Row],[year]])</f>
        <v>-5.2996199999995495E-3</v>
      </c>
      <c r="J364">
        <f>ABS(Estimates_of_the_use_of_water__2000_2020[[#This Row],[ARC_r]]-Estimates_of_the_use_of_water__2000_2020[[#This Row],[ARC_u]])</f>
        <v>0.6088791899999989</v>
      </c>
      <c r="K364">
        <v>18.34430682</v>
      </c>
      <c r="L364">
        <v>1.8595771210000001</v>
      </c>
      <c r="M364">
        <v>2.6718862689999998</v>
      </c>
      <c r="N364">
        <v>71.282716640000004</v>
      </c>
      <c r="O364">
        <v>17.07304495</v>
      </c>
      <c r="P364">
        <v>4.1184792559999996</v>
      </c>
      <c r="Q364">
        <v>7.5257591550000003</v>
      </c>
      <c r="R364">
        <v>79.607040999999995</v>
      </c>
      <c r="S364">
        <v>18.884629660000002</v>
      </c>
      <c r="T364">
        <v>0.89948056340000004</v>
      </c>
      <c r="U364">
        <v>0.60884877739999999</v>
      </c>
    </row>
    <row r="365" spans="1:21" x14ac:dyDescent="0.25">
      <c r="A365" s="1" t="s">
        <v>203</v>
      </c>
      <c r="B365">
        <v>2020</v>
      </c>
      <c r="C365" t="str">
        <f>IF(A366=Estimates_of_the_use_of_water__2000_2020[[#This Row],[name]], B366-Estimates_of_the_use_of_water__2000_2020[[#This Row],[year]],"")</f>
        <v/>
      </c>
      <c r="D365">
        <v>219.16099550000001</v>
      </c>
      <c r="E365">
        <v>74.354003910000003</v>
      </c>
      <c r="F365">
        <v>78.22645516</v>
      </c>
      <c r="G365">
        <f>((F366-Estimates_of_the_use_of_water__2000_2020[[#This Row],[wat_bas_n]])/(B366-Estimates_of_the_use_of_water__2000_2020[[#This Row],[year]]))</f>
        <v>-4.2643142439999995</v>
      </c>
      <c r="H365">
        <f>((N366-Estimates_of_the_use_of_water__2000_2020[[#This Row],[wat_bas_r]])/(B366-Estimates_of_the_use_of_water__2000_2020[[#This Row],[year]]))</f>
        <v>14.860122898</v>
      </c>
      <c r="I365">
        <f>(R366-Estimates_of_the_use_of_water__2000_2020[[#This Row],[wat_bas_u]])/(B366-Estimates_of_the_use_of_water__2000_2020[[#This Row],[year]])</f>
        <v>15.91610858</v>
      </c>
      <c r="J365">
        <f>ABS(Estimates_of_the_use_of_water__2000_2020[[#This Row],[ARC_r]]-Estimates_of_the_use_of_water__2000_2020[[#This Row],[ARC_u]])</f>
        <v>1.0559856819999993</v>
      </c>
      <c r="K365">
        <v>20.237982980000002</v>
      </c>
      <c r="L365">
        <v>0.44351992839999999</v>
      </c>
      <c r="M365">
        <v>1.0920419299999999</v>
      </c>
      <c r="N365">
        <v>74.300614490000001</v>
      </c>
      <c r="O365">
        <v>19.711842579999999</v>
      </c>
      <c r="P365">
        <v>1.7294057039999999</v>
      </c>
      <c r="Q365">
        <v>4.2581372279999998</v>
      </c>
      <c r="R365">
        <v>79.580542899999998</v>
      </c>
      <c r="S365">
        <v>20.419457099999999</v>
      </c>
      <c r="T365">
        <v>0</v>
      </c>
      <c r="U365">
        <v>0</v>
      </c>
    </row>
    <row r="366" spans="1:21" x14ac:dyDescent="0.25">
      <c r="A366" s="1" t="s">
        <v>51</v>
      </c>
      <c r="B366">
        <v>2015</v>
      </c>
      <c r="C366">
        <f>IF(A367=Estimates_of_the_use_of_water__2000_2020[[#This Row],[name]], B367-Estimates_of_the_use_of_water__2000_2020[[#This Row],[year]],"")</f>
        <v>5</v>
      </c>
      <c r="D366">
        <v>31717.675780000001</v>
      </c>
      <c r="E366">
        <v>83.180000309999997</v>
      </c>
      <c r="F366">
        <v>99.548026379999996</v>
      </c>
      <c r="G366">
        <f>((F367-Estimates_of_the_use_of_water__2000_2020[[#This Row],[wat_bas_n]])/(B367-Estimates_of_the_use_of_water__2000_2020[[#This Row],[year]]))</f>
        <v>9.0394724000000787E-2</v>
      </c>
      <c r="H366">
        <f>((N367-Estimates_of_the_use_of_water__2000_2020[[#This Row],[wat_bas_r]])/(B367-Estimates_of_the_use_of_water__2000_2020[[#This Row],[year]]))</f>
        <v>0</v>
      </c>
      <c r="I366">
        <f>(R367-Estimates_of_the_use_of_water__2000_2020[[#This Row],[wat_bas_u]])/(B367-Estimates_of_the_use_of_water__2000_2020[[#This Row],[year]])</f>
        <v>0</v>
      </c>
      <c r="J366">
        <f>ABS(Estimates_of_the_use_of_water__2000_2020[[#This Row],[ARC_r]]-Estimates_of_the_use_of_water__2000_2020[[#This Row],[ARC_u]])</f>
        <v>0</v>
      </c>
      <c r="K366">
        <v>0</v>
      </c>
      <c r="L366">
        <v>0.45197361660000002</v>
      </c>
      <c r="M366">
        <v>0</v>
      </c>
    </row>
    <row r="367" spans="1:21" x14ac:dyDescent="0.25">
      <c r="A367" s="1" t="s">
        <v>51</v>
      </c>
      <c r="B367">
        <v>2020</v>
      </c>
      <c r="C367" t="str">
        <f>IF(A368=Estimates_of_the_use_of_water__2000_2020[[#This Row],[name]], B368-Estimates_of_the_use_of_water__2000_2020[[#This Row],[year]],"")</f>
        <v/>
      </c>
      <c r="D367">
        <v>34813.867189999997</v>
      </c>
      <c r="E367">
        <v>84.287002560000005</v>
      </c>
      <c r="F367">
        <v>100</v>
      </c>
      <c r="G367">
        <f>((F368-Estimates_of_the_use_of_water__2000_2020[[#This Row],[wat_bas_n]])/(B368-Estimates_of_the_use_of_water__2000_2020[[#This Row],[year]]))</f>
        <v>4.2795812759999992</v>
      </c>
      <c r="H367">
        <f>((N368-Estimates_of_the_use_of_water__2000_2020[[#This Row],[wat_bas_r]])/(B368-Estimates_of_the_use_of_water__2000_2020[[#This Row],[year]]))</f>
        <v>-13.188240312</v>
      </c>
      <c r="I367">
        <f>(R368-Estimates_of_the_use_of_water__2000_2020[[#This Row],[wat_bas_u]])/(B368-Estimates_of_the_use_of_water__2000_2020[[#This Row],[year]])</f>
        <v>-18.709539552000003</v>
      </c>
      <c r="J367">
        <f>ABS(Estimates_of_the_use_of_water__2000_2020[[#This Row],[ARC_r]]-Estimates_of_the_use_of_water__2000_2020[[#This Row],[ARC_u]])</f>
        <v>5.5212992400000029</v>
      </c>
      <c r="K367">
        <v>0</v>
      </c>
      <c r="L367">
        <v>0</v>
      </c>
      <c r="M367">
        <v>0</v>
      </c>
    </row>
    <row r="368" spans="1:21" x14ac:dyDescent="0.25">
      <c r="A368" s="1" t="s">
        <v>195</v>
      </c>
      <c r="B368">
        <v>2015</v>
      </c>
      <c r="C368">
        <f>IF(A369=Estimates_of_the_use_of_water__2000_2020[[#This Row],[name]], B369-Estimates_of_the_use_of_water__2000_2020[[#This Row],[year]],"")</f>
        <v>5</v>
      </c>
      <c r="D368">
        <v>14578.450199999999</v>
      </c>
      <c r="E368">
        <v>45.86200333</v>
      </c>
      <c r="F368">
        <v>78.602093620000005</v>
      </c>
      <c r="G368">
        <f>((F369-Estimates_of_the_use_of_water__2000_2020[[#This Row],[wat_bas_n]])/(B369-Estimates_of_the_use_of_water__2000_2020[[#This Row],[year]]))</f>
        <v>1.2606288339999991</v>
      </c>
      <c r="H368">
        <f>((N369-Estimates_of_the_use_of_water__2000_2020[[#This Row],[wat_bas_r]])/(B369-Estimates_of_the_use_of_water__2000_2020[[#This Row],[year]]))</f>
        <v>1.8603453279999997</v>
      </c>
      <c r="I368">
        <f>(R369-Estimates_of_the_use_of_water__2000_2020[[#This Row],[wat_bas_u]])/(B369-Estimates_of_the_use_of_water__2000_2020[[#This Row],[year]])</f>
        <v>0.35480063599999878</v>
      </c>
      <c r="J368">
        <f>ABS(Estimates_of_the_use_of_water__2000_2020[[#This Row],[ARC_r]]-Estimates_of_the_use_of_water__2000_2020[[#This Row],[ARC_u]])</f>
        <v>1.5055446920000009</v>
      </c>
      <c r="K368">
        <v>3.3921456349999999</v>
      </c>
      <c r="L368">
        <v>17.594913179999999</v>
      </c>
      <c r="M368">
        <v>0.41084756459999999</v>
      </c>
      <c r="N368">
        <v>65.941201559999996</v>
      </c>
      <c r="O368">
        <v>5.2534118540000003</v>
      </c>
      <c r="P368">
        <v>28.079192549999998</v>
      </c>
      <c r="Q368">
        <v>0.72619403689999995</v>
      </c>
      <c r="R368">
        <v>93.547697760000005</v>
      </c>
      <c r="S368">
        <v>1.195005973</v>
      </c>
      <c r="T368">
        <v>5.2187007940000001</v>
      </c>
      <c r="U368">
        <v>3.8595473790000001E-2</v>
      </c>
    </row>
    <row r="369" spans="1:21" x14ac:dyDescent="0.25">
      <c r="A369" s="1" t="s">
        <v>195</v>
      </c>
      <c r="B369">
        <v>2020</v>
      </c>
      <c r="C369" t="str">
        <f>IF(A370=Estimates_of_the_use_of_water__2000_2020[[#This Row],[name]], B370-Estimates_of_the_use_of_water__2000_2020[[#This Row],[year]],"")</f>
        <v/>
      </c>
      <c r="D369">
        <v>16743.929690000001</v>
      </c>
      <c r="E369">
        <v>48.122001650000001</v>
      </c>
      <c r="F369">
        <v>84.905237790000001</v>
      </c>
      <c r="G369">
        <f>((F370-Estimates_of_the_use_of_water__2000_2020[[#This Row],[wat_bas_n]])/(B370-Estimates_of_the_use_of_water__2000_2020[[#This Row],[year]]))</f>
        <v>-1.6962439020000004</v>
      </c>
      <c r="H369">
        <f>((N370-Estimates_of_the_use_of_water__2000_2020[[#This Row],[wat_bas_r]])/(B370-Estimates_of_the_use_of_water__2000_2020[[#This Row],[year]]))</f>
        <v>-3.8961201700000005</v>
      </c>
      <c r="I369">
        <f>(R370-Estimates_of_the_use_of_water__2000_2020[[#This Row],[wat_bas_u]])/(B370-Estimates_of_the_use_of_water__2000_2020[[#This Row],[year]])</f>
        <v>0.59976644999999851</v>
      </c>
      <c r="J369">
        <f>ABS(Estimates_of_the_use_of_water__2000_2020[[#This Row],[ARC_r]]-Estimates_of_the_use_of_water__2000_2020[[#This Row],[ARC_u]])</f>
        <v>4.4958866199999994</v>
      </c>
      <c r="K369">
        <v>2.3872175090000001</v>
      </c>
      <c r="L369">
        <v>12.60781566</v>
      </c>
      <c r="M369">
        <v>9.9729040419999998E-2</v>
      </c>
      <c r="N369">
        <v>75.242928199999994</v>
      </c>
      <c r="O369">
        <v>4.052382433</v>
      </c>
      <c r="P369">
        <v>20.512451739999999</v>
      </c>
      <c r="Q369">
        <v>0.1922376314</v>
      </c>
      <c r="R369">
        <v>95.321700939999999</v>
      </c>
      <c r="S369">
        <v>0.59208365669999996</v>
      </c>
      <c r="T369">
        <v>4.0862154019999997</v>
      </c>
      <c r="U369">
        <v>0</v>
      </c>
    </row>
    <row r="370" spans="1:21" x14ac:dyDescent="0.25">
      <c r="A370" s="1" t="s">
        <v>153</v>
      </c>
      <c r="B370">
        <v>2015</v>
      </c>
      <c r="C370">
        <f>IF(A371=Estimates_of_the_use_of_water__2000_2020[[#This Row],[name]], B371-Estimates_of_the_use_of_water__2000_2020[[#This Row],[year]],"")</f>
        <v>5</v>
      </c>
      <c r="D370">
        <v>8876.7773440000001</v>
      </c>
      <c r="E370">
        <v>55.695999149999999</v>
      </c>
      <c r="F370">
        <v>93.386457300000004</v>
      </c>
      <c r="G370">
        <f>((F371-Estimates_of_the_use_of_water__2000_2020[[#This Row],[wat_bas_n]])/(B371-Estimates_of_the_use_of_water__2000_2020[[#This Row],[year]]))</f>
        <v>0.38181440399999927</v>
      </c>
      <c r="H370">
        <f>((N371-Estimates_of_the_use_of_water__2000_2020[[#This Row],[wat_bas_r]])/(B371-Estimates_of_the_use_of_water__2000_2020[[#This Row],[year]]))</f>
        <v>0.22428914000000191</v>
      </c>
      <c r="I370">
        <f>(R371-Estimates_of_the_use_of_water__2000_2020[[#This Row],[wat_bas_u]])/(B371-Estimates_of_the_use_of_water__2000_2020[[#This Row],[year]])</f>
        <v>0.50974023999999929</v>
      </c>
      <c r="J370">
        <f>ABS(Estimates_of_the_use_of_water__2000_2020[[#This Row],[ARC_r]]-Estimates_of_the_use_of_water__2000_2020[[#This Row],[ARC_u]])</f>
        <v>0.2854510999999974</v>
      </c>
      <c r="K370">
        <v>6.1120960520000001</v>
      </c>
      <c r="L370">
        <v>0.48354363439999998</v>
      </c>
      <c r="M370">
        <v>1.7903015790000001E-2</v>
      </c>
      <c r="N370">
        <v>94.723529049999996</v>
      </c>
      <c r="O370">
        <v>4.6004382010000002</v>
      </c>
      <c r="P370">
        <v>0.63562326859999996</v>
      </c>
      <c r="Q370">
        <v>4.0409477999999999E-2</v>
      </c>
      <c r="R370">
        <v>92.322868690000007</v>
      </c>
      <c r="S370">
        <v>7.3145611089999996</v>
      </c>
      <c r="T370">
        <v>0.36257019709999999</v>
      </c>
      <c r="U370">
        <v>0</v>
      </c>
    </row>
    <row r="371" spans="1:21" x14ac:dyDescent="0.25">
      <c r="A371" s="1" t="s">
        <v>153</v>
      </c>
      <c r="B371">
        <v>2020</v>
      </c>
      <c r="C371" t="str">
        <f>IF(A372=Estimates_of_the_use_of_water__2000_2020[[#This Row],[name]], B372-Estimates_of_the_use_of_water__2000_2020[[#This Row],[year]],"")</f>
        <v/>
      </c>
      <c r="D371">
        <v>8737.3701170000004</v>
      </c>
      <c r="E371">
        <v>56.445999149999999</v>
      </c>
      <c r="F371">
        <v>95.29552932</v>
      </c>
      <c r="G371">
        <f>((F372-Estimates_of_the_use_of_water__2000_2020[[#This Row],[wat_bas_n]])/(B372-Estimates_of_the_use_of_water__2000_2020[[#This Row],[year]]))</f>
        <v>-0.1910724359999989</v>
      </c>
      <c r="H371">
        <f>((N372-Estimates_of_the_use_of_water__2000_2020[[#This Row],[wat_bas_r]])/(B372-Estimates_of_the_use_of_water__2000_2020[[#This Row],[year]]))</f>
        <v>19.168994950000002</v>
      </c>
      <c r="I371">
        <f>(R372-Estimates_of_the_use_of_water__2000_2020[[#This Row],[wat_bas_u]])/(B372-Estimates_of_the_use_of_water__2000_2020[[#This Row],[year]])</f>
        <v>18.974313978000001</v>
      </c>
      <c r="J371">
        <f>ABS(Estimates_of_the_use_of_water__2000_2020[[#This Row],[ARC_r]]-Estimates_of_the_use_of_water__2000_2020[[#This Row],[ARC_u]])</f>
        <v>0.19468097200000045</v>
      </c>
      <c r="K371">
        <v>4.244199279</v>
      </c>
      <c r="L371">
        <v>0.44372047780000001</v>
      </c>
      <c r="M371">
        <v>1.6550926470000001E-2</v>
      </c>
      <c r="N371">
        <v>95.844974750000006</v>
      </c>
      <c r="O371">
        <v>3.545864028</v>
      </c>
      <c r="P371">
        <v>0.57116028659999996</v>
      </c>
      <c r="Q371">
        <v>3.8000931410000001E-2</v>
      </c>
      <c r="R371">
        <v>94.871569890000004</v>
      </c>
      <c r="S371">
        <v>4.7830378649999998</v>
      </c>
      <c r="T371">
        <v>0.3453922445</v>
      </c>
      <c r="U371">
        <v>0</v>
      </c>
    </row>
    <row r="372" spans="1:21" x14ac:dyDescent="0.25">
      <c r="A372" s="1" t="s">
        <v>137</v>
      </c>
      <c r="B372">
        <v>2015</v>
      </c>
      <c r="C372">
        <f>IF(A373=Estimates_of_the_use_of_water__2000_2020[[#This Row],[name]], B373-Estimates_of_the_use_of_water__2000_2020[[#This Row],[year]],"")</f>
        <v>4</v>
      </c>
      <c r="D372">
        <v>94.981002810000007</v>
      </c>
      <c r="E372">
        <v>55.400001529999997</v>
      </c>
      <c r="F372">
        <v>96.250891499999994</v>
      </c>
      <c r="G372">
        <f>((F373-Estimates_of_the_use_of_water__2000_2020[[#This Row],[wat_bas_n]])/(B373-Estimates_of_the_use_of_water__2000_2020[[#This Row],[year]]))</f>
        <v>0.15021384750000166</v>
      </c>
      <c r="H372">
        <f>((N373-Estimates_of_the_use_of_water__2000_2020[[#This Row],[wat_bas_r]])/(B373-Estimates_of_the_use_of_water__2000_2020[[#This Row],[year]]))</f>
        <v>0</v>
      </c>
      <c r="I372">
        <f>(R373-Estimates_of_the_use_of_water__2000_2020[[#This Row],[wat_bas_u]])/(B373-Estimates_of_the_use_of_water__2000_2020[[#This Row],[year]])</f>
        <v>0</v>
      </c>
      <c r="J372">
        <f>ABS(Estimates_of_the_use_of_water__2000_2020[[#This Row],[ARC_r]]-Estimates_of_the_use_of_water__2000_2020[[#This Row],[ARC_u]])</f>
        <v>0</v>
      </c>
      <c r="K372">
        <v>0</v>
      </c>
      <c r="L372">
        <v>0</v>
      </c>
      <c r="M372">
        <v>3.7491085019999999</v>
      </c>
    </row>
    <row r="373" spans="1:21" x14ac:dyDescent="0.25">
      <c r="A373" s="1" t="s">
        <v>137</v>
      </c>
      <c r="B373">
        <v>2019</v>
      </c>
      <c r="C373" t="str">
        <f>IF(A374=Estimates_of_the_use_of_water__2000_2020[[#This Row],[name]], B374-Estimates_of_the_use_of_water__2000_2020[[#This Row],[year]],"")</f>
        <v/>
      </c>
      <c r="D373">
        <v>97.740997309999997</v>
      </c>
      <c r="E373">
        <v>57.119003300000003</v>
      </c>
      <c r="F373">
        <v>96.851746890000001</v>
      </c>
      <c r="G373">
        <f>((F374-Estimates_of_the_use_of_water__2000_2020[[#This Row],[wat_bas_n]])/(B374-Estimates_of_the_use_of_water__2000_2020[[#This Row],[year]]))</f>
        <v>9.7510704325000006</v>
      </c>
      <c r="H373">
        <f>((N374-Estimates_of_the_use_of_water__2000_2020[[#This Row],[wat_bas_r]])/(B374-Estimates_of_the_use_of_water__2000_2020[[#This Row],[year]]))</f>
        <v>-11.38242846</v>
      </c>
      <c r="I373">
        <f>(R374-Estimates_of_the_use_of_water__2000_2020[[#This Row],[wat_bas_u]])/(B374-Estimates_of_the_use_of_water__2000_2020[[#This Row],[year]])</f>
        <v>-18.924709395000001</v>
      </c>
      <c r="J373">
        <f>ABS(Estimates_of_the_use_of_water__2000_2020[[#This Row],[ARC_r]]-Estimates_of_the_use_of_water__2000_2020[[#This Row],[ARC_u]])</f>
        <v>7.5422809350000009</v>
      </c>
      <c r="K373">
        <v>0</v>
      </c>
      <c r="L373">
        <v>3.1482531090000001</v>
      </c>
    </row>
    <row r="374" spans="1:21" x14ac:dyDescent="0.25">
      <c r="A374" s="1" t="s">
        <v>225</v>
      </c>
      <c r="B374">
        <v>2015</v>
      </c>
      <c r="C374">
        <f>IF(A375=Estimates_of_the_use_of_water__2000_2020[[#This Row],[name]], B375-Estimates_of_the_use_of_water__2000_2020[[#This Row],[year]],"")</f>
        <v>5</v>
      </c>
      <c r="D374">
        <v>7171.9091799999997</v>
      </c>
      <c r="E374">
        <v>40.828998570000003</v>
      </c>
      <c r="F374">
        <v>57.847465159999999</v>
      </c>
      <c r="G374">
        <f>((F375-Estimates_of_the_use_of_water__2000_2020[[#This Row],[wat_bas_n]])/(B375-Estimates_of_the_use_of_water__2000_2020[[#This Row],[year]]))</f>
        <v>1.1837640919999999</v>
      </c>
      <c r="H374">
        <f>((N375-Estimates_of_the_use_of_water__2000_2020[[#This Row],[wat_bas_r]])/(B375-Estimates_of_the_use_of_water__2000_2020[[#This Row],[year]]))</f>
        <v>1.4445977659999998</v>
      </c>
      <c r="I374">
        <f>(R375-Estimates_of_the_use_of_water__2000_2020[[#This Row],[wat_bas_u]])/(B375-Estimates_of_the_use_of_water__2000_2020[[#This Row],[year]])</f>
        <v>0.54256001599999881</v>
      </c>
      <c r="J374">
        <f>ABS(Estimates_of_the_use_of_water__2000_2020[[#This Row],[ARC_r]]-Estimates_of_the_use_of_water__2000_2020[[#This Row],[ARC_u]])</f>
        <v>0.90203775000000097</v>
      </c>
      <c r="K374">
        <v>8.1969579570000004</v>
      </c>
      <c r="L374">
        <v>15.91095456</v>
      </c>
      <c r="M374">
        <v>18.044622319999998</v>
      </c>
      <c r="N374">
        <v>45.529713839999999</v>
      </c>
      <c r="O374">
        <v>4.8404944719999996</v>
      </c>
      <c r="P374">
        <v>21.716961430000001</v>
      </c>
      <c r="Q374">
        <v>27.912830270000001</v>
      </c>
      <c r="R374">
        <v>75.698837580000003</v>
      </c>
      <c r="S374">
        <v>13.06127759</v>
      </c>
      <c r="T374">
        <v>7.4966597610000001</v>
      </c>
      <c r="U374">
        <v>3.7432250680000001</v>
      </c>
    </row>
    <row r="375" spans="1:21" x14ac:dyDescent="0.25">
      <c r="A375" s="1" t="s">
        <v>225</v>
      </c>
      <c r="B375">
        <v>2020</v>
      </c>
      <c r="C375" t="str">
        <f>IF(A376=Estimates_of_the_use_of_water__2000_2020[[#This Row],[name]], B376-Estimates_of_the_use_of_water__2000_2020[[#This Row],[year]],"")</f>
        <v/>
      </c>
      <c r="D375">
        <v>7976.9848629999997</v>
      </c>
      <c r="E375">
        <v>42.923000340000002</v>
      </c>
      <c r="F375">
        <v>63.766285619999998</v>
      </c>
      <c r="G375">
        <f>((F376-Estimates_of_the_use_of_water__2000_2020[[#This Row],[wat_bas_n]])/(B376-Estimates_of_the_use_of_water__2000_2020[[#This Row],[year]]))</f>
        <v>-7.2467428760000008</v>
      </c>
      <c r="H375">
        <f>((N376-Estimates_of_the_use_of_water__2000_2020[[#This Row],[wat_bas_r]])/(B376-Estimates_of_the_use_of_water__2000_2020[[#This Row],[year]]))</f>
        <v>10.550540534</v>
      </c>
      <c r="I375">
        <f>(R376-Estimates_of_the_use_of_water__2000_2020[[#This Row],[wat_bas_u]])/(B376-Estimates_of_the_use_of_water__2000_2020[[#This Row],[year]])</f>
        <v>-4.3176724680000005</v>
      </c>
      <c r="J375">
        <f>ABS(Estimates_of_the_use_of_water__2000_2020[[#This Row],[ARC_r]]-Estimates_of_the_use_of_water__2000_2020[[#This Row],[ARC_u]])</f>
        <v>14.868213002000001</v>
      </c>
      <c r="K375">
        <v>9.0233163570000006</v>
      </c>
      <c r="L375">
        <v>15.5639457</v>
      </c>
      <c r="M375">
        <v>11.646452330000001</v>
      </c>
      <c r="N375">
        <v>52.752702669999998</v>
      </c>
      <c r="O375">
        <v>5.2211368890000003</v>
      </c>
      <c r="P375">
        <v>23.142949089999998</v>
      </c>
      <c r="Q375">
        <v>18.88321135</v>
      </c>
      <c r="R375">
        <v>78.411637659999997</v>
      </c>
      <c r="S375">
        <v>14.079277429999999</v>
      </c>
      <c r="T375">
        <v>5.4857354369999998</v>
      </c>
      <c r="U375">
        <v>2.0233494749999998</v>
      </c>
    </row>
    <row r="376" spans="1:21" x14ac:dyDescent="0.25">
      <c r="A376" s="1" t="s">
        <v>46</v>
      </c>
      <c r="B376">
        <v>2015</v>
      </c>
      <c r="C376">
        <f>IF(A377=Estimates_of_the_use_of_water__2000_2020[[#This Row],[name]], B377-Estimates_of_the_use_of_water__2000_2020[[#This Row],[year]],"")</f>
        <v>5</v>
      </c>
      <c r="D376">
        <v>5592.1430659999996</v>
      </c>
      <c r="E376">
        <v>100</v>
      </c>
      <c r="F376">
        <v>100</v>
      </c>
      <c r="G376">
        <f>((F377-Estimates_of_the_use_of_water__2000_2020[[#This Row],[wat_bas_n]])/(B377-Estimates_of_the_use_of_water__2000_2020[[#This Row],[year]]))</f>
        <v>0</v>
      </c>
      <c r="H376">
        <f>((N377-Estimates_of_the_use_of_water__2000_2020[[#This Row],[wat_bas_r]])/(B377-Estimates_of_the_use_of_water__2000_2020[[#This Row],[year]]))</f>
        <v>0</v>
      </c>
      <c r="I376">
        <f>(R377-Estimates_of_the_use_of_water__2000_2020[[#This Row],[wat_bas_u]])/(B377-Estimates_of_the_use_of_water__2000_2020[[#This Row],[year]])</f>
        <v>0</v>
      </c>
      <c r="J376">
        <f>ABS(Estimates_of_the_use_of_water__2000_2020[[#This Row],[ARC_r]]-Estimates_of_the_use_of_water__2000_2020[[#This Row],[ARC_u]])</f>
        <v>0</v>
      </c>
      <c r="K376">
        <v>0</v>
      </c>
      <c r="L376">
        <v>0</v>
      </c>
      <c r="M376">
        <v>0</v>
      </c>
      <c r="R376">
        <v>100</v>
      </c>
      <c r="S376">
        <v>0</v>
      </c>
      <c r="T376">
        <v>0</v>
      </c>
      <c r="U376">
        <v>0</v>
      </c>
    </row>
    <row r="377" spans="1:21" x14ac:dyDescent="0.25">
      <c r="A377" s="1" t="s">
        <v>46</v>
      </c>
      <c r="B377">
        <v>2020</v>
      </c>
      <c r="C377" t="str">
        <f>IF(A378=Estimates_of_the_use_of_water__2000_2020[[#This Row],[name]], B378-Estimates_of_the_use_of_water__2000_2020[[#This Row],[year]],"")</f>
        <v/>
      </c>
      <c r="D377">
        <v>5850.3427730000003</v>
      </c>
      <c r="E377">
        <v>100</v>
      </c>
      <c r="F377">
        <v>100</v>
      </c>
      <c r="G377">
        <f>((F378-Estimates_of_the_use_of_water__2000_2020[[#This Row],[wat_bas_n]])/(B378-Estimates_of_the_use_of_water__2000_2020[[#This Row],[year]]))</f>
        <v>0.93776413399999969</v>
      </c>
      <c r="H377">
        <f>((N378-Estimates_of_the_use_of_water__2000_2020[[#This Row],[wat_bas_r]])/(B378-Estimates_of_the_use_of_water__2000_2020[[#This Row],[year]]))</f>
        <v>0</v>
      </c>
      <c r="I377">
        <f>(R378-Estimates_of_the_use_of_water__2000_2020[[#This Row],[wat_bas_u]])/(B378-Estimates_of_the_use_of_water__2000_2020[[#This Row],[year]])</f>
        <v>0.93776413399999969</v>
      </c>
      <c r="J377">
        <f>ABS(Estimates_of_the_use_of_water__2000_2020[[#This Row],[ARC_r]]-Estimates_of_the_use_of_water__2000_2020[[#This Row],[ARC_u]])</f>
        <v>0.93776413399999969</v>
      </c>
      <c r="K377">
        <v>0</v>
      </c>
      <c r="L377">
        <v>0</v>
      </c>
      <c r="M377">
        <v>0</v>
      </c>
      <c r="R377">
        <v>100</v>
      </c>
      <c r="S377">
        <v>0</v>
      </c>
      <c r="T377">
        <v>0</v>
      </c>
      <c r="U377">
        <v>0</v>
      </c>
    </row>
    <row r="378" spans="1:21" x14ac:dyDescent="0.25">
      <c r="A378" s="1" t="s">
        <v>151</v>
      </c>
      <c r="B378">
        <v>2015</v>
      </c>
      <c r="C378">
        <f>IF(A379=Estimates_of_the_use_of_water__2000_2020[[#This Row],[name]], B379-Estimates_of_the_use_of_water__2000_2020[[#This Row],[year]],"")</f>
        <v>2</v>
      </c>
      <c r="D378">
        <v>39.966999049999998</v>
      </c>
      <c r="E378">
        <v>100</v>
      </c>
      <c r="F378">
        <v>95.311179330000002</v>
      </c>
      <c r="G378">
        <f>((F379-Estimates_of_the_use_of_water__2000_2020[[#This Row],[wat_bas_n]])/(B379-Estimates_of_the_use_of_water__2000_2020[[#This Row],[year]]))</f>
        <v>0</v>
      </c>
      <c r="H378">
        <f>((N379-Estimates_of_the_use_of_water__2000_2020[[#This Row],[wat_bas_r]])/(B379-Estimates_of_the_use_of_water__2000_2020[[#This Row],[year]]))</f>
        <v>0</v>
      </c>
      <c r="I378">
        <f>(R379-Estimates_of_the_use_of_water__2000_2020[[#This Row],[wat_bas_u]])/(B379-Estimates_of_the_use_of_water__2000_2020[[#This Row],[year]])</f>
        <v>0</v>
      </c>
      <c r="J378">
        <f>ABS(Estimates_of_the_use_of_water__2000_2020[[#This Row],[ARC_r]]-Estimates_of_the_use_of_water__2000_2020[[#This Row],[ARC_u]])</f>
        <v>0</v>
      </c>
      <c r="K378">
        <v>0</v>
      </c>
      <c r="L378">
        <v>4.6888206700000001</v>
      </c>
      <c r="M378">
        <v>0</v>
      </c>
      <c r="R378">
        <v>95.311179330000002</v>
      </c>
      <c r="S378">
        <v>0</v>
      </c>
      <c r="T378">
        <v>4.6888206700000001</v>
      </c>
      <c r="U378">
        <v>0</v>
      </c>
    </row>
    <row r="379" spans="1:21" x14ac:dyDescent="0.25">
      <c r="A379" s="1" t="s">
        <v>151</v>
      </c>
      <c r="B379">
        <v>2017</v>
      </c>
      <c r="C379" t="str">
        <f>IF(A380=Estimates_of_the_use_of_water__2000_2020[[#This Row],[name]], B380-Estimates_of_the_use_of_water__2000_2020[[#This Row],[year]],"")</f>
        <v/>
      </c>
      <c r="D379">
        <v>41.444000240000001</v>
      </c>
      <c r="E379">
        <v>100</v>
      </c>
      <c r="F379">
        <v>95.311179330000002</v>
      </c>
      <c r="G379">
        <f>((F380-Estimates_of_the_use_of_water__2000_2020[[#This Row],[wat_bas_n]])/(B380-Estimates_of_the_use_of_water__2000_2020[[#This Row],[year]]))</f>
        <v>-2.2380049</v>
      </c>
      <c r="H379">
        <f>((N380-Estimates_of_the_use_of_water__2000_2020[[#This Row],[wat_bas_r]])/(B380-Estimates_of_the_use_of_water__2000_2020[[#This Row],[year]]))</f>
        <v>-50</v>
      </c>
      <c r="I379">
        <f>(R380-Estimates_of_the_use_of_water__2000_2020[[#This Row],[wat_bas_u]])/(B380-Estimates_of_the_use_of_water__2000_2020[[#This Row],[year]])</f>
        <v>-2.1469573649999987</v>
      </c>
      <c r="J379">
        <f>ABS(Estimates_of_the_use_of_water__2000_2020[[#This Row],[ARC_r]]-Estimates_of_the_use_of_water__2000_2020[[#This Row],[ARC_u]])</f>
        <v>47.853042635000001</v>
      </c>
      <c r="K379">
        <v>0</v>
      </c>
      <c r="L379">
        <v>4.6888206700000001</v>
      </c>
      <c r="M379">
        <v>0</v>
      </c>
      <c r="R379">
        <v>95.311179330000002</v>
      </c>
      <c r="S379">
        <v>0</v>
      </c>
      <c r="T379">
        <v>4.6888206700000001</v>
      </c>
      <c r="U379">
        <v>0</v>
      </c>
    </row>
    <row r="380" spans="1:21" x14ac:dyDescent="0.25">
      <c r="A380" s="1" t="s">
        <v>81</v>
      </c>
      <c r="B380">
        <v>2015</v>
      </c>
      <c r="C380">
        <f>IF(A381=Estimates_of_the_use_of_water__2000_2020[[#This Row],[name]], B381-Estimates_of_the_use_of_water__2000_2020[[#This Row],[year]],"")</f>
        <v>5</v>
      </c>
      <c r="D380">
        <v>5435.6137699999999</v>
      </c>
      <c r="E380">
        <v>53.888999939999998</v>
      </c>
      <c r="F380">
        <v>99.787189130000002</v>
      </c>
      <c r="G380">
        <f>((F381-Estimates_of_the_use_of_water__2000_2020[[#This Row],[wat_bas_n]])/(B381-Estimates_of_the_use_of_water__2000_2020[[#This Row],[year]]))</f>
        <v>1.018899999991163E-4</v>
      </c>
      <c r="H380">
        <f>((N381-Estimates_of_the_use_of_water__2000_2020[[#This Row],[wat_bas_r]])/(B381-Estimates_of_the_use_of_water__2000_2020[[#This Row],[year]]))</f>
        <v>0</v>
      </c>
      <c r="I380">
        <f>(R381-Estimates_of_the_use_of_water__2000_2020[[#This Row],[wat_bas_u]])/(B381-Estimates_of_the_use_of_water__2000_2020[[#This Row],[year]])</f>
        <v>0</v>
      </c>
      <c r="J380">
        <f>ABS(Estimates_of_the_use_of_water__2000_2020[[#This Row],[ARC_r]]-Estimates_of_the_use_of_water__2000_2020[[#This Row],[ARC_u]])</f>
        <v>0</v>
      </c>
      <c r="K380">
        <v>0.21281086739999999</v>
      </c>
      <c r="L380">
        <v>0</v>
      </c>
      <c r="M380">
        <v>0</v>
      </c>
      <c r="N380">
        <v>100</v>
      </c>
      <c r="O380">
        <v>0</v>
      </c>
      <c r="P380">
        <v>0</v>
      </c>
      <c r="Q380">
        <v>0</v>
      </c>
      <c r="R380">
        <v>99.605094059999999</v>
      </c>
      <c r="S380">
        <v>0.39490593740000002</v>
      </c>
      <c r="T380">
        <v>0</v>
      </c>
      <c r="U380">
        <v>0</v>
      </c>
    </row>
    <row r="381" spans="1:21" x14ac:dyDescent="0.25">
      <c r="A381" s="1" t="s">
        <v>81</v>
      </c>
      <c r="B381">
        <v>2020</v>
      </c>
      <c r="C381" t="str">
        <f>IF(A382=Estimates_of_the_use_of_water__2000_2020[[#This Row],[name]], B382-Estimates_of_the_use_of_water__2000_2020[[#This Row],[year]],"")</f>
        <v/>
      </c>
      <c r="D381">
        <v>5459.6430659999996</v>
      </c>
      <c r="E381">
        <v>53.759998320000001</v>
      </c>
      <c r="F381">
        <v>99.787698579999997</v>
      </c>
      <c r="G381">
        <f>((F382-Estimates_of_the_use_of_water__2000_2020[[#This Row],[wat_bas_n]])/(B382-Estimates_of_the_use_of_water__2000_2020[[#This Row],[year]]))</f>
        <v>5.7539715999999429E-2</v>
      </c>
      <c r="H381">
        <f>((N382-Estimates_of_the_use_of_water__2000_2020[[#This Row],[wat_bas_r]])/(B382-Estimates_of_the_use_of_water__2000_2020[[#This Row],[year]]))</f>
        <v>20</v>
      </c>
      <c r="I381">
        <f>(R382-Estimates_of_the_use_of_water__2000_2020[[#This Row],[wat_bas_u]])/(B382-Estimates_of_the_use_of_water__2000_2020[[#This Row],[year]])</f>
        <v>19.921018812</v>
      </c>
      <c r="J381">
        <f>ABS(Estimates_of_the_use_of_water__2000_2020[[#This Row],[ARC_r]]-Estimates_of_the_use_of_water__2000_2020[[#This Row],[ARC_u]])</f>
        <v>7.8981188000000202E-2</v>
      </c>
      <c r="K381">
        <v>0.2123014241</v>
      </c>
      <c r="L381">
        <v>0</v>
      </c>
      <c r="M381">
        <v>0</v>
      </c>
      <c r="N381">
        <v>100</v>
      </c>
      <c r="O381">
        <v>0</v>
      </c>
      <c r="P381">
        <v>0</v>
      </c>
      <c r="Q381">
        <v>0</v>
      </c>
      <c r="R381">
        <v>99.605094059999999</v>
      </c>
      <c r="S381">
        <v>0.39490593740000002</v>
      </c>
      <c r="T381">
        <v>0</v>
      </c>
      <c r="U381">
        <v>0</v>
      </c>
    </row>
    <row r="382" spans="1:21" x14ac:dyDescent="0.25">
      <c r="A382" s="1" t="s">
        <v>91</v>
      </c>
      <c r="B382">
        <v>2015</v>
      </c>
      <c r="C382">
        <f>IF(A383=Estimates_of_the_use_of_water__2000_2020[[#This Row],[name]], B383-Estimates_of_the_use_of_water__2000_2020[[#This Row],[year]],"")</f>
        <v>5</v>
      </c>
      <c r="D382">
        <v>2071.1989749999998</v>
      </c>
      <c r="E382">
        <v>53.78100586</v>
      </c>
      <c r="F382">
        <v>99.5</v>
      </c>
      <c r="G382">
        <f>((F383-Estimates_of_the_use_of_water__2000_2020[[#This Row],[wat_bas_n]])/(B383-Estimates_of_the_use_of_water__2000_2020[[#This Row],[year]]))</f>
        <v>0</v>
      </c>
      <c r="H382">
        <f>((N383-Estimates_of_the_use_of_water__2000_2020[[#This Row],[wat_bas_r]])/(B383-Estimates_of_the_use_of_water__2000_2020[[#This Row],[year]]))</f>
        <v>0</v>
      </c>
      <c r="I382">
        <f>(R383-Estimates_of_the_use_of_water__2000_2020[[#This Row],[wat_bas_u]])/(B383-Estimates_of_the_use_of_water__2000_2020[[#This Row],[year]])</f>
        <v>0</v>
      </c>
      <c r="J382">
        <f>ABS(Estimates_of_the_use_of_water__2000_2020[[#This Row],[ARC_r]]-Estimates_of_the_use_of_water__2000_2020[[#This Row],[ARC_u]])</f>
        <v>0</v>
      </c>
      <c r="K382">
        <v>0</v>
      </c>
      <c r="L382">
        <v>0.5</v>
      </c>
      <c r="M382">
        <v>0</v>
      </c>
    </row>
    <row r="383" spans="1:21" x14ac:dyDescent="0.25">
      <c r="A383" s="1" t="s">
        <v>91</v>
      </c>
      <c r="B383">
        <v>2020</v>
      </c>
      <c r="C383" t="str">
        <f>IF(A384=Estimates_of_the_use_of_water__2000_2020[[#This Row],[name]], B384-Estimates_of_the_use_of_water__2000_2020[[#This Row],[year]],"")</f>
        <v/>
      </c>
      <c r="D383">
        <v>2078.931885</v>
      </c>
      <c r="E383">
        <v>55.118003850000001</v>
      </c>
      <c r="F383">
        <v>99.5</v>
      </c>
      <c r="G383">
        <f>((F384-Estimates_of_the_use_of_water__2000_2020[[#This Row],[wat_bas_n]])/(B384-Estimates_of_the_use_of_water__2000_2020[[#This Row],[year]]))</f>
        <v>6.034016222</v>
      </c>
      <c r="H383">
        <f>((N384-Estimates_of_the_use_of_water__2000_2020[[#This Row],[wat_bas_r]])/(B384-Estimates_of_the_use_of_water__2000_2020[[#This Row],[year]]))</f>
        <v>-12.602427638</v>
      </c>
      <c r="I383">
        <f>(R384-Estimates_of_the_use_of_water__2000_2020[[#This Row],[wat_bas_u]])/(B384-Estimates_of_the_use_of_water__2000_2020[[#This Row],[year]])</f>
        <v>-18.253394410000002</v>
      </c>
      <c r="J383">
        <f>ABS(Estimates_of_the_use_of_water__2000_2020[[#This Row],[ARC_r]]-Estimates_of_the_use_of_water__2000_2020[[#This Row],[ARC_u]])</f>
        <v>5.6509667720000021</v>
      </c>
      <c r="K383">
        <v>0</v>
      </c>
      <c r="L383">
        <v>0.5</v>
      </c>
      <c r="M383">
        <v>0</v>
      </c>
    </row>
    <row r="384" spans="1:21" x14ac:dyDescent="0.25">
      <c r="A384" s="1" t="s">
        <v>216</v>
      </c>
      <c r="B384">
        <v>2015</v>
      </c>
      <c r="C384">
        <f>IF(A385=Estimates_of_the_use_of_water__2000_2020[[#This Row],[name]], B385-Estimates_of_the_use_of_water__2000_2020[[#This Row],[year]],"")</f>
        <v>5</v>
      </c>
      <c r="D384">
        <v>603.13299559999996</v>
      </c>
      <c r="E384">
        <v>22.359998699999998</v>
      </c>
      <c r="F384">
        <v>69.329918890000002</v>
      </c>
      <c r="G384">
        <f>((F385-Estimates_of_the_use_of_water__2000_2020[[#This Row],[wat_bas_n]])/(B385-Estimates_of_the_use_of_water__2000_2020[[#This Row],[year]]))</f>
        <v>-0.40577867000000084</v>
      </c>
      <c r="H384">
        <f>((N385-Estimates_of_the_use_of_water__2000_2020[[#This Row],[wat_bas_r]])/(B385-Estimates_of_the_use_of_water__2000_2020[[#This Row],[year]]))</f>
        <v>-0.72137414000000033</v>
      </c>
      <c r="I384">
        <f>(R385-Estimates_of_the_use_of_water__2000_2020[[#This Row],[wat_bas_u]])/(B385-Estimates_of_the_use_of_water__2000_2020[[#This Row],[year]])</f>
        <v>2.8760967999997434E-2</v>
      </c>
      <c r="J384">
        <f>ABS(Estimates_of_the_use_of_water__2000_2020[[#This Row],[ARC_r]]-Estimates_of_the_use_of_water__2000_2020[[#This Row],[ARC_u]])</f>
        <v>0.75013510799999772</v>
      </c>
      <c r="K384">
        <v>5.7052676340000001</v>
      </c>
      <c r="L384">
        <v>18.988981249999998</v>
      </c>
      <c r="M384">
        <v>5.9758322210000001</v>
      </c>
      <c r="N384">
        <v>63.012138190000002</v>
      </c>
      <c r="O384">
        <v>6.3384682029999997</v>
      </c>
      <c r="P384">
        <v>23.284595639999999</v>
      </c>
      <c r="Q384">
        <v>7.3647979660000003</v>
      </c>
      <c r="R384">
        <v>91.266972050000007</v>
      </c>
      <c r="S384">
        <v>3.5066230169999999</v>
      </c>
      <c r="T384">
        <v>4.0734396070000001</v>
      </c>
      <c r="U384">
        <v>1.1529653280000001</v>
      </c>
    </row>
    <row r="385" spans="1:21" x14ac:dyDescent="0.25">
      <c r="A385" s="1" t="s">
        <v>216</v>
      </c>
      <c r="B385">
        <v>2020</v>
      </c>
      <c r="C385" t="str">
        <f>IF(A386=Estimates_of_the_use_of_water__2000_2020[[#This Row],[name]], B386-Estimates_of_the_use_of_water__2000_2020[[#This Row],[year]],"")</f>
        <v/>
      </c>
      <c r="D385">
        <v>686.87799070000005</v>
      </c>
      <c r="E385">
        <v>24.670000080000001</v>
      </c>
      <c r="F385">
        <v>67.301025539999998</v>
      </c>
      <c r="G385">
        <f>((F386-Estimates_of_the_use_of_water__2000_2020[[#This Row],[wat_bas_n]])/(B386-Estimates_of_the_use_of_water__2000_2020[[#This Row],[year]]))</f>
        <v>3.7179743719999991</v>
      </c>
      <c r="H385">
        <f>((N386-Estimates_of_the_use_of_water__2000_2020[[#This Row],[wat_bas_r]])/(B386-Estimates_of_the_use_of_water__2000_2020[[#This Row],[year]]))</f>
        <v>6.0354149780000004</v>
      </c>
      <c r="I385">
        <f>(R386-Estimates_of_the_use_of_water__2000_2020[[#This Row],[wat_bas_u]])/(B386-Estimates_of_the_use_of_water__2000_2020[[#This Row],[year]])</f>
        <v>3.4260136499999989</v>
      </c>
      <c r="J385">
        <f>ABS(Estimates_of_the_use_of_water__2000_2020[[#This Row],[ARC_r]]-Estimates_of_the_use_of_water__2000_2020[[#This Row],[ARC_u]])</f>
        <v>2.6094013280000015</v>
      </c>
      <c r="K385">
        <v>5.79547831</v>
      </c>
      <c r="L385">
        <v>21.267843129999999</v>
      </c>
      <c r="M385">
        <v>5.6356530249999999</v>
      </c>
      <c r="N385">
        <v>59.40526749</v>
      </c>
      <c r="O385">
        <v>6.5285236490000003</v>
      </c>
      <c r="P385">
        <v>26.955911</v>
      </c>
      <c r="Q385">
        <v>7.1102978569999999</v>
      </c>
      <c r="R385">
        <v>91.410776889999994</v>
      </c>
      <c r="S385">
        <v>3.5571204249999999</v>
      </c>
      <c r="T385">
        <v>3.8992861369999998</v>
      </c>
      <c r="U385">
        <v>1.1328165530000001</v>
      </c>
    </row>
    <row r="386" spans="1:21" x14ac:dyDescent="0.25">
      <c r="A386" s="1" t="s">
        <v>235</v>
      </c>
      <c r="B386">
        <v>2015</v>
      </c>
      <c r="C386">
        <f>IF(A387=Estimates_of_the_use_of_water__2000_2020[[#This Row],[name]], B387-Estimates_of_the_use_of_water__2000_2020[[#This Row],[year]],"")</f>
        <v>5</v>
      </c>
      <c r="D386">
        <v>13797.204100000001</v>
      </c>
      <c r="E386">
        <v>43.245002749999998</v>
      </c>
      <c r="F386">
        <v>48.711153680000002</v>
      </c>
      <c r="G386">
        <f>((F387-Estimates_of_the_use_of_water__2000_2020[[#This Row],[wat_bas_n]])/(B387-Estimates_of_the_use_of_water__2000_2020[[#This Row],[year]]))</f>
        <v>1.553163941999999</v>
      </c>
      <c r="H386">
        <f>((N387-Estimates_of_the_use_of_water__2000_2020[[#This Row],[wat_bas_r]])/(B387-Estimates_of_the_use_of_water__2000_2020[[#This Row],[year]]))</f>
        <v>1.5695340439999996</v>
      </c>
      <c r="I386">
        <f>(R387-Estimates_of_the_use_of_water__2000_2020[[#This Row],[wat_bas_u]])/(B387-Estimates_of_the_use_of_water__2000_2020[[#This Row],[year]])</f>
        <v>0.96851942000000124</v>
      </c>
      <c r="J386">
        <f>ABS(Estimates_of_the_use_of_water__2000_2020[[#This Row],[ARC_r]]-Estimates_of_the_use_of_water__2000_2020[[#This Row],[ARC_u]])</f>
        <v>0.60101462399999839</v>
      </c>
      <c r="K386">
        <v>23.406187760000002</v>
      </c>
      <c r="L386">
        <v>20.154106760000001</v>
      </c>
      <c r="M386">
        <v>7.7285517889999999</v>
      </c>
      <c r="N386">
        <v>29.2281926</v>
      </c>
      <c r="O386">
        <v>28.887148530000001</v>
      </c>
      <c r="P386">
        <v>28.975788860000002</v>
      </c>
      <c r="Q386">
        <v>12.908870009999999</v>
      </c>
      <c r="R386">
        <v>74.28070864</v>
      </c>
      <c r="S386">
        <v>16.212941990000001</v>
      </c>
      <c r="T386">
        <v>8.5764782830000001</v>
      </c>
      <c r="U386">
        <v>0.92987109219999997</v>
      </c>
    </row>
    <row r="387" spans="1:21" x14ac:dyDescent="0.25">
      <c r="A387" s="1" t="s">
        <v>235</v>
      </c>
      <c r="B387">
        <v>2020</v>
      </c>
      <c r="C387" t="str">
        <f>IF(A388=Estimates_of_the_use_of_water__2000_2020[[#This Row],[name]], B388-Estimates_of_the_use_of_water__2000_2020[[#This Row],[year]],"")</f>
        <v/>
      </c>
      <c r="D387">
        <v>15893.21875</v>
      </c>
      <c r="E387">
        <v>46.140998840000002</v>
      </c>
      <c r="F387">
        <v>56.476973389999998</v>
      </c>
      <c r="G387">
        <f>((F388-Estimates_of_the_use_of_water__2000_2020[[#This Row],[wat_bas_n]])/(B388-Estimates_of_the_use_of_water__2000_2020[[#This Row],[year]]))</f>
        <v>-7.0798740960000002</v>
      </c>
      <c r="H387">
        <f>((N388-Estimates_of_the_use_of_water__2000_2020[[#This Row],[wat_bas_r]])/(B388-Estimates_of_the_use_of_water__2000_2020[[#This Row],[year]]))</f>
        <v>-8.3915751419999989</v>
      </c>
      <c r="I387">
        <f>(R388-Estimates_of_the_use_of_water__2000_2020[[#This Row],[wat_bas_u]])/(B388-Estimates_of_the_use_of_water__2000_2020[[#This Row],[year]])</f>
        <v>-3.9441415419999997</v>
      </c>
      <c r="J387">
        <f>ABS(Estimates_of_the_use_of_water__2000_2020[[#This Row],[ARC_r]]-Estimates_of_the_use_of_water__2000_2020[[#This Row],[ARC_u]])</f>
        <v>4.4474335999999992</v>
      </c>
      <c r="K387">
        <v>27.704199559999999</v>
      </c>
      <c r="L387">
        <v>13.41704303</v>
      </c>
      <c r="M387">
        <v>2.4017840210000001</v>
      </c>
      <c r="N387">
        <v>37.075862819999998</v>
      </c>
      <c r="O387">
        <v>36.643249580000003</v>
      </c>
      <c r="P387">
        <v>21.821495460000001</v>
      </c>
      <c r="Q387">
        <v>4.4593921429999996</v>
      </c>
      <c r="R387">
        <v>79.123305740000006</v>
      </c>
      <c r="S387">
        <v>17.269915560000001</v>
      </c>
      <c r="T387">
        <v>3.6067787029999998</v>
      </c>
      <c r="U387">
        <v>0</v>
      </c>
    </row>
    <row r="388" spans="1:21" x14ac:dyDescent="0.25">
      <c r="A388" s="1" t="s">
        <v>168</v>
      </c>
      <c r="B388">
        <v>2015</v>
      </c>
      <c r="C388">
        <f>IF(A389=Estimates_of_the_use_of_water__2000_2020[[#This Row],[name]], B389-Estimates_of_the_use_of_water__2000_2020[[#This Row],[year]],"")</f>
        <v>5</v>
      </c>
      <c r="D388">
        <v>55386.367189999997</v>
      </c>
      <c r="E388">
        <v>64.828002929999997</v>
      </c>
      <c r="F388">
        <v>91.876343869999999</v>
      </c>
      <c r="G388">
        <f>((F389-Estimates_of_the_use_of_water__2000_2020[[#This Row],[wat_bas_n]])/(B389-Estimates_of_the_use_of_water__2000_2020[[#This Row],[year]]))</f>
        <v>0.4017427139999995</v>
      </c>
      <c r="H388">
        <f>((N389-Estimates_of_the_use_of_water__2000_2020[[#This Row],[wat_bas_r]])/(B389-Estimates_of_the_use_of_water__2000_2020[[#This Row],[year]]))</f>
        <v>0.85914853000000169</v>
      </c>
      <c r="I388">
        <f>(R389-Estimates_of_the_use_of_water__2000_2020[[#This Row],[wat_bas_u]])/(B389-Estimates_of_the_use_of_water__2000_2020[[#This Row],[year]])</f>
        <v>3.1450277999999797E-2</v>
      </c>
      <c r="J388">
        <f>ABS(Estimates_of_the_use_of_water__2000_2020[[#This Row],[ARC_r]]-Estimates_of_the_use_of_water__2000_2020[[#This Row],[ARC_u]])</f>
        <v>0.82769825200000191</v>
      </c>
      <c r="K388">
        <v>2.8031559650000002</v>
      </c>
      <c r="L388">
        <v>2.0788208039999998</v>
      </c>
      <c r="M388">
        <v>3.2416793589999999</v>
      </c>
      <c r="N388">
        <v>79.033738529999994</v>
      </c>
      <c r="O388">
        <v>6.6176674499999999</v>
      </c>
      <c r="P388">
        <v>5.1319458180000002</v>
      </c>
      <c r="Q388">
        <v>9.216648202</v>
      </c>
      <c r="R388">
        <v>98.844013450000006</v>
      </c>
      <c r="S388">
        <v>0.73361828630000003</v>
      </c>
      <c r="T388">
        <v>0.42236825970000003</v>
      </c>
      <c r="U388">
        <v>0</v>
      </c>
    </row>
    <row r="389" spans="1:21" x14ac:dyDescent="0.25">
      <c r="A389" s="1" t="s">
        <v>168</v>
      </c>
      <c r="B389">
        <v>2020</v>
      </c>
      <c r="C389" t="str">
        <f>IF(A390=Estimates_of_the_use_of_water__2000_2020[[#This Row],[name]], B390-Estimates_of_the_use_of_water__2000_2020[[#This Row],[year]],"")</f>
        <v/>
      </c>
      <c r="D389">
        <v>59308.691409999999</v>
      </c>
      <c r="E389">
        <v>67.354003910000003</v>
      </c>
      <c r="F389">
        <v>93.885057439999997</v>
      </c>
      <c r="G389">
        <f>((F390-Estimates_of_the_use_of_water__2000_2020[[#This Row],[wat_bas_n]])/(B390-Estimates_of_the_use_of_water__2000_2020[[#This Row],[year]]))</f>
        <v>10.527509595999998</v>
      </c>
      <c r="H389">
        <f>((N390-Estimates_of_the_use_of_water__2000_2020[[#This Row],[wat_bas_r]])/(B390-Estimates_of_the_use_of_water__2000_2020[[#This Row],[year]]))</f>
        <v>9.3205402900000003</v>
      </c>
      <c r="I389">
        <f>(R390-Estimates_of_the_use_of_water__2000_2020[[#This Row],[wat_bas_u]])/(B390-Estimates_of_the_use_of_water__2000_2020[[#This Row],[year]])</f>
        <v>7.6588774960000006</v>
      </c>
      <c r="J389">
        <f>ABS(Estimates_of_the_use_of_water__2000_2020[[#This Row],[ARC_r]]-Estimates_of_the_use_of_water__2000_2020[[#This Row],[ARC_u]])</f>
        <v>1.6616627939999997</v>
      </c>
      <c r="K389">
        <v>2.7727361859999999</v>
      </c>
      <c r="L389">
        <v>1.410816657</v>
      </c>
      <c r="M389">
        <v>1.9313897120000001</v>
      </c>
      <c r="N389">
        <v>83.329481180000002</v>
      </c>
      <c r="O389">
        <v>6.9773593590000003</v>
      </c>
      <c r="P389">
        <v>3.7769992870000002</v>
      </c>
      <c r="Q389">
        <v>5.9161601729999997</v>
      </c>
      <c r="R389">
        <v>99.001264840000005</v>
      </c>
      <c r="S389">
        <v>0.73478540299999995</v>
      </c>
      <c r="T389">
        <v>0.26394975469999998</v>
      </c>
      <c r="U389">
        <v>0</v>
      </c>
    </row>
    <row r="390" spans="1:21" x14ac:dyDescent="0.25">
      <c r="A390" s="1" t="s">
        <v>246</v>
      </c>
      <c r="B390">
        <v>2015</v>
      </c>
      <c r="C390">
        <f>IF(A391=Estimates_of_the_use_of_water__2000_2020[[#This Row],[name]], B391-Estimates_of_the_use_of_water__2000_2020[[#This Row],[year]],"")</f>
        <v>5</v>
      </c>
      <c r="D390">
        <v>10715.657230000001</v>
      </c>
      <c r="E390">
        <v>18.851999280000001</v>
      </c>
      <c r="F390">
        <v>41.247509460000003</v>
      </c>
      <c r="G390">
        <f>((F391-Estimates_of_the_use_of_water__2000_2020[[#This Row],[wat_bas_n]])/(B391-Estimates_of_the_use_of_water__2000_2020[[#This Row],[year]]))</f>
        <v>-5.9316458000000696E-2</v>
      </c>
      <c r="H390">
        <f>((N391-Estimates_of_the_use_of_water__2000_2020[[#This Row],[wat_bas_r]])/(B391-Estimates_of_the_use_of_water__2000_2020[[#This Row],[year]]))</f>
        <v>-0.6266301839999997</v>
      </c>
      <c r="I390">
        <f>(R391-Estimates_of_the_use_of_water__2000_2020[[#This Row],[wat_bas_u]])/(B391-Estimates_of_the_use_of_water__2000_2020[[#This Row],[year]])</f>
        <v>1.8621654179999994</v>
      </c>
      <c r="J390">
        <f>ABS(Estimates_of_the_use_of_water__2000_2020[[#This Row],[ARC_r]]-Estimates_of_the_use_of_water__2000_2020[[#This Row],[ARC_u]])</f>
        <v>2.4887956019999988</v>
      </c>
      <c r="K390">
        <v>30.695737130000001</v>
      </c>
      <c r="L390">
        <v>13.55439295</v>
      </c>
      <c r="M390">
        <v>14.502360449999999</v>
      </c>
      <c r="N390">
        <v>36.726779729999997</v>
      </c>
      <c r="O390">
        <v>32.662799669999998</v>
      </c>
      <c r="P390">
        <v>14.310065379999999</v>
      </c>
      <c r="Q390">
        <v>16.30035522</v>
      </c>
      <c r="R390">
        <v>60.70687736</v>
      </c>
      <c r="S390">
        <v>22.228553949999998</v>
      </c>
      <c r="T390">
        <v>10.301639140000001</v>
      </c>
      <c r="U390">
        <v>6.7629295520000001</v>
      </c>
    </row>
    <row r="391" spans="1:21" x14ac:dyDescent="0.25">
      <c r="A391" s="1" t="s">
        <v>246</v>
      </c>
      <c r="B391">
        <v>2020</v>
      </c>
      <c r="C391" t="str">
        <f>IF(A392=Estimates_of_the_use_of_water__2000_2020[[#This Row],[name]], B392-Estimates_of_the_use_of_water__2000_2020[[#This Row],[year]],"")</f>
        <v/>
      </c>
      <c r="D391">
        <v>11193.728520000001</v>
      </c>
      <c r="E391">
        <v>20.198999400000002</v>
      </c>
      <c r="F391">
        <v>40.95092717</v>
      </c>
      <c r="G391">
        <f>((F392-Estimates_of_the_use_of_water__2000_2020[[#This Row],[wat_bas_n]])/(B392-Estimates_of_the_use_of_water__2000_2020[[#This Row],[year]]))</f>
        <v>-11.795158658</v>
      </c>
      <c r="H391">
        <f>((N392-Estimates_of_the_use_of_water__2000_2020[[#This Row],[wat_bas_r]])/(B392-Estimates_of_the_use_of_water__2000_2020[[#This Row],[year]]))</f>
        <v>-13.281274238</v>
      </c>
      <c r="I391">
        <f>(R392-Estimates_of_the_use_of_water__2000_2020[[#This Row],[wat_bas_u]])/(B392-Estimates_of_the_use_of_water__2000_2020[[#This Row],[year]])</f>
        <v>-5.9780481519999995</v>
      </c>
      <c r="J391">
        <f>ABS(Estimates_of_the_use_of_water__2000_2020[[#This Row],[ARC_r]]-Estimates_of_the_use_of_water__2000_2020[[#This Row],[ARC_u]])</f>
        <v>7.3032260860000004</v>
      </c>
      <c r="K391">
        <v>37.426962869999997</v>
      </c>
      <c r="L391">
        <v>13.537555190000001</v>
      </c>
      <c r="M391">
        <v>8.0845547619999998</v>
      </c>
      <c r="N391">
        <v>33.593628809999998</v>
      </c>
      <c r="O391">
        <v>42.164380680000001</v>
      </c>
      <c r="P391">
        <v>14.111096160000001</v>
      </c>
      <c r="Q391">
        <v>10.13089435</v>
      </c>
      <c r="R391">
        <v>70.017704449999997</v>
      </c>
      <c r="S391">
        <v>18.710660919999999</v>
      </c>
      <c r="T391">
        <v>11.27163464</v>
      </c>
      <c r="U391">
        <v>0</v>
      </c>
    </row>
    <row r="392" spans="1:21" x14ac:dyDescent="0.25">
      <c r="A392" s="1" t="s">
        <v>65</v>
      </c>
      <c r="B392">
        <v>2015</v>
      </c>
      <c r="C392">
        <f>IF(A393=Estimates_of_the_use_of_water__2000_2020[[#This Row],[name]], B393-Estimates_of_the_use_of_water__2000_2020[[#This Row],[year]],"")</f>
        <v>5</v>
      </c>
      <c r="D392">
        <v>46671.917970000002</v>
      </c>
      <c r="E392">
        <v>79.60199738</v>
      </c>
      <c r="F392">
        <v>99.926720459999999</v>
      </c>
      <c r="G392">
        <f>((F393-Estimates_of_the_use_of_water__2000_2020[[#This Row],[wat_bas_n]])/(B393-Estimates_of_the_use_of_water__2000_2020[[#This Row],[year]]))</f>
        <v>-2.2156999999936033E-4</v>
      </c>
      <c r="H392">
        <f>((N393-Estimates_of_the_use_of_water__2000_2020[[#This Row],[wat_bas_r]])/(B393-Estimates_of_the_use_of_water__2000_2020[[#This Row],[year]]))</f>
        <v>0</v>
      </c>
      <c r="I392">
        <f>(R393-Estimates_of_the_use_of_water__2000_2020[[#This Row],[wat_bas_u]])/(B393-Estimates_of_the_use_of_water__2000_2020[[#This Row],[year]])</f>
        <v>0</v>
      </c>
      <c r="J392">
        <f>ABS(Estimates_of_the_use_of_water__2000_2020[[#This Row],[ARC_r]]-Estimates_of_the_use_of_water__2000_2020[[#This Row],[ARC_u]])</f>
        <v>0</v>
      </c>
      <c r="K392">
        <v>0</v>
      </c>
      <c r="L392">
        <v>7.3279544409999994E-2</v>
      </c>
      <c r="M392">
        <v>0</v>
      </c>
      <c r="N392">
        <v>100</v>
      </c>
      <c r="O392">
        <v>0</v>
      </c>
      <c r="P392">
        <v>0</v>
      </c>
      <c r="Q392">
        <v>0</v>
      </c>
      <c r="R392">
        <v>99.907945209999994</v>
      </c>
      <c r="S392">
        <v>0</v>
      </c>
      <c r="T392">
        <v>9.2054794519999997E-2</v>
      </c>
      <c r="U392">
        <v>0</v>
      </c>
    </row>
    <row r="393" spans="1:21" x14ac:dyDescent="0.25">
      <c r="A393" s="1" t="s">
        <v>65</v>
      </c>
      <c r="B393">
        <v>2020</v>
      </c>
      <c r="C393" t="str">
        <f>IF(A394=Estimates_of_the_use_of_water__2000_2020[[#This Row],[name]], B394-Estimates_of_the_use_of_water__2000_2020[[#This Row],[year]],"")</f>
        <v/>
      </c>
      <c r="D393">
        <v>46754.78125</v>
      </c>
      <c r="E393">
        <v>80.809997559999999</v>
      </c>
      <c r="F393">
        <v>99.925612610000002</v>
      </c>
      <c r="G393">
        <f>((F394-Estimates_of_the_use_of_water__2000_2020[[#This Row],[wat_bas_n]])/(B394-Estimates_of_the_use_of_water__2000_2020[[#This Row],[year]]))</f>
        <v>1.9629168079999999</v>
      </c>
      <c r="H393">
        <f>((N394-Estimates_of_the_use_of_water__2000_2020[[#This Row],[wat_bas_r]])/(B394-Estimates_of_the_use_of_water__2000_2020[[#This Row],[year]]))</f>
        <v>2.3485787719999989</v>
      </c>
      <c r="I393">
        <f>(R394-Estimates_of_the_use_of_water__2000_2020[[#This Row],[wat_bas_u]])/(B394-Estimates_of_the_use_of_water__2000_2020[[#This Row],[year]])</f>
        <v>0.29913973799999949</v>
      </c>
      <c r="J393">
        <f>ABS(Estimates_of_the_use_of_water__2000_2020[[#This Row],[ARC_r]]-Estimates_of_the_use_of_water__2000_2020[[#This Row],[ARC_u]])</f>
        <v>2.0494390339999993</v>
      </c>
      <c r="K393">
        <v>0</v>
      </c>
      <c r="L393">
        <v>7.4387391420000004E-2</v>
      </c>
      <c r="M393">
        <v>0</v>
      </c>
      <c r="N393">
        <v>100</v>
      </c>
      <c r="O393">
        <v>0</v>
      </c>
      <c r="P393">
        <v>0</v>
      </c>
      <c r="Q393">
        <v>0</v>
      </c>
      <c r="R393">
        <v>99.907945209999994</v>
      </c>
      <c r="S393">
        <v>0</v>
      </c>
      <c r="T393">
        <v>9.2054794519999997E-2</v>
      </c>
      <c r="U393">
        <v>0</v>
      </c>
    </row>
    <row r="394" spans="1:21" x14ac:dyDescent="0.25">
      <c r="A394" s="1" t="s">
        <v>174</v>
      </c>
      <c r="B394">
        <v>2015</v>
      </c>
      <c r="C394">
        <f>IF(A395=Estimates_of_the_use_of_water__2000_2020[[#This Row],[name]], B395-Estimates_of_the_use_of_water__2000_2020[[#This Row],[year]],"")</f>
        <v>5</v>
      </c>
      <c r="D394">
        <v>20908.023440000001</v>
      </c>
      <c r="E394">
        <v>18.256000520000001</v>
      </c>
      <c r="F394">
        <v>90.111028570000002</v>
      </c>
      <c r="G394">
        <f>((F395-Estimates_of_the_use_of_water__2000_2020[[#This Row],[wat_bas_n]])/(B395-Estimates_of_the_use_of_water__2000_2020[[#This Row],[year]]))</f>
        <v>0.42331015999999977</v>
      </c>
      <c r="H394">
        <f>((N395-Estimates_of_the_use_of_water__2000_2020[[#This Row],[wat_bas_r]])/(B395-Estimates_of_the_use_of_water__2000_2020[[#This Row],[year]]))</f>
        <v>0.45606591199999968</v>
      </c>
      <c r="I394">
        <f>(R395-Estimates_of_the_use_of_water__2000_2020[[#This Row],[wat_bas_u]])/(B395-Estimates_of_the_use_of_water__2000_2020[[#This Row],[year]])</f>
        <v>0.23142673400000149</v>
      </c>
      <c r="J394">
        <f>ABS(Estimates_of_the_use_of_water__2000_2020[[#This Row],[ARC_r]]-Estimates_of_the_use_of_water__2000_2020[[#This Row],[ARC_u]])</f>
        <v>0.22463917799999819</v>
      </c>
      <c r="K394">
        <v>0.91280129350000005</v>
      </c>
      <c r="L394">
        <v>6.7615228930000004</v>
      </c>
      <c r="M394">
        <v>2.2146472469999998</v>
      </c>
      <c r="N394">
        <v>88.257106140000005</v>
      </c>
      <c r="O394">
        <v>1.0162902579999999</v>
      </c>
      <c r="P394">
        <v>8.017356135</v>
      </c>
      <c r="Q394">
        <v>2.7092474630000001</v>
      </c>
      <c r="R394">
        <v>98.412246519999997</v>
      </c>
      <c r="S394">
        <v>0.44941380939999998</v>
      </c>
      <c r="T394">
        <v>1.1383396720000001</v>
      </c>
      <c r="U394">
        <v>0</v>
      </c>
    </row>
    <row r="395" spans="1:21" x14ac:dyDescent="0.25">
      <c r="A395" s="1" t="s">
        <v>174</v>
      </c>
      <c r="B395">
        <v>2020</v>
      </c>
      <c r="C395" t="str">
        <f>IF(A396=Estimates_of_the_use_of_water__2000_2020[[#This Row],[name]], B396-Estimates_of_the_use_of_water__2000_2020[[#This Row],[year]],"")</f>
        <v/>
      </c>
      <c r="D395">
        <v>21413.25</v>
      </c>
      <c r="E395">
        <v>18.71299934</v>
      </c>
      <c r="F395">
        <v>92.227579370000001</v>
      </c>
      <c r="G395">
        <f>((F396-Estimates_of_the_use_of_water__2000_2020[[#This Row],[wat_bas_n]])/(B396-Estimates_of_the_use_of_water__2000_2020[[#This Row],[year]]))</f>
        <v>6.65546521</v>
      </c>
      <c r="H395">
        <f>((N396-Estimates_of_the_use_of_water__2000_2020[[#This Row],[wat_bas_r]])/(B396-Estimates_of_the_use_of_water__2000_2020[[#This Row],[year]]))</f>
        <v>7.7659995940000002</v>
      </c>
      <c r="I395">
        <f>(R396-Estimates_of_the_use_of_water__2000_2020[[#This Row],[wat_bas_u]])/(B396-Estimates_of_the_use_of_water__2000_2020[[#This Row],[year]])</f>
        <v>5.2985845240000007</v>
      </c>
      <c r="J395">
        <f>ABS(Estimates_of_the_use_of_water__2000_2020[[#This Row],[ARC_r]]-Estimates_of_the_use_of_water__2000_2020[[#This Row],[ARC_u]])</f>
        <v>2.4674150699999995</v>
      </c>
      <c r="K395">
        <v>0.59545814949999998</v>
      </c>
      <c r="L395">
        <v>5.3489270639999997</v>
      </c>
      <c r="M395">
        <v>1.82803542</v>
      </c>
      <c r="N395">
        <v>90.537435700000003</v>
      </c>
      <c r="O395">
        <v>0.70320990380000004</v>
      </c>
      <c r="P395">
        <v>6.5104886119999996</v>
      </c>
      <c r="Q395">
        <v>2.2488657820000002</v>
      </c>
      <c r="R395">
        <v>99.569380190000004</v>
      </c>
      <c r="S395">
        <v>0.12739779009999999</v>
      </c>
      <c r="T395">
        <v>0.3032220202</v>
      </c>
      <c r="U395">
        <v>0</v>
      </c>
    </row>
    <row r="396" spans="1:21" x14ac:dyDescent="0.25">
      <c r="A396" s="1" t="s">
        <v>231</v>
      </c>
      <c r="B396">
        <v>2015</v>
      </c>
      <c r="C396">
        <f>IF(A397=Estimates_of_the_use_of_water__2000_2020[[#This Row],[name]], B397-Estimates_of_the_use_of_water__2000_2020[[#This Row],[year]],"")</f>
        <v>5</v>
      </c>
      <c r="D396">
        <v>38902.949220000002</v>
      </c>
      <c r="E396">
        <v>33.894001009999997</v>
      </c>
      <c r="F396">
        <v>58.950253320000002</v>
      </c>
      <c r="G396">
        <f>((F397-Estimates_of_the_use_of_water__2000_2020[[#This Row],[wat_bas_n]])/(B397-Estimates_of_the_use_of_water__2000_2020[[#This Row],[year]]))</f>
        <v>0.29968445599999993</v>
      </c>
      <c r="H396">
        <f>((N397-Estimates_of_the_use_of_water__2000_2020[[#This Row],[wat_bas_r]])/(B397-Estimates_of_the_use_of_water__2000_2020[[#This Row],[year]]))</f>
        <v>0.29831786799999949</v>
      </c>
      <c r="I396">
        <f>(R397-Estimates_of_the_use_of_water__2000_2020[[#This Row],[wat_bas_u]])/(B397-Estimates_of_the_use_of_water__2000_2020[[#This Row],[year]])</f>
        <v>0.13744039799999824</v>
      </c>
      <c r="J396">
        <f>ABS(Estimates_of_the_use_of_water__2000_2020[[#This Row],[ARC_r]]-Estimates_of_the_use_of_water__2000_2020[[#This Row],[ARC_u]])</f>
        <v>0.16087747000000124</v>
      </c>
      <c r="K396">
        <v>26.111815979999999</v>
      </c>
      <c r="L396">
        <v>5.635847128</v>
      </c>
      <c r="M396">
        <v>9.3020835690000006</v>
      </c>
      <c r="N396">
        <v>51.707437730000002</v>
      </c>
      <c r="O396">
        <v>26.687789639999998</v>
      </c>
      <c r="P396">
        <v>8.1225675119999998</v>
      </c>
      <c r="Q396">
        <v>13.482205130000001</v>
      </c>
      <c r="R396">
        <v>73.076457570000002</v>
      </c>
      <c r="S396">
        <v>24.98845154</v>
      </c>
      <c r="T396">
        <v>0.78581062170000004</v>
      </c>
      <c r="U396">
        <v>1.14928027</v>
      </c>
    </row>
    <row r="397" spans="1:21" x14ac:dyDescent="0.25">
      <c r="A397" s="1" t="s">
        <v>231</v>
      </c>
      <c r="B397">
        <v>2020</v>
      </c>
      <c r="C397" t="str">
        <f>IF(A398=Estimates_of_the_use_of_water__2000_2020[[#This Row],[name]], B398-Estimates_of_the_use_of_water__2000_2020[[#This Row],[year]],"")</f>
        <v/>
      </c>
      <c r="D397">
        <v>43849.269529999998</v>
      </c>
      <c r="E397">
        <v>35.252998349999999</v>
      </c>
      <c r="F397">
        <v>60.448675600000001</v>
      </c>
      <c r="G397">
        <f>((F398-Estimates_of_the_use_of_water__2000_2020[[#This Row],[wat_bas_n]])/(B398-Estimates_of_the_use_of_water__2000_2020[[#This Row],[year]]))</f>
        <v>-7.0598033139999981</v>
      </c>
      <c r="H397">
        <f>((N398-Estimates_of_the_use_of_water__2000_2020[[#This Row],[wat_bas_r]])/(B398-Estimates_of_the_use_of_water__2000_2020[[#This Row],[year]]))</f>
        <v>-7.4761178499999996</v>
      </c>
      <c r="I397">
        <f>(R398-Estimates_of_the_use_of_water__2000_2020[[#This Row],[wat_bas_u]])/(B398-Estimates_of_the_use_of_water__2000_2020[[#This Row],[year]])</f>
        <v>-4.9279480280000003</v>
      </c>
      <c r="J397">
        <f>ABS(Estimates_of_the_use_of_water__2000_2020[[#This Row],[ARC_r]]-Estimates_of_the_use_of_water__2000_2020[[#This Row],[ARC_u]])</f>
        <v>2.5481698219999993</v>
      </c>
      <c r="K397">
        <v>26.670019750000002</v>
      </c>
      <c r="L397">
        <v>3.6502178750000001</v>
      </c>
      <c r="M397">
        <v>9.2310867739999996</v>
      </c>
      <c r="N397">
        <v>53.19902707</v>
      </c>
      <c r="O397">
        <v>27.457644510000002</v>
      </c>
      <c r="P397">
        <v>5.6376600080000001</v>
      </c>
      <c r="Q397">
        <v>13.70566842</v>
      </c>
      <c r="R397">
        <v>73.763659559999994</v>
      </c>
      <c r="S397">
        <v>25.223439859999999</v>
      </c>
      <c r="T397">
        <v>0</v>
      </c>
      <c r="U397">
        <v>1.012900581</v>
      </c>
    </row>
    <row r="398" spans="1:21" x14ac:dyDescent="0.25">
      <c r="A398" s="1" t="s">
        <v>116</v>
      </c>
      <c r="B398">
        <v>2015</v>
      </c>
      <c r="C398">
        <f>IF(A399=Estimates_of_the_use_of_water__2000_2020[[#This Row],[name]], B399-Estimates_of_the_use_of_water__2000_2020[[#This Row],[year]],"")</f>
        <v>5</v>
      </c>
      <c r="D398">
        <v>559.13598630000001</v>
      </c>
      <c r="E398">
        <v>66.055999760000006</v>
      </c>
      <c r="F398">
        <v>95.747692169999993</v>
      </c>
      <c r="G398">
        <f>((F399-Estimates_of_the_use_of_water__2000_2020[[#This Row],[wat_bas_n]])/(B399-Estimates_of_the_use_of_water__2000_2020[[#This Row],[year]]))</f>
        <v>0.44838790000000017</v>
      </c>
      <c r="H398">
        <f>((N399-Estimates_of_the_use_of_water__2000_2020[[#This Row],[wat_bas_r]])/(B399-Estimates_of_the_use_of_water__2000_2020[[#This Row],[year]]))</f>
        <v>1.1989592619999996</v>
      </c>
      <c r="I398">
        <f>(R399-Estimates_of_the_use_of_water__2000_2020[[#This Row],[wat_bas_u]])/(B399-Estimates_of_the_use_of_water__2000_2020[[#This Row],[year]])</f>
        <v>6.209083399999997E-2</v>
      </c>
      <c r="J398">
        <f>ABS(Estimates_of_the_use_of_water__2000_2020[[#This Row],[ARC_r]]-Estimates_of_the_use_of_water__2000_2020[[#This Row],[ARC_u]])</f>
        <v>1.1368684279999997</v>
      </c>
      <c r="K398">
        <v>0.88280139830000004</v>
      </c>
      <c r="L398">
        <v>1.0138349760000001</v>
      </c>
      <c r="M398">
        <v>2.3556714599999999</v>
      </c>
      <c r="N398">
        <v>90.57961632</v>
      </c>
      <c r="O398">
        <v>1.2850321419999999</v>
      </c>
      <c r="P398">
        <v>1.200506574</v>
      </c>
      <c r="Q398">
        <v>6.9348449649999999</v>
      </c>
      <c r="R398">
        <v>98.403399699999994</v>
      </c>
      <c r="S398">
        <v>0.67610833329999998</v>
      </c>
      <c r="T398">
        <v>0.91790651420000002</v>
      </c>
      <c r="U398">
        <v>2.585454545E-3</v>
      </c>
    </row>
    <row r="399" spans="1:21" x14ac:dyDescent="0.25">
      <c r="A399" s="1" t="s">
        <v>116</v>
      </c>
      <c r="B399">
        <v>2020</v>
      </c>
      <c r="C399" t="str">
        <f>IF(A400=Estimates_of_the_use_of_water__2000_2020[[#This Row],[name]], B400-Estimates_of_the_use_of_water__2000_2020[[#This Row],[year]],"")</f>
        <v/>
      </c>
      <c r="D399">
        <v>586.63397220000002</v>
      </c>
      <c r="E399">
        <v>66.149002080000002</v>
      </c>
      <c r="F399">
        <v>97.989631669999994</v>
      </c>
      <c r="G399">
        <f>((F400-Estimates_of_the_use_of_water__2000_2020[[#This Row],[wat_bas_n]])/(B400-Estimates_of_the_use_of_water__2000_2020[[#This Row],[year]]))</f>
        <v>-0.35831987200000126</v>
      </c>
      <c r="H399">
        <f>((N400-Estimates_of_the_use_of_water__2000_2020[[#This Row],[wat_bas_r]])/(B400-Estimates_of_the_use_of_water__2000_2020[[#This Row],[year]]))</f>
        <v>-0.59511478000000007</v>
      </c>
      <c r="I399">
        <f>(R400-Estimates_of_the_use_of_water__2000_2020[[#This Row],[wat_bas_u]])/(B400-Estimates_of_the_use_of_water__2000_2020[[#This Row],[year]])</f>
        <v>-0.22066130400000078</v>
      </c>
      <c r="J399">
        <f>ABS(Estimates_of_the_use_of_water__2000_2020[[#This Row],[ARC_r]]-Estimates_of_the_use_of_water__2000_2020[[#This Row],[ARC_u]])</f>
        <v>0.37445347599999929</v>
      </c>
      <c r="K399">
        <v>1.0672469410000001</v>
      </c>
      <c r="L399">
        <v>0.37933650730000001</v>
      </c>
      <c r="M399">
        <v>0.56378488400000004</v>
      </c>
      <c r="N399">
        <v>96.574412629999998</v>
      </c>
      <c r="O399">
        <v>1.6002958599999999</v>
      </c>
      <c r="P399">
        <v>0.1598017947</v>
      </c>
      <c r="Q399">
        <v>1.6654897200000001</v>
      </c>
      <c r="R399">
        <v>98.713853869999994</v>
      </c>
      <c r="S399">
        <v>0.79446523710000005</v>
      </c>
      <c r="T399">
        <v>0.49168089250000002</v>
      </c>
      <c r="U399">
        <v>0</v>
      </c>
    </row>
    <row r="400" spans="1:21" x14ac:dyDescent="0.25">
      <c r="A400" s="1" t="s">
        <v>77</v>
      </c>
      <c r="B400">
        <v>2015</v>
      </c>
      <c r="C400">
        <f>IF(A401=Estimates_of_the_use_of_water__2000_2020[[#This Row],[name]], B401-Estimates_of_the_use_of_water__2000_2020[[#This Row],[year]],"")</f>
        <v>5</v>
      </c>
      <c r="D400">
        <v>9764.9492190000001</v>
      </c>
      <c r="E400">
        <v>86.553001399999999</v>
      </c>
      <c r="F400">
        <v>99.781231030000001</v>
      </c>
      <c r="G400">
        <f>((F401-Estimates_of_the_use_of_water__2000_2020[[#This Row],[wat_bas_n]])/(B401-Estimates_of_the_use_of_water__2000_2020[[#This Row],[year]]))</f>
        <v>9.1273199999989171E-3</v>
      </c>
      <c r="H400">
        <f>((N401-Estimates_of_the_use_of_water__2000_2020[[#This Row],[wat_bas_r]])/(B401-Estimates_of_the_use_of_water__2000_2020[[#This Row],[year]]))</f>
        <v>3.387764200000163E-2</v>
      </c>
      <c r="I400">
        <f>(R401-Estimates_of_the_use_of_water__2000_2020[[#This Row],[wat_bas_u]])/(B401-Estimates_of_the_use_of_water__2000_2020[[#This Row],[year]])</f>
        <v>4.8794579999992035E-3</v>
      </c>
      <c r="J400">
        <f>ABS(Estimates_of_the_use_of_water__2000_2020[[#This Row],[ARC_r]]-Estimates_of_the_use_of_water__2000_2020[[#This Row],[ARC_u]])</f>
        <v>2.8998184000002425E-2</v>
      </c>
      <c r="K400">
        <v>0</v>
      </c>
      <c r="L400">
        <v>0.2187689729</v>
      </c>
      <c r="M400">
        <v>0</v>
      </c>
      <c r="N400">
        <v>99.549986529999998</v>
      </c>
      <c r="O400">
        <v>0</v>
      </c>
      <c r="P400">
        <v>0.4500134657</v>
      </c>
      <c r="Q400">
        <v>0</v>
      </c>
      <c r="R400">
        <v>99.817160389999998</v>
      </c>
      <c r="S400">
        <v>0</v>
      </c>
      <c r="T400">
        <v>0.18283961479999999</v>
      </c>
      <c r="U400">
        <v>0</v>
      </c>
    </row>
    <row r="401" spans="1:21" x14ac:dyDescent="0.25">
      <c r="A401" s="1" t="s">
        <v>77</v>
      </c>
      <c r="B401">
        <v>2020</v>
      </c>
      <c r="C401" t="str">
        <f>IF(A402=Estimates_of_the_use_of_water__2000_2020[[#This Row],[name]], B402-Estimates_of_the_use_of_water__2000_2020[[#This Row],[year]],"")</f>
        <v/>
      </c>
      <c r="D401">
        <v>10099.26953</v>
      </c>
      <c r="E401">
        <v>87.97699738</v>
      </c>
      <c r="F401">
        <v>99.826867629999995</v>
      </c>
      <c r="G401">
        <f>((F402-Estimates_of_the_use_of_water__2000_2020[[#This Row],[wat_bas_n]])/(B402-Estimates_of_the_use_of_water__2000_2020[[#This Row],[year]]))</f>
        <v>-3.4626474000000941E-2</v>
      </c>
      <c r="H401">
        <f>((N402-Estimates_of_the_use_of_water__2000_2020[[#This Row],[wat_bas_r]])/(B402-Estimates_of_the_use_of_water__2000_2020[[#This Row],[year]]))</f>
        <v>-5.6125051999998732E-2</v>
      </c>
      <c r="I401">
        <f>(R402-Estimates_of_the_use_of_water__2000_2020[[#This Row],[wat_bas_u]])/(B402-Estimates_of_the_use_of_water__2000_2020[[#This Row],[year]])</f>
        <v>-3.1688464000001207E-2</v>
      </c>
      <c r="J401">
        <f>ABS(Estimates_of_the_use_of_water__2000_2020[[#This Row],[ARC_r]]-Estimates_of_the_use_of_water__2000_2020[[#This Row],[ARC_u]])</f>
        <v>2.4436587999997525E-2</v>
      </c>
      <c r="K401">
        <v>0</v>
      </c>
      <c r="L401">
        <v>0.17313237349999999</v>
      </c>
      <c r="M401">
        <v>0</v>
      </c>
      <c r="N401">
        <v>99.719374740000006</v>
      </c>
      <c r="O401">
        <v>0</v>
      </c>
      <c r="P401">
        <v>0.28062526259999998</v>
      </c>
      <c r="Q401">
        <v>0</v>
      </c>
      <c r="R401">
        <v>99.841557679999994</v>
      </c>
      <c r="S401">
        <v>0</v>
      </c>
      <c r="T401">
        <v>0.1584423157</v>
      </c>
      <c r="U401">
        <v>0</v>
      </c>
    </row>
    <row r="402" spans="1:21" x14ac:dyDescent="0.25">
      <c r="A402" s="1" t="s">
        <v>21</v>
      </c>
      <c r="B402">
        <v>2015</v>
      </c>
      <c r="C402">
        <f>IF(A403=Estimates_of_the_use_of_water__2000_2020[[#This Row],[name]], B403-Estimates_of_the_use_of_water__2000_2020[[#This Row],[year]],"")</f>
        <v>5</v>
      </c>
      <c r="D402">
        <v>8296.7753909999992</v>
      </c>
      <c r="E402">
        <v>73.718002319999997</v>
      </c>
      <c r="F402">
        <v>100</v>
      </c>
      <c r="G402">
        <f>((F403-Estimates_of_the_use_of_water__2000_2020[[#This Row],[wat_bas_n]])/(B403-Estimates_of_the_use_of_water__2000_2020[[#This Row],[year]]))</f>
        <v>5.6000000085987263E-7</v>
      </c>
      <c r="H402">
        <f>((N403-Estimates_of_the_use_of_water__2000_2020[[#This Row],[wat_bas_r]])/(B403-Estimates_of_the_use_of_water__2000_2020[[#This Row],[year]]))</f>
        <v>0</v>
      </c>
      <c r="I402">
        <f>(R403-Estimates_of_the_use_of_water__2000_2020[[#This Row],[wat_bas_u]])/(B403-Estimates_of_the_use_of_water__2000_2020[[#This Row],[year]])</f>
        <v>0</v>
      </c>
      <c r="J402">
        <f>ABS(Estimates_of_the_use_of_water__2000_2020[[#This Row],[ARC_r]]-Estimates_of_the_use_of_water__2000_2020[[#This Row],[ARC_u]])</f>
        <v>0</v>
      </c>
      <c r="K402">
        <v>0</v>
      </c>
      <c r="L402">
        <v>0</v>
      </c>
      <c r="M402">
        <v>0</v>
      </c>
      <c r="N402">
        <v>100</v>
      </c>
      <c r="O402">
        <v>0</v>
      </c>
      <c r="P402">
        <v>0</v>
      </c>
      <c r="Q402">
        <v>0</v>
      </c>
      <c r="R402">
        <v>100</v>
      </c>
      <c r="S402">
        <v>0</v>
      </c>
      <c r="T402">
        <v>0</v>
      </c>
      <c r="U402">
        <v>0</v>
      </c>
    </row>
    <row r="403" spans="1:21" x14ac:dyDescent="0.25">
      <c r="A403" s="1" t="s">
        <v>21</v>
      </c>
      <c r="B403">
        <v>2020</v>
      </c>
      <c r="C403" t="str">
        <f>IF(A404=Estimates_of_the_use_of_water__2000_2020[[#This Row],[name]], B404-Estimates_of_the_use_of_water__2000_2020[[#This Row],[year]],"")</f>
        <v/>
      </c>
      <c r="D403">
        <v>8654.6181639999995</v>
      </c>
      <c r="E403">
        <v>73.915000919999997</v>
      </c>
      <c r="F403">
        <v>100.0000028</v>
      </c>
      <c r="G403">
        <f>((F404-Estimates_of_the_use_of_water__2000_2020[[#This Row],[wat_bas_n]])/(B404-Estimates_of_the_use_of_water__2000_2020[[#This Row],[year]]))</f>
        <v>1.2980782640000001</v>
      </c>
      <c r="H403">
        <f>((N404-Estimates_of_the_use_of_water__2000_2020[[#This Row],[wat_bas_r]])/(B404-Estimates_of_the_use_of_water__2000_2020[[#This Row],[year]]))</f>
        <v>1.7228589800000009</v>
      </c>
      <c r="I403">
        <f>(R404-Estimates_of_the_use_of_water__2000_2020[[#This Row],[wat_bas_u]])/(B404-Estimates_of_the_use_of_water__2000_2020[[#This Row],[year]])</f>
        <v>0.90860256199999867</v>
      </c>
      <c r="J403">
        <f>ABS(Estimates_of_the_use_of_water__2000_2020[[#This Row],[ARC_r]]-Estimates_of_the_use_of_water__2000_2020[[#This Row],[ARC_u]])</f>
        <v>0.81425641800000226</v>
      </c>
      <c r="K403">
        <v>0</v>
      </c>
      <c r="L403">
        <v>0</v>
      </c>
      <c r="M403">
        <v>0</v>
      </c>
      <c r="N403">
        <v>100</v>
      </c>
      <c r="O403">
        <v>0</v>
      </c>
      <c r="P403">
        <v>0</v>
      </c>
      <c r="Q403">
        <v>0</v>
      </c>
      <c r="R403">
        <v>100</v>
      </c>
      <c r="S403">
        <v>0</v>
      </c>
      <c r="T403">
        <v>0</v>
      </c>
      <c r="U403">
        <v>0</v>
      </c>
    </row>
    <row r="404" spans="1:21" x14ac:dyDescent="0.25">
      <c r="A404" s="1" t="s">
        <v>167</v>
      </c>
      <c r="B404">
        <v>2015</v>
      </c>
      <c r="C404">
        <f>IF(A405=Estimates_of_the_use_of_water__2000_2020[[#This Row],[name]], B405-Estimates_of_the_use_of_water__2000_2020[[#This Row],[year]],"")</f>
        <v>5</v>
      </c>
      <c r="D404">
        <v>17997.410159999999</v>
      </c>
      <c r="E404">
        <v>52.167999270000003</v>
      </c>
      <c r="F404">
        <v>93.509611480000004</v>
      </c>
      <c r="G404">
        <f>((F405-Estimates_of_the_use_of_water__2000_2020[[#This Row],[wat_bas_n]])/(B405-Estimates_of_the_use_of_water__2000_2020[[#This Row],[year]]))</f>
        <v>8.3249139999998084E-2</v>
      </c>
      <c r="H404">
        <f>((N405-Estimates_of_the_use_of_water__2000_2020[[#This Row],[wat_bas_r]])/(B405-Estimates_of_the_use_of_water__2000_2020[[#This Row],[year]]))</f>
        <v>0.13940798000000143</v>
      </c>
      <c r="I404">
        <f>(R405-Estimates_of_the_use_of_water__2000_2020[[#This Row],[wat_bas_u]])/(B405-Estimates_of_the_use_of_water__2000_2020[[#This Row],[year]])</f>
        <v>-1.0364566000001218E-2</v>
      </c>
      <c r="J404">
        <f>ABS(Estimates_of_the_use_of_water__2000_2020[[#This Row],[ARC_r]]-Estimates_of_the_use_of_water__2000_2020[[#This Row],[ARC_u]])</f>
        <v>0.14977254600000264</v>
      </c>
      <c r="K404">
        <v>5.9680836279999996</v>
      </c>
      <c r="L404">
        <v>0.52230488829999999</v>
      </c>
      <c r="M404">
        <v>0</v>
      </c>
      <c r="N404">
        <v>91.385705099999996</v>
      </c>
      <c r="O404">
        <v>7.8573236560000002</v>
      </c>
      <c r="P404">
        <v>0.75697124390000003</v>
      </c>
      <c r="Q404">
        <v>0</v>
      </c>
      <c r="R404">
        <v>95.456987190000007</v>
      </c>
      <c r="S404">
        <v>4.2358697369999998</v>
      </c>
      <c r="T404">
        <v>0.30714306949999998</v>
      </c>
      <c r="U404">
        <v>0</v>
      </c>
    </row>
    <row r="405" spans="1:21" x14ac:dyDescent="0.25">
      <c r="A405" s="1" t="s">
        <v>167</v>
      </c>
      <c r="B405">
        <v>2020</v>
      </c>
      <c r="C405" t="str">
        <f>IF(A406=Estimates_of_the_use_of_water__2000_2020[[#This Row],[name]], B406-Estimates_of_the_use_of_water__2000_2020[[#This Row],[year]],"")</f>
        <v/>
      </c>
      <c r="D405">
        <v>17500.65625</v>
      </c>
      <c r="E405">
        <v>55.475002289999999</v>
      </c>
      <c r="F405">
        <v>93.925857179999994</v>
      </c>
      <c r="G405">
        <f>((F406-Estimates_of_the_use_of_water__2000_2020[[#This Row],[wat_bas_n]])/(B406-Estimates_of_the_use_of_water__2000_2020[[#This Row],[year]]))</f>
        <v>3.5372723339999994</v>
      </c>
      <c r="H405">
        <f>((N406-Estimates_of_the_use_of_water__2000_2020[[#This Row],[wat_bas_r]])/(B406-Estimates_of_the_use_of_water__2000_2020[[#This Row],[year]]))</f>
        <v>4.5061125879999988</v>
      </c>
      <c r="I405">
        <f>(R406-Estimates_of_the_use_of_water__2000_2020[[#This Row],[wat_bas_u]])/(B406-Estimates_of_the_use_of_water__2000_2020[[#This Row],[year]])</f>
        <v>0.16924179400000128</v>
      </c>
      <c r="J405">
        <f>ABS(Estimates_of_the_use_of_water__2000_2020[[#This Row],[ARC_r]]-Estimates_of_the_use_of_water__2000_2020[[#This Row],[ARC_u]])</f>
        <v>4.3368707939999975</v>
      </c>
      <c r="K405">
        <v>5.8737307679999997</v>
      </c>
      <c r="L405">
        <v>0.20041205419999999</v>
      </c>
      <c r="M405">
        <v>0</v>
      </c>
      <c r="N405">
        <v>92.082745000000003</v>
      </c>
      <c r="O405">
        <v>7.9172549999999999</v>
      </c>
      <c r="P405">
        <v>0</v>
      </c>
      <c r="Q405">
        <v>0</v>
      </c>
      <c r="R405">
        <v>95.405164360000001</v>
      </c>
      <c r="S405">
        <v>4.2335701170000002</v>
      </c>
      <c r="T405">
        <v>0.36126552499999998</v>
      </c>
      <c r="U405">
        <v>0</v>
      </c>
    </row>
    <row r="406" spans="1:21" x14ac:dyDescent="0.25">
      <c r="A406" s="1" t="s">
        <v>199</v>
      </c>
      <c r="B406">
        <v>2015</v>
      </c>
      <c r="C406">
        <f>IF(A407=Estimates_of_the_use_of_water__2000_2020[[#This Row],[name]], B407-Estimates_of_the_use_of_water__2000_2020[[#This Row],[year]],"")</f>
        <v>5</v>
      </c>
      <c r="D406">
        <v>8454.0185550000006</v>
      </c>
      <c r="E406">
        <v>26.742000579999999</v>
      </c>
      <c r="F406">
        <v>76.239495509999998</v>
      </c>
      <c r="G406">
        <f>((F407-Estimates_of_the_use_of_water__2000_2020[[#This Row],[wat_bas_n]])/(B407-Estimates_of_the_use_of_water__2000_2020[[#This Row],[year]]))</f>
        <v>1.1225839019999995</v>
      </c>
      <c r="H406">
        <f>((N407-Estimates_of_the_use_of_water__2000_2020[[#This Row],[wat_bas_r]])/(B407-Estimates_of_the_use_of_water__2000_2020[[#This Row],[year]]))</f>
        <v>1.4182834279999981</v>
      </c>
      <c r="I406">
        <f>(R407-Estimates_of_the_use_of_water__2000_2020[[#This Row],[wat_bas_u]])/(B407-Estimates_of_the_use_of_water__2000_2020[[#This Row],[year]])</f>
        <v>0.20433369400000173</v>
      </c>
      <c r="J406">
        <f>ABS(Estimates_of_the_use_of_water__2000_2020[[#This Row],[ARC_r]]-Estimates_of_the_use_of_water__2000_2020[[#This Row],[ARC_u]])</f>
        <v>1.2139497339999963</v>
      </c>
      <c r="K406">
        <v>3.050011091</v>
      </c>
      <c r="L406">
        <v>3.944733748</v>
      </c>
      <c r="M406">
        <v>16.76575965</v>
      </c>
      <c r="N406">
        <v>69.552182060000007</v>
      </c>
      <c r="O406">
        <v>3.681021887</v>
      </c>
      <c r="P406">
        <v>4.8574855120000002</v>
      </c>
      <c r="Q406">
        <v>21.90931054</v>
      </c>
      <c r="R406">
        <v>94.558955389999994</v>
      </c>
      <c r="S406">
        <v>1.321396987</v>
      </c>
      <c r="T406">
        <v>1.444318955</v>
      </c>
      <c r="U406">
        <v>2.6753286630000002</v>
      </c>
    </row>
    <row r="407" spans="1:21" x14ac:dyDescent="0.25">
      <c r="A407" s="1" t="s">
        <v>199</v>
      </c>
      <c r="B407">
        <v>2020</v>
      </c>
      <c r="C407" t="str">
        <f>IF(A408=Estimates_of_the_use_of_water__2000_2020[[#This Row],[name]], B408-Estimates_of_the_use_of_water__2000_2020[[#This Row],[year]],"")</f>
        <v/>
      </c>
      <c r="D407">
        <v>9537.6416019999997</v>
      </c>
      <c r="E407">
        <v>27.505998609999999</v>
      </c>
      <c r="F407">
        <v>81.852415019999995</v>
      </c>
      <c r="G407">
        <f>((F408-Estimates_of_the_use_of_water__2000_2020[[#This Row],[wat_bas_n]])/(B408-Estimates_of_the_use_of_water__2000_2020[[#This Row],[year]]))</f>
        <v>-3.4813511120000014</v>
      </c>
      <c r="H407">
        <f>((N408-Estimates_of_the_use_of_water__2000_2020[[#This Row],[wat_bas_r]])/(B408-Estimates_of_the_use_of_water__2000_2020[[#This Row],[year]]))</f>
        <v>-4.4471835020000015</v>
      </c>
      <c r="I407">
        <f>(R408-Estimates_of_the_use_of_water__2000_2020[[#This Row],[wat_bas_u]])/(B408-Estimates_of_the_use_of_water__2000_2020[[#This Row],[year]])</f>
        <v>-0.81898259600000078</v>
      </c>
      <c r="J407">
        <f>ABS(Estimates_of_the_use_of_water__2000_2020[[#This Row],[ARC_r]]-Estimates_of_the_use_of_water__2000_2020[[#This Row],[ARC_u]])</f>
        <v>3.6282009060000009</v>
      </c>
      <c r="K407">
        <v>2.5683639349999998</v>
      </c>
      <c r="L407">
        <v>3.4218570050000001</v>
      </c>
      <c r="M407">
        <v>12.157364039999999</v>
      </c>
      <c r="N407">
        <v>76.643599199999997</v>
      </c>
      <c r="O407">
        <v>3.2071439279999998</v>
      </c>
      <c r="P407">
        <v>4.1407069480000001</v>
      </c>
      <c r="Q407">
        <v>16.00854992</v>
      </c>
      <c r="R407">
        <v>95.580623860000003</v>
      </c>
      <c r="S407">
        <v>0.88481447629999999</v>
      </c>
      <c r="T407">
        <v>1.5272683229999999</v>
      </c>
      <c r="U407">
        <v>2.0072933389999998</v>
      </c>
    </row>
    <row r="408" spans="1:21" x14ac:dyDescent="0.25">
      <c r="A408" s="1" t="s">
        <v>53</v>
      </c>
      <c r="B408">
        <v>2015</v>
      </c>
      <c r="C408">
        <f>IF(A409=Estimates_of_the_use_of_water__2000_2020[[#This Row],[name]], B409-Estimates_of_the_use_of_water__2000_2020[[#This Row],[year]],"")</f>
        <v>5</v>
      </c>
      <c r="D408">
        <v>68714.515629999994</v>
      </c>
      <c r="E408">
        <v>47.694004059999997</v>
      </c>
      <c r="F408">
        <v>99.259170580000003</v>
      </c>
      <c r="G408">
        <f>((F409-Estimates_of_the_use_of_water__2000_2020[[#This Row],[wat_bas_n]])/(B409-Estimates_of_the_use_of_water__2000_2020[[#This Row],[year]]))</f>
        <v>0.14816588399999944</v>
      </c>
      <c r="H408">
        <f>((N409-Estimates_of_the_use_of_water__2000_2020[[#This Row],[wat_bas_r]])/(B409-Estimates_of_the_use_of_water__2000_2020[[#This Row],[year]]))</f>
        <v>0.22409665799999914</v>
      </c>
      <c r="I408">
        <f>(R409-Estimates_of_the_use_of_water__2000_2020[[#This Row],[wat_bas_u]])/(B409-Estimates_of_the_use_of_water__2000_2020[[#This Row],[year]])</f>
        <v>6.4892631999998687E-2</v>
      </c>
      <c r="J408">
        <f>ABS(Estimates_of_the_use_of_water__2000_2020[[#This Row],[ARC_r]]-Estimates_of_the_use_of_water__2000_2020[[#This Row],[ARC_u]])</f>
        <v>0.15920402600000044</v>
      </c>
      <c r="K408">
        <v>0.2176525852</v>
      </c>
      <c r="L408">
        <v>0.1822513237</v>
      </c>
      <c r="M408">
        <v>0.34092551430000001</v>
      </c>
      <c r="N408">
        <v>98.879516710000004</v>
      </c>
      <c r="O408">
        <v>0.2456716052</v>
      </c>
      <c r="P408">
        <v>0.22302119049999999</v>
      </c>
      <c r="Q408">
        <v>0.65179049</v>
      </c>
      <c r="R408">
        <v>99.675536840000007</v>
      </c>
      <c r="S408">
        <v>0.1869241354</v>
      </c>
      <c r="T408">
        <v>0.1375390245</v>
      </c>
      <c r="U408">
        <v>0</v>
      </c>
    </row>
    <row r="409" spans="1:21" x14ac:dyDescent="0.25">
      <c r="A409" s="1" t="s">
        <v>53</v>
      </c>
      <c r="B409">
        <v>2020</v>
      </c>
      <c r="C409" t="str">
        <f>IF(A410=Estimates_of_the_use_of_water__2000_2020[[#This Row],[name]], B410-Estimates_of_the_use_of_water__2000_2020[[#This Row],[year]],"")</f>
        <v/>
      </c>
      <c r="D409">
        <v>69799.976559999996</v>
      </c>
      <c r="E409">
        <v>51.430000309999997</v>
      </c>
      <c r="F409">
        <v>100</v>
      </c>
      <c r="G409">
        <f>((F410-Estimates_of_the_use_of_water__2000_2020[[#This Row],[wat_bas_n]])/(B410-Estimates_of_the_use_of_water__2000_2020[[#This Row],[year]]))</f>
        <v>4.949979257999999</v>
      </c>
      <c r="H409">
        <f>((N410-Estimates_of_the_use_of_water__2000_2020[[#This Row],[wat_bas_r]])/(B410-Estimates_of_the_use_of_water__2000_2020[[#This Row],[year]]))</f>
        <v>6.2081220500000001</v>
      </c>
      <c r="I409">
        <f>(R410-Estimates_of_the_use_of_water__2000_2020[[#This Row],[wat_bas_u]])/(B410-Estimates_of_the_use_of_water__2000_2020[[#This Row],[year]])</f>
        <v>1.9417837539999994</v>
      </c>
      <c r="J409">
        <f>ABS(Estimates_of_the_use_of_water__2000_2020[[#This Row],[ARC_r]]-Estimates_of_the_use_of_water__2000_2020[[#This Row],[ARC_u]])</f>
        <v>4.2663382960000007</v>
      </c>
      <c r="K409">
        <v>0</v>
      </c>
      <c r="L409">
        <v>0</v>
      </c>
      <c r="M409">
        <v>0</v>
      </c>
      <c r="N409">
        <v>100</v>
      </c>
      <c r="O409">
        <v>0</v>
      </c>
      <c r="P409">
        <v>0</v>
      </c>
      <c r="Q409">
        <v>0</v>
      </c>
      <c r="R409">
        <v>100</v>
      </c>
      <c r="S409">
        <v>0</v>
      </c>
      <c r="T409">
        <v>0</v>
      </c>
      <c r="U409">
        <v>0</v>
      </c>
    </row>
    <row r="410" spans="1:21" x14ac:dyDescent="0.25">
      <c r="A410" s="1" t="s">
        <v>192</v>
      </c>
      <c r="B410">
        <v>2015</v>
      </c>
      <c r="C410">
        <f>IF(A411=Estimates_of_the_use_of_water__2000_2020[[#This Row],[name]], B411-Estimates_of_the_use_of_water__2000_2020[[#This Row],[year]],"")</f>
        <v>5</v>
      </c>
      <c r="D410">
        <v>1196.2939449999999</v>
      </c>
      <c r="E410">
        <v>29.489999770000001</v>
      </c>
      <c r="F410">
        <v>75.250103710000005</v>
      </c>
      <c r="G410">
        <f>((F411-Estimates_of_the_use_of_water__2000_2020[[#This Row],[wat_bas_n]])/(B411-Estimates_of_the_use_of_water__2000_2020[[#This Row],[year]]))</f>
        <v>2.0490994979999981</v>
      </c>
      <c r="H410">
        <f>((N411-Estimates_of_the_use_of_water__2000_2020[[#This Row],[wat_bas_r]])/(B411-Estimates_of_the_use_of_water__2000_2020[[#This Row],[year]]))</f>
        <v>2.3056811740000001</v>
      </c>
      <c r="I410">
        <f>(R411-Estimates_of_the_use_of_water__2000_2020[[#This Row],[wat_bas_u]])/(B411-Estimates_of_the_use_of_water__2000_2020[[#This Row],[year]])</f>
        <v>1.2371753380000001</v>
      </c>
      <c r="J410">
        <f>ABS(Estimates_of_the_use_of_water__2000_2020[[#This Row],[ARC_r]]-Estimates_of_the_use_of_water__2000_2020[[#This Row],[ARC_u]])</f>
        <v>1.0685058359999999</v>
      </c>
      <c r="K410">
        <v>3.486316247</v>
      </c>
      <c r="L410">
        <v>16.460746719999999</v>
      </c>
      <c r="M410">
        <v>4.8028333229999998</v>
      </c>
      <c r="N410">
        <v>68.95938975</v>
      </c>
      <c r="O410">
        <v>4.2085077100000001</v>
      </c>
      <c r="P410">
        <v>20.19524109</v>
      </c>
      <c r="Q410">
        <v>6.6368614499999996</v>
      </c>
      <c r="R410">
        <v>90.291081230000003</v>
      </c>
      <c r="S410">
        <v>1.759571234</v>
      </c>
      <c r="T410">
        <v>7.5316383</v>
      </c>
      <c r="U410">
        <v>0.41770924009999999</v>
      </c>
    </row>
    <row r="411" spans="1:21" x14ac:dyDescent="0.25">
      <c r="A411" s="1" t="s">
        <v>192</v>
      </c>
      <c r="B411">
        <v>2020</v>
      </c>
      <c r="C411" t="str">
        <f>IF(A412=Estimates_of_the_use_of_water__2000_2020[[#This Row],[name]], B412-Estimates_of_the_use_of_water__2000_2020[[#This Row],[year]],"")</f>
        <v/>
      </c>
      <c r="D411">
        <v>1318.4420170000001</v>
      </c>
      <c r="E411">
        <v>31.31999969</v>
      </c>
      <c r="F411">
        <v>85.495601199999996</v>
      </c>
      <c r="G411">
        <f>((F412-Estimates_of_the_use_of_water__2000_2020[[#This Row],[wat_bas_n]])/(B412-Estimates_of_the_use_of_water__2000_2020[[#This Row],[year]]))</f>
        <v>4.3716949699999983</v>
      </c>
      <c r="H411">
        <f>((N412-Estimates_of_the_use_of_water__2000_2020[[#This Row],[wat_bas_r]])/(B412-Estimates_of_the_use_of_water__2000_2020[[#This Row],[year]]))</f>
        <v>6.6491224679999998</v>
      </c>
      <c r="I411">
        <f>(R412-Estimates_of_the_use_of_water__2000_2020[[#This Row],[wat_bas_u]])/(B412-Estimates_of_the_use_of_water__2000_2020[[#This Row],[year]])</f>
        <v>1.6699256439999999</v>
      </c>
      <c r="J411">
        <f>ABS(Estimates_of_the_use_of_water__2000_2020[[#This Row],[ARC_r]]-Estimates_of_the_use_of_water__2000_2020[[#This Row],[ARC_u]])</f>
        <v>4.9791968239999997</v>
      </c>
      <c r="K411">
        <v>1.88586597</v>
      </c>
      <c r="L411">
        <v>8.3600293969999999</v>
      </c>
      <c r="M411">
        <v>4.2585034329999996</v>
      </c>
      <c r="N411">
        <v>80.48779562</v>
      </c>
      <c r="O411">
        <v>2.0493646750000001</v>
      </c>
      <c r="P411">
        <v>11.26233968</v>
      </c>
      <c r="Q411">
        <v>6.2005000179999996</v>
      </c>
      <c r="R411">
        <v>96.476957920000004</v>
      </c>
      <c r="S411">
        <v>1.527338152</v>
      </c>
      <c r="T411">
        <v>1.995703929</v>
      </c>
      <c r="U411">
        <v>0</v>
      </c>
    </row>
    <row r="412" spans="1:21" x14ac:dyDescent="0.25">
      <c r="A412" s="1" t="s">
        <v>217</v>
      </c>
      <c r="B412">
        <v>2015</v>
      </c>
      <c r="C412">
        <f>IF(A413=Estimates_of_the_use_of_water__2000_2020[[#This Row],[name]], B413-Estimates_of_the_use_of_water__2000_2020[[#This Row],[year]],"")</f>
        <v>5</v>
      </c>
      <c r="D412">
        <v>7323.1621089999999</v>
      </c>
      <c r="E412">
        <v>40.099998470000003</v>
      </c>
      <c r="F412">
        <v>63.637126350000003</v>
      </c>
      <c r="G412">
        <f>((F413-Estimates_of_the_use_of_water__2000_2020[[#This Row],[wat_bas_n]])/(B413-Estimates_of_the_use_of_water__2000_2020[[#This Row],[year]]))</f>
        <v>0.98931874799999941</v>
      </c>
      <c r="H412">
        <f>((N413-Estimates_of_the_use_of_water__2000_2020[[#This Row],[wat_bas_r]])/(B413-Estimates_of_the_use_of_water__2000_2020[[#This Row],[year]]))</f>
        <v>0.97507389400000055</v>
      </c>
      <c r="I412">
        <f>(R413-Estimates_of_the_use_of_water__2000_2020[[#This Row],[wat_bas_u]])/(B413-Estimates_of_the_use_of_water__2000_2020[[#This Row],[year]])</f>
        <v>0.49251606199999853</v>
      </c>
      <c r="J412">
        <f>ABS(Estimates_of_the_use_of_water__2000_2020[[#This Row],[ARC_r]]-Estimates_of_the_use_of_water__2000_2020[[#This Row],[ARC_u]])</f>
        <v>0.48255783200000202</v>
      </c>
      <c r="K412">
        <v>5.6657679649999997</v>
      </c>
      <c r="L412">
        <v>17.17891539</v>
      </c>
      <c r="M412">
        <v>13.51819029</v>
      </c>
      <c r="N412">
        <v>47.242183279999999</v>
      </c>
      <c r="O412">
        <v>7.3346522839999997</v>
      </c>
      <c r="P412">
        <v>23.470036180000001</v>
      </c>
      <c r="Q412">
        <v>21.953128249999999</v>
      </c>
      <c r="R412">
        <v>88.127329700000004</v>
      </c>
      <c r="S412">
        <v>3.1728458380000002</v>
      </c>
      <c r="T412">
        <v>7.7814550410000001</v>
      </c>
      <c r="U412">
        <v>0.91836941770000002</v>
      </c>
    </row>
    <row r="413" spans="1:21" x14ac:dyDescent="0.25">
      <c r="A413" s="1" t="s">
        <v>217</v>
      </c>
      <c r="B413">
        <v>2020</v>
      </c>
      <c r="C413" t="str">
        <f>IF(A414=Estimates_of_the_use_of_water__2000_2020[[#This Row],[name]], B414-Estimates_of_the_use_of_water__2000_2020[[#This Row],[year]],"")</f>
        <v/>
      </c>
      <c r="D413">
        <v>8278.7373050000006</v>
      </c>
      <c r="E413">
        <v>42.799999239999998</v>
      </c>
      <c r="F413">
        <v>68.58372009</v>
      </c>
      <c r="G413">
        <f>((F414-Estimates_of_the_use_of_water__2000_2020[[#This Row],[wat_bas_n]])/(B414-Estimates_of_the_use_of_water__2000_2020[[#This Row],[year]]))</f>
        <v>-6.1747351820000009</v>
      </c>
      <c r="H413">
        <f>((N414-Estimates_of_the_use_of_water__2000_2020[[#This Row],[wat_bas_r]])/(B414-Estimates_of_the_use_of_water__2000_2020[[#This Row],[year]]))</f>
        <v>-9.4679686499999995</v>
      </c>
      <c r="I413">
        <f>(R414-Estimates_of_the_use_of_water__2000_2020[[#This Row],[wat_bas_u]])/(B414-Estimates_of_the_use_of_water__2000_2020[[#This Row],[year]])</f>
        <v>18.117982001999998</v>
      </c>
      <c r="J413">
        <f>ABS(Estimates_of_the_use_of_water__2000_2020[[#This Row],[ARC_r]]-Estimates_of_the_use_of_water__2000_2020[[#This Row],[ARC_u]])</f>
        <v>27.585950651999998</v>
      </c>
      <c r="K413">
        <v>6.065434765</v>
      </c>
      <c r="L413">
        <v>14.16432245</v>
      </c>
      <c r="M413">
        <v>11.18652269</v>
      </c>
      <c r="N413">
        <v>52.117552750000002</v>
      </c>
      <c r="O413">
        <v>8.1875420190000003</v>
      </c>
      <c r="P413">
        <v>20.7910842</v>
      </c>
      <c r="Q413">
        <v>18.90382103</v>
      </c>
      <c r="R413">
        <v>90.589910009999997</v>
      </c>
      <c r="S413">
        <v>3.2293480560000001</v>
      </c>
      <c r="T413">
        <v>5.3079905280000004</v>
      </c>
      <c r="U413">
        <v>0.87275140490000003</v>
      </c>
    </row>
    <row r="414" spans="1:21" x14ac:dyDescent="0.25">
      <c r="A414" s="1" t="s">
        <v>84</v>
      </c>
      <c r="B414">
        <v>2015</v>
      </c>
      <c r="C414">
        <f>IF(A415=Estimates_of_the_use_of_water__2000_2020[[#This Row],[name]], B415-Estimates_of_the_use_of_water__2000_2020[[#This Row],[year]],"")</f>
        <v>5</v>
      </c>
      <c r="D414">
        <v>1.2469999789999999</v>
      </c>
      <c r="E414">
        <v>0</v>
      </c>
      <c r="F414">
        <v>99.457396000000003</v>
      </c>
      <c r="G414">
        <f>((F415-Estimates_of_the_use_of_water__2000_2020[[#This Row],[wat_bas_n]])/(B415-Estimates_of_the_use_of_water__2000_2020[[#This Row],[year]]))</f>
        <v>5.0056129999998686E-2</v>
      </c>
      <c r="H414">
        <f>((N415-Estimates_of_the_use_of_water__2000_2020[[#This Row],[wat_bas_r]])/(B415-Estimates_of_the_use_of_water__2000_2020[[#This Row],[year]]))</f>
        <v>5.0056129999998686E-2</v>
      </c>
      <c r="I414">
        <f>(R415-Estimates_of_the_use_of_water__2000_2020[[#This Row],[wat_bas_u]])/(B415-Estimates_of_the_use_of_water__2000_2020[[#This Row],[year]])</f>
        <v>0</v>
      </c>
      <c r="J414">
        <f>ABS(Estimates_of_the_use_of_water__2000_2020[[#This Row],[ARC_r]]-Estimates_of_the_use_of_water__2000_2020[[#This Row],[ARC_u]])</f>
        <v>5.0056129999998686E-2</v>
      </c>
      <c r="K414">
        <v>0</v>
      </c>
      <c r="L414">
        <v>0.54260399999999998</v>
      </c>
      <c r="M414">
        <v>0</v>
      </c>
      <c r="N414">
        <v>99.457396000000003</v>
      </c>
      <c r="O414">
        <v>0</v>
      </c>
      <c r="P414">
        <v>0.54260399999999998</v>
      </c>
      <c r="Q414">
        <v>0</v>
      </c>
    </row>
    <row r="415" spans="1:21" x14ac:dyDescent="0.25">
      <c r="A415" s="1" t="s">
        <v>84</v>
      </c>
      <c r="B415">
        <v>2020</v>
      </c>
      <c r="C415" t="str">
        <f>IF(A416=Estimates_of_the_use_of_water__2000_2020[[#This Row],[name]], B416-Estimates_of_the_use_of_water__2000_2020[[#This Row],[year]],"")</f>
        <v/>
      </c>
      <c r="D415">
        <v>1.3500000240000001</v>
      </c>
      <c r="E415">
        <v>0</v>
      </c>
      <c r="F415">
        <v>99.707676649999996</v>
      </c>
      <c r="G415">
        <f>((F416-Estimates_of_the_use_of_water__2000_2020[[#This Row],[wat_bas_n]])/(B416-Estimates_of_the_use_of_water__2000_2020[[#This Row],[year]]))</f>
        <v>0.23159425999999997</v>
      </c>
      <c r="H415">
        <f>((N416-Estimates_of_the_use_of_water__2000_2020[[#This Row],[wat_bas_r]])/(B416-Estimates_of_the_use_of_water__2000_2020[[#This Row],[year]]))</f>
        <v>0.26292568399999822</v>
      </c>
      <c r="I415">
        <f>(R416-Estimates_of_the_use_of_water__2000_2020[[#This Row],[wat_bas_u]])/(B416-Estimates_of_the_use_of_water__2000_2020[[#This Row],[year]])</f>
        <v>-19.813222111999998</v>
      </c>
      <c r="J415">
        <f>ABS(Estimates_of_the_use_of_water__2000_2020[[#This Row],[ARC_r]]-Estimates_of_the_use_of_water__2000_2020[[#This Row],[ARC_u]])</f>
        <v>20.076147795999997</v>
      </c>
      <c r="K415">
        <v>0</v>
      </c>
      <c r="L415">
        <v>0.29232334589999998</v>
      </c>
      <c r="M415">
        <v>0</v>
      </c>
      <c r="N415">
        <v>99.707676649999996</v>
      </c>
      <c r="O415">
        <v>0</v>
      </c>
      <c r="P415">
        <v>0.29232334589999998</v>
      </c>
      <c r="Q415">
        <v>0</v>
      </c>
    </row>
    <row r="416" spans="1:21" x14ac:dyDescent="0.25">
      <c r="A416" s="1" t="s">
        <v>108</v>
      </c>
      <c r="B416">
        <v>2015</v>
      </c>
      <c r="C416">
        <f>IF(A417=Estimates_of_the_use_of_water__2000_2020[[#This Row],[name]], B417-Estimates_of_the_use_of_water__2000_2020[[#This Row],[year]],"")</f>
        <v>5</v>
      </c>
      <c r="D416">
        <v>100.7799988</v>
      </c>
      <c r="E416">
        <v>23.274999619999999</v>
      </c>
      <c r="F416">
        <v>98.549705349999996</v>
      </c>
      <c r="G416">
        <f>((F417-Estimates_of_the_use_of_water__2000_2020[[#This Row],[wat_bas_n]])/(B417-Estimates_of_the_use_of_water__2000_2020[[#This Row],[year]]))</f>
        <v>3.6275095999999965E-2</v>
      </c>
      <c r="H416">
        <f>((N417-Estimates_of_the_use_of_water__2000_2020[[#This Row],[wat_bas_r]])/(B417-Estimates_of_the_use_of_water__2000_2020[[#This Row],[year]]))</f>
        <v>1.5006061999997655E-2</v>
      </c>
      <c r="I416">
        <f>(R417-Estimates_of_the_use_of_water__2000_2020[[#This Row],[wat_bas_u]])/(B417-Estimates_of_the_use_of_water__2000_2020[[#This Row],[year]])</f>
        <v>0.1081095260000012</v>
      </c>
      <c r="J416">
        <f>ABS(Estimates_of_the_use_of_water__2000_2020[[#This Row],[ARC_r]]-Estimates_of_the_use_of_water__2000_2020[[#This Row],[ARC_u]])</f>
        <v>9.310346400000355E-2</v>
      </c>
      <c r="K416">
        <v>0.87898212229999995</v>
      </c>
      <c r="L416">
        <v>0.57131252860000004</v>
      </c>
      <c r="M416">
        <v>0</v>
      </c>
      <c r="N416">
        <v>98.393048230000005</v>
      </c>
      <c r="O416">
        <v>1.1023191240000001</v>
      </c>
      <c r="P416">
        <v>0.50463264750000003</v>
      </c>
      <c r="Q416">
        <v>0</v>
      </c>
      <c r="R416">
        <v>99.066110559999998</v>
      </c>
      <c r="S416">
        <v>0.14276156700000001</v>
      </c>
      <c r="T416">
        <v>0.79112787279999996</v>
      </c>
      <c r="U416">
        <v>0</v>
      </c>
    </row>
    <row r="417" spans="1:21" x14ac:dyDescent="0.25">
      <c r="A417" s="1" t="s">
        <v>108</v>
      </c>
      <c r="B417">
        <v>2020</v>
      </c>
      <c r="C417" t="str">
        <f>IF(A418=Estimates_of_the_use_of_water__2000_2020[[#This Row],[name]], B418-Estimates_of_the_use_of_water__2000_2020[[#This Row],[year]],"")</f>
        <v/>
      </c>
      <c r="D417">
        <v>105.6969986</v>
      </c>
      <c r="E417">
        <v>23.098999020000001</v>
      </c>
      <c r="F417">
        <v>98.731080829999996</v>
      </c>
      <c r="G417">
        <f>((F418-Estimates_of_the_use_of_water__2000_2020[[#This Row],[wat_bas_n]])/(B418-Estimates_of_the_use_of_water__2000_2020[[#This Row],[year]]))</f>
        <v>0.11898063600000057</v>
      </c>
      <c r="H417">
        <f>((N418-Estimates_of_the_use_of_water__2000_2020[[#This Row],[wat_bas_r]])/(B418-Estimates_of_the_use_of_water__2000_2020[[#This Row],[year]]))</f>
        <v>19.693615707999999</v>
      </c>
      <c r="I417">
        <f>(R418-Estimates_of_the_use_of_water__2000_2020[[#This Row],[wat_bas_u]])/(B418-Estimates_of_the_use_of_water__2000_2020[[#This Row],[year]])</f>
        <v>19.921331638000002</v>
      </c>
      <c r="J417">
        <f>ABS(Estimates_of_the_use_of_water__2000_2020[[#This Row],[ARC_r]]-Estimates_of_the_use_of_water__2000_2020[[#This Row],[ARC_u]])</f>
        <v>0.22771593000000223</v>
      </c>
      <c r="K417">
        <v>0.88149729619999995</v>
      </c>
      <c r="L417">
        <v>0.38742187769999997</v>
      </c>
      <c r="M417">
        <v>0</v>
      </c>
      <c r="N417">
        <v>98.468078539999993</v>
      </c>
      <c r="O417">
        <v>1.103159706</v>
      </c>
      <c r="P417">
        <v>0.42876175509999997</v>
      </c>
      <c r="Q417">
        <v>0</v>
      </c>
      <c r="R417">
        <v>99.606658190000005</v>
      </c>
      <c r="S417">
        <v>0.143540536</v>
      </c>
      <c r="T417">
        <v>0.2498012758</v>
      </c>
      <c r="U417">
        <v>0</v>
      </c>
    </row>
    <row r="418" spans="1:21" x14ac:dyDescent="0.25">
      <c r="A418" s="1" t="s">
        <v>105</v>
      </c>
      <c r="B418">
        <v>2015</v>
      </c>
      <c r="C418">
        <f>IF(A419=Estimates_of_the_use_of_water__2000_2020[[#This Row],[name]], B419-Estimates_of_the_use_of_water__2000_2020[[#This Row],[year]],"")</f>
        <v>5</v>
      </c>
      <c r="D418">
        <v>1370.3320309999999</v>
      </c>
      <c r="E418">
        <v>53.319000240000001</v>
      </c>
      <c r="F418">
        <v>98.136177649999993</v>
      </c>
      <c r="G418">
        <f>((F419-Estimates_of_the_use_of_water__2000_2020[[#This Row],[wat_bas_n]])/(B419-Estimates_of_the_use_of_water__2000_2020[[#This Row],[year]]))</f>
        <v>0.14779862400000071</v>
      </c>
      <c r="H418">
        <f>((N419-Estimates_of_the_use_of_water__2000_2020[[#This Row],[wat_bas_r]])/(B419-Estimates_of_the_use_of_water__2000_2020[[#This Row],[year]]))</f>
        <v>0</v>
      </c>
      <c r="I418">
        <f>(R419-Estimates_of_the_use_of_water__2000_2020[[#This Row],[wat_bas_u]])/(B419-Estimates_of_the_use_of_water__2000_2020[[#This Row],[year]])</f>
        <v>0</v>
      </c>
      <c r="J418">
        <f>ABS(Estimates_of_the_use_of_water__2000_2020[[#This Row],[ARC_r]]-Estimates_of_the_use_of_water__2000_2020[[#This Row],[ARC_u]])</f>
        <v>0</v>
      </c>
      <c r="K418">
        <v>1.1164222559999999</v>
      </c>
      <c r="L418">
        <v>0.56928192339999995</v>
      </c>
      <c r="M418">
        <v>0.17811817260000001</v>
      </c>
    </row>
    <row r="419" spans="1:21" x14ac:dyDescent="0.25">
      <c r="A419" s="1" t="s">
        <v>105</v>
      </c>
      <c r="B419">
        <v>2020</v>
      </c>
      <c r="C419" t="str">
        <f>IF(A420=Estimates_of_the_use_of_water__2000_2020[[#This Row],[name]], B420-Estimates_of_the_use_of_water__2000_2020[[#This Row],[year]],"")</f>
        <v/>
      </c>
      <c r="D419">
        <v>1399.490967</v>
      </c>
      <c r="E419">
        <v>53.2140007</v>
      </c>
      <c r="F419">
        <v>98.875170769999997</v>
      </c>
      <c r="G419">
        <f>((F420-Estimates_of_the_use_of_water__2000_2020[[#This Row],[wat_bas_n]])/(B420-Estimates_of_the_use_of_water__2000_2020[[#This Row],[year]]))</f>
        <v>0.80594313400000028</v>
      </c>
      <c r="H419">
        <f>((N420-Estimates_of_the_use_of_water__2000_2020[[#This Row],[wat_bas_r]])/(B420-Estimates_of_the_use_of_water__2000_2020[[#This Row],[year]]))</f>
        <v>-17.118134594000001</v>
      </c>
      <c r="I419">
        <f>(R420-Estimates_of_the_use_of_water__2000_2020[[#This Row],[wat_bas_u]])/(B420-Estimates_of_the_use_of_water__2000_2020[[#This Row],[year]])</f>
        <v>-19.837889587999999</v>
      </c>
      <c r="J419">
        <f>ABS(Estimates_of_the_use_of_water__2000_2020[[#This Row],[ARC_r]]-Estimates_of_the_use_of_water__2000_2020[[#This Row],[ARC_u]])</f>
        <v>2.7197549939999988</v>
      </c>
      <c r="K419">
        <v>1.1248292310000001</v>
      </c>
      <c r="L419">
        <v>0</v>
      </c>
      <c r="M419">
        <v>0</v>
      </c>
    </row>
    <row r="420" spans="1:21" x14ac:dyDescent="0.25">
      <c r="A420" s="1" t="s">
        <v>124</v>
      </c>
      <c r="B420">
        <v>2015</v>
      </c>
      <c r="C420">
        <f>IF(A421=Estimates_of_the_use_of_water__2000_2020[[#This Row],[name]], B421-Estimates_of_the_use_of_water__2000_2020[[#This Row],[year]],"")</f>
        <v>5</v>
      </c>
      <c r="D420">
        <v>11179.95117</v>
      </c>
      <c r="E420">
        <v>68.055999760000006</v>
      </c>
      <c r="F420">
        <v>94.845455099999995</v>
      </c>
      <c r="G420">
        <f>((F421-Estimates_of_the_use_of_water__2000_2020[[#This Row],[wat_bas_n]])/(B421-Estimates_of_the_use_of_water__2000_2020[[#This Row],[year]]))</f>
        <v>0.53957077800000097</v>
      </c>
      <c r="H420">
        <f>((N421-Estimates_of_the_use_of_water__2000_2020[[#This Row],[wat_bas_r]])/(B421-Estimates_of_the_use_of_water__2000_2020[[#This Row],[year]]))</f>
        <v>1.6691117920000011</v>
      </c>
      <c r="I420">
        <f>(R421-Estimates_of_the_use_of_water__2000_2020[[#This Row],[wat_bas_u]])/(B421-Estimates_of_the_use_of_water__2000_2020[[#This Row],[year]])</f>
        <v>-1.3650061999999252E-2</v>
      </c>
      <c r="J420">
        <f>ABS(Estimates_of_the_use_of_water__2000_2020[[#This Row],[ARC_r]]-Estimates_of_the_use_of_water__2000_2020[[#This Row],[ARC_u]])</f>
        <v>1.6827618540000004</v>
      </c>
      <c r="K420">
        <v>2.9001003930000002</v>
      </c>
      <c r="L420">
        <v>2.1791030770000002</v>
      </c>
      <c r="M420">
        <v>7.5341425109999999E-2</v>
      </c>
      <c r="N420">
        <v>85.59067297</v>
      </c>
      <c r="O420">
        <v>7.6364837000000003</v>
      </c>
      <c r="P420">
        <v>6.5369886399999997</v>
      </c>
      <c r="Q420">
        <v>0.23585469070000001</v>
      </c>
      <c r="R420">
        <v>99.189447939999994</v>
      </c>
      <c r="S420">
        <v>0.67694539840000001</v>
      </c>
      <c r="T420">
        <v>0.13360666639999999</v>
      </c>
      <c r="U420">
        <v>0</v>
      </c>
    </row>
    <row r="421" spans="1:21" x14ac:dyDescent="0.25">
      <c r="A421" s="1" t="s">
        <v>124</v>
      </c>
      <c r="B421">
        <v>2020</v>
      </c>
      <c r="C421" t="str">
        <f>IF(A422=Estimates_of_the_use_of_water__2000_2020[[#This Row],[name]], B422-Estimates_of_the_use_of_water__2000_2020[[#This Row],[year]],"")</f>
        <v/>
      </c>
      <c r="D421">
        <v>11818.61816</v>
      </c>
      <c r="E421">
        <v>69.568000789999999</v>
      </c>
      <c r="F421">
        <v>97.54330899</v>
      </c>
      <c r="G421">
        <f>((F422-Estimates_of_the_use_of_water__2000_2020[[#This Row],[wat_bas_n]])/(B422-Estimates_of_the_use_of_water__2000_2020[[#This Row],[year]]))</f>
        <v>0.25742997399999867</v>
      </c>
      <c r="H421">
        <f>((N422-Estimates_of_the_use_of_water__2000_2020[[#This Row],[wat_bas_r]])/(B422-Estimates_of_the_use_of_water__2000_2020[[#This Row],[year]]))</f>
        <v>-5.3530211999998301E-2</v>
      </c>
      <c r="I421">
        <f>(R422-Estimates_of_the_use_of_water__2000_2020[[#This Row],[wat_bas_u]])/(B422-Estimates_of_the_use_of_water__2000_2020[[#This Row],[year]])</f>
        <v>0.42586251799999958</v>
      </c>
      <c r="J421">
        <f>ABS(Estimates_of_the_use_of_water__2000_2020[[#This Row],[ARC_r]]-Estimates_of_the_use_of_water__2000_2020[[#This Row],[ARC_u]])</f>
        <v>0.47939272999999788</v>
      </c>
      <c r="K421">
        <v>1.63135067</v>
      </c>
      <c r="L421">
        <v>0.82534033780000005</v>
      </c>
      <c r="M421">
        <v>0</v>
      </c>
      <c r="N421">
        <v>93.936231930000005</v>
      </c>
      <c r="O421">
        <v>3.3516873569999999</v>
      </c>
      <c r="P421">
        <v>2.71208071</v>
      </c>
      <c r="Q421">
        <v>0</v>
      </c>
      <c r="R421">
        <v>99.121197629999998</v>
      </c>
      <c r="S421">
        <v>0.87880236840000003</v>
      </c>
      <c r="T421">
        <v>0</v>
      </c>
      <c r="U421">
        <v>0</v>
      </c>
    </row>
    <row r="422" spans="1:21" x14ac:dyDescent="0.25">
      <c r="A422" s="1" t="s">
        <v>132</v>
      </c>
      <c r="B422">
        <v>2015</v>
      </c>
      <c r="C422">
        <f>IF(A423=Estimates_of_the_use_of_water__2000_2020[[#This Row],[name]], B423-Estimates_of_the_use_of_water__2000_2020[[#This Row],[year]],"")</f>
        <v>5</v>
      </c>
      <c r="D422">
        <v>78529.414059999996</v>
      </c>
      <c r="E422">
        <v>73.611000059999995</v>
      </c>
      <c r="F422">
        <v>96.256159120000007</v>
      </c>
      <c r="G422">
        <f>((F423-Estimates_of_the_use_of_water__2000_2020[[#This Row],[wat_bas_n]])/(B423-Estimates_of_the_use_of_water__2000_2020[[#This Row],[year]]))</f>
        <v>0.15162200799999823</v>
      </c>
      <c r="H422">
        <f>((N423-Estimates_of_the_use_of_water__2000_2020[[#This Row],[wat_bas_r]])/(B423-Estimates_of_the_use_of_water__2000_2020[[#This Row],[year]]))</f>
        <v>0.36425735600000164</v>
      </c>
      <c r="I422">
        <f>(R423-Estimates_of_the_use_of_water__2000_2020[[#This Row],[wat_bas_u]])/(B423-Estimates_of_the_use_of_water__2000_2020[[#This Row],[year]])</f>
        <v>6.6586558000000198E-2</v>
      </c>
      <c r="J422">
        <f>ABS(Estimates_of_the_use_of_water__2000_2020[[#This Row],[ARC_r]]-Estimates_of_the_use_of_water__2000_2020[[#This Row],[ARC_u]])</f>
        <v>0.29767079800000146</v>
      </c>
      <c r="K422">
        <v>2.0267476019999999</v>
      </c>
      <c r="L422">
        <v>1.5188707130000001</v>
      </c>
      <c r="M422">
        <v>0.1982225671</v>
      </c>
      <c r="N422">
        <v>94.203882989999997</v>
      </c>
      <c r="O422">
        <v>2.6336569440000002</v>
      </c>
      <c r="P422">
        <v>2.7404600640000001</v>
      </c>
      <c r="Q422">
        <v>0.42199999999999999</v>
      </c>
      <c r="R422">
        <v>96.99188504</v>
      </c>
      <c r="S422">
        <v>1.8091750579999999</v>
      </c>
      <c r="T422">
        <v>1.080939898</v>
      </c>
      <c r="U422">
        <v>0.11799999999999999</v>
      </c>
    </row>
    <row r="423" spans="1:21" x14ac:dyDescent="0.25">
      <c r="A423" s="1" t="s">
        <v>132</v>
      </c>
      <c r="B423">
        <v>2020</v>
      </c>
      <c r="C423" t="str">
        <f>IF(A424=Estimates_of_the_use_of_water__2000_2020[[#This Row],[name]], B424-Estimates_of_the_use_of_water__2000_2020[[#This Row],[year]],"")</f>
        <v/>
      </c>
      <c r="D423">
        <v>84339.070309999996</v>
      </c>
      <c r="E423">
        <v>76.105003359999998</v>
      </c>
      <c r="F423">
        <v>97.014269159999998</v>
      </c>
      <c r="G423">
        <f>((F424-Estimates_of_the_use_of_water__2000_2020[[#This Row],[wat_bas_n]])/(B424-Estimates_of_the_use_of_water__2000_2020[[#This Row],[year]]))</f>
        <v>-0.12893502999999953</v>
      </c>
      <c r="H423">
        <f>((N424-Estimates_of_the_use_of_water__2000_2020[[#This Row],[wat_bas_r]])/(B424-Estimates_of_the_use_of_water__2000_2020[[#This Row],[year]]))</f>
        <v>-3.8922678000000134E-2</v>
      </c>
      <c r="I423">
        <f>(R424-Estimates_of_the_use_of_water__2000_2020[[#This Row],[wat_bas_u]])/(B424-Estimates_of_the_use_of_water__2000_2020[[#This Row],[year]])</f>
        <v>-0.35103077800000049</v>
      </c>
      <c r="J423">
        <f>ABS(Estimates_of_the_use_of_water__2000_2020[[#This Row],[ARC_r]]-Estimates_of_the_use_of_water__2000_2020[[#This Row],[ARC_u]])</f>
        <v>0.31210810000000033</v>
      </c>
      <c r="K423">
        <v>2.0230780749999999</v>
      </c>
      <c r="L423">
        <v>0.73767495449999998</v>
      </c>
      <c r="M423">
        <v>0.2249778093</v>
      </c>
      <c r="N423">
        <v>96.025169770000005</v>
      </c>
      <c r="O423">
        <v>2.684574639</v>
      </c>
      <c r="P423">
        <v>0.78825559109999999</v>
      </c>
      <c r="Q423">
        <v>0.502</v>
      </c>
      <c r="R423">
        <v>97.324817830000001</v>
      </c>
      <c r="S423">
        <v>1.8153852029999999</v>
      </c>
      <c r="T423">
        <v>0.72179696339999999</v>
      </c>
      <c r="U423">
        <v>0.13800000000000001</v>
      </c>
    </row>
    <row r="424" spans="1:21" x14ac:dyDescent="0.25">
      <c r="A424" s="1" t="s">
        <v>47</v>
      </c>
      <c r="B424">
        <v>2015</v>
      </c>
      <c r="C424">
        <f>IF(A425=Estimates_of_the_use_of_water__2000_2020[[#This Row],[name]], B425-Estimates_of_the_use_of_water__2000_2020[[#This Row],[year]],"")</f>
        <v>5</v>
      </c>
      <c r="D424">
        <v>5565.283203</v>
      </c>
      <c r="E424">
        <v>50.317001339999997</v>
      </c>
      <c r="F424">
        <v>97.658944309999995</v>
      </c>
      <c r="G424">
        <f>((F425-Estimates_of_the_use_of_water__2000_2020[[#This Row],[wat_bas_n]])/(B425-Estimates_of_the_use_of_water__2000_2020[[#This Row],[year]]))</f>
        <v>0.46821113800000091</v>
      </c>
      <c r="H424">
        <f>((N425-Estimates_of_the_use_of_water__2000_2020[[#This Row],[wat_bas_r]])/(B425-Estimates_of_the_use_of_water__2000_2020[[#This Row],[year]]))</f>
        <v>0.75604336799999883</v>
      </c>
      <c r="I424">
        <f>(R425-Estimates_of_the_use_of_water__2000_2020[[#This Row],[wat_bas_u]])/(B425-Estimates_of_the_use_of_water__2000_2020[[#This Row],[year]])</f>
        <v>0.18400565599999935</v>
      </c>
      <c r="J424">
        <f>ABS(Estimates_of_the_use_of_water__2000_2020[[#This Row],[ARC_r]]-Estimates_of_the_use_of_water__2000_2020[[#This Row],[ARC_u]])</f>
        <v>0.57203771199999953</v>
      </c>
      <c r="K424">
        <v>0.94791505470000004</v>
      </c>
      <c r="L424">
        <v>0.24775003200000001</v>
      </c>
      <c r="M424">
        <v>1.1453906060000001</v>
      </c>
      <c r="N424">
        <v>96.219783160000006</v>
      </c>
      <c r="O424">
        <v>1.0009544290000001</v>
      </c>
      <c r="P424">
        <v>0.47386486500000002</v>
      </c>
      <c r="Q424">
        <v>2.305397551</v>
      </c>
      <c r="R424">
        <v>99.079971720000003</v>
      </c>
      <c r="S424">
        <v>0.89554398800000001</v>
      </c>
      <c r="T424">
        <v>2.4484294899999998E-2</v>
      </c>
      <c r="U424">
        <v>0</v>
      </c>
    </row>
    <row r="425" spans="1:21" x14ac:dyDescent="0.25">
      <c r="A425" s="1" t="s">
        <v>47</v>
      </c>
      <c r="B425">
        <v>2020</v>
      </c>
      <c r="C425" t="str">
        <f>IF(A426=Estimates_of_the_use_of_water__2000_2020[[#This Row],[name]], B426-Estimates_of_the_use_of_water__2000_2020[[#This Row],[year]],"")</f>
        <v/>
      </c>
      <c r="D425">
        <v>6031.1870120000003</v>
      </c>
      <c r="E425">
        <v>52.516002659999998</v>
      </c>
      <c r="F425">
        <v>100</v>
      </c>
      <c r="G425">
        <f>((F426-Estimates_of_the_use_of_water__2000_2020[[#This Row],[wat_bas_n]])/(B426-Estimates_of_the_use_of_water__2000_2020[[#This Row],[year]]))</f>
        <v>1.1363636359999987</v>
      </c>
      <c r="H425">
        <f>((N426-Estimates_of_the_use_of_water__2000_2020[[#This Row],[wat_bas_r]])/(B426-Estimates_of_the_use_of_water__2000_2020[[#This Row],[year]]))</f>
        <v>20</v>
      </c>
      <c r="I425">
        <f>(R426-Estimates_of_the_use_of_water__2000_2020[[#This Row],[wat_bas_u]])/(B426-Estimates_of_the_use_of_water__2000_2020[[#This Row],[year]])</f>
        <v>20</v>
      </c>
      <c r="J425">
        <f>ABS(Estimates_of_the_use_of_water__2000_2020[[#This Row],[ARC_r]]-Estimates_of_the_use_of_water__2000_2020[[#This Row],[ARC_u]])</f>
        <v>0</v>
      </c>
      <c r="K425">
        <v>0</v>
      </c>
      <c r="L425">
        <v>0</v>
      </c>
      <c r="M425">
        <v>0</v>
      </c>
      <c r="N425">
        <v>100</v>
      </c>
      <c r="O425">
        <v>0</v>
      </c>
      <c r="P425">
        <v>0</v>
      </c>
      <c r="Q425">
        <v>0</v>
      </c>
      <c r="R425">
        <v>100</v>
      </c>
      <c r="S425">
        <v>0</v>
      </c>
      <c r="T425">
        <v>0</v>
      </c>
      <c r="U425">
        <v>0</v>
      </c>
    </row>
    <row r="426" spans="1:21" x14ac:dyDescent="0.25">
      <c r="A426" s="1" t="s">
        <v>160</v>
      </c>
      <c r="B426">
        <v>2015</v>
      </c>
      <c r="C426">
        <f>IF(A427=Estimates_of_the_use_of_water__2000_2020[[#This Row],[name]], B427-Estimates_of_the_use_of_water__2000_2020[[#This Row],[year]],"")</f>
        <v>3</v>
      </c>
      <c r="D426">
        <v>35.97900009</v>
      </c>
      <c r="E426">
        <v>92.194992069999998</v>
      </c>
      <c r="F426">
        <v>94.318181820000007</v>
      </c>
      <c r="G426">
        <f>((F427-Estimates_of_the_use_of_water__2000_2020[[#This Row],[wat_bas_n]])/(B427-Estimates_of_the_use_of_water__2000_2020[[#This Row],[year]]))</f>
        <v>0</v>
      </c>
      <c r="H426">
        <f>((N427-Estimates_of_the_use_of_water__2000_2020[[#This Row],[wat_bas_r]])/(B427-Estimates_of_the_use_of_water__2000_2020[[#This Row],[year]]))</f>
        <v>0</v>
      </c>
      <c r="I426">
        <f>(R427-Estimates_of_the_use_of_water__2000_2020[[#This Row],[wat_bas_u]])/(B427-Estimates_of_the_use_of_water__2000_2020[[#This Row],[year]])</f>
        <v>0</v>
      </c>
      <c r="J426">
        <f>ABS(Estimates_of_the_use_of_water__2000_2020[[#This Row],[ARC_r]]-Estimates_of_the_use_of_water__2000_2020[[#This Row],[ARC_u]])</f>
        <v>0</v>
      </c>
      <c r="K426">
        <v>0</v>
      </c>
      <c r="L426">
        <v>5.6818181819999998</v>
      </c>
      <c r="M426">
        <v>0</v>
      </c>
    </row>
    <row r="427" spans="1:21" x14ac:dyDescent="0.25">
      <c r="A427" s="1" t="s">
        <v>160</v>
      </c>
      <c r="B427">
        <v>2018</v>
      </c>
      <c r="C427" t="str">
        <f>IF(A428=Estimates_of_the_use_of_water__2000_2020[[#This Row],[name]], B428-Estimates_of_the_use_of_water__2000_2020[[#This Row],[year]],"")</f>
        <v/>
      </c>
      <c r="D427">
        <v>37.666999820000001</v>
      </c>
      <c r="E427">
        <v>93.097999569999999</v>
      </c>
      <c r="F427">
        <v>94.318181820000007</v>
      </c>
      <c r="G427">
        <f>((F428-Estimates_of_the_use_of_water__2000_2020[[#This Row],[wat_bas_n]])/(B428-Estimates_of_the_use_of_water__2000_2020[[#This Row],[year]]))</f>
        <v>-1.8939393933333311</v>
      </c>
      <c r="H427">
        <f>((N428-Estimates_of_the_use_of_water__2000_2020[[#This Row],[wat_bas_r]])/(B428-Estimates_of_the_use_of_water__2000_2020[[#This Row],[year]]))</f>
        <v>-33.333333333333336</v>
      </c>
      <c r="I427">
        <f>(R428-Estimates_of_the_use_of_water__2000_2020[[#This Row],[wat_bas_u]])/(B428-Estimates_of_the_use_of_water__2000_2020[[#This Row],[year]])</f>
        <v>-33.333333333333336</v>
      </c>
      <c r="J427">
        <f>ABS(Estimates_of_the_use_of_water__2000_2020[[#This Row],[ARC_r]]-Estimates_of_the_use_of_water__2000_2020[[#This Row],[ARC_u]])</f>
        <v>0</v>
      </c>
      <c r="K427">
        <v>0</v>
      </c>
      <c r="L427">
        <v>5.6818181819999998</v>
      </c>
      <c r="M427">
        <v>0</v>
      </c>
    </row>
    <row r="428" spans="1:21" x14ac:dyDescent="0.25">
      <c r="A428" s="1" t="s">
        <v>33</v>
      </c>
      <c r="B428">
        <v>2015</v>
      </c>
      <c r="C428">
        <f>IF(A429=Estimates_of_the_use_of_water__2000_2020[[#This Row],[name]], B429-Estimates_of_the_use_of_water__2000_2020[[#This Row],[year]],"")</f>
        <v>5</v>
      </c>
      <c r="D428">
        <v>11.09899998</v>
      </c>
      <c r="E428">
        <v>59.729999540000001</v>
      </c>
      <c r="F428">
        <v>100</v>
      </c>
      <c r="G428">
        <f>((F429-Estimates_of_the_use_of_water__2000_2020[[#This Row],[wat_bas_n]])/(B429-Estimates_of_the_use_of_water__2000_2020[[#This Row],[year]]))</f>
        <v>0</v>
      </c>
      <c r="H428">
        <f>((N429-Estimates_of_the_use_of_water__2000_2020[[#This Row],[wat_bas_r]])/(B429-Estimates_of_the_use_of_water__2000_2020[[#This Row],[year]]))</f>
        <v>0</v>
      </c>
      <c r="I428">
        <f>(R429-Estimates_of_the_use_of_water__2000_2020[[#This Row],[wat_bas_u]])/(B429-Estimates_of_the_use_of_water__2000_2020[[#This Row],[year]])</f>
        <v>0</v>
      </c>
      <c r="J428">
        <f>ABS(Estimates_of_the_use_of_water__2000_2020[[#This Row],[ARC_r]]-Estimates_of_the_use_of_water__2000_2020[[#This Row],[ARC_u]])</f>
        <v>0</v>
      </c>
      <c r="K428">
        <v>0</v>
      </c>
      <c r="L428">
        <v>0</v>
      </c>
      <c r="M428">
        <v>0</v>
      </c>
      <c r="N428">
        <v>100</v>
      </c>
      <c r="O428">
        <v>0</v>
      </c>
      <c r="P428">
        <v>0</v>
      </c>
      <c r="Q428">
        <v>0</v>
      </c>
      <c r="R428">
        <v>100</v>
      </c>
      <c r="S428">
        <v>0</v>
      </c>
      <c r="T428">
        <v>0</v>
      </c>
      <c r="U428">
        <v>0</v>
      </c>
    </row>
    <row r="429" spans="1:21" x14ac:dyDescent="0.25">
      <c r="A429" s="1" t="s">
        <v>33</v>
      </c>
      <c r="B429">
        <v>2020</v>
      </c>
      <c r="C429" t="str">
        <f>IF(A430=Estimates_of_the_use_of_water__2000_2020[[#This Row],[name]], B430-Estimates_of_the_use_of_water__2000_2020[[#This Row],[year]],"")</f>
        <v/>
      </c>
      <c r="D429">
        <v>11.791999819999999</v>
      </c>
      <c r="E429">
        <v>64.013999940000005</v>
      </c>
      <c r="F429">
        <v>100</v>
      </c>
      <c r="G429">
        <f>((F430-Estimates_of_the_use_of_water__2000_2020[[#This Row],[wat_bas_n]])/(B430-Estimates_of_the_use_of_water__2000_2020[[#This Row],[year]]))</f>
        <v>10.431688328</v>
      </c>
      <c r="H429">
        <f>((N430-Estimates_of_the_use_of_water__2000_2020[[#This Row],[wat_bas_r]])/(B430-Estimates_of_the_use_of_water__2000_2020[[#This Row],[year]]))</f>
        <v>12.056599373999999</v>
      </c>
      <c r="I429">
        <f>(R430-Estimates_of_the_use_of_water__2000_2020[[#This Row],[wat_bas_u]])/(B430-Estimates_of_the_use_of_water__2000_2020[[#This Row],[year]])</f>
        <v>4.690728781999999</v>
      </c>
      <c r="J429">
        <f>ABS(Estimates_of_the_use_of_water__2000_2020[[#This Row],[ARC_r]]-Estimates_of_the_use_of_water__2000_2020[[#This Row],[ARC_u]])</f>
        <v>7.3658705920000003</v>
      </c>
      <c r="K429">
        <v>0</v>
      </c>
      <c r="L429">
        <v>0</v>
      </c>
      <c r="M429">
        <v>0</v>
      </c>
      <c r="N429">
        <v>100</v>
      </c>
      <c r="O429">
        <v>0</v>
      </c>
      <c r="P429">
        <v>0</v>
      </c>
      <c r="Q429">
        <v>0</v>
      </c>
      <c r="R429">
        <v>100</v>
      </c>
      <c r="S429">
        <v>0</v>
      </c>
      <c r="T429">
        <v>0</v>
      </c>
      <c r="U429">
        <v>0</v>
      </c>
    </row>
    <row r="430" spans="1:21" x14ac:dyDescent="0.25">
      <c r="A430" s="1" t="s">
        <v>236</v>
      </c>
      <c r="B430">
        <v>2015</v>
      </c>
      <c r="C430">
        <f>IF(A431=Estimates_of_the_use_of_water__2000_2020[[#This Row],[name]], B431-Estimates_of_the_use_of_water__2000_2020[[#This Row],[year]],"")</f>
        <v>5</v>
      </c>
      <c r="D430">
        <v>38225.445310000003</v>
      </c>
      <c r="E430">
        <v>22.059999470000001</v>
      </c>
      <c r="F430">
        <v>47.841558360000001</v>
      </c>
      <c r="G430">
        <f>((F431-Estimates_of_the_use_of_water__2000_2020[[#This Row],[wat_bas_n]])/(B431-Estimates_of_the_use_of_water__2000_2020[[#This Row],[year]]))</f>
        <v>1.6026981699999994</v>
      </c>
      <c r="H430">
        <f>((N431-Estimates_of_the_use_of_water__2000_2020[[#This Row],[wat_bas_r]])/(B431-Estimates_of_the_use_of_water__2000_2020[[#This Row],[year]]))</f>
        <v>1.7028372899999993</v>
      </c>
      <c r="I430">
        <f>(R431-Estimates_of_the_use_of_water__2000_2020[[#This Row],[wat_bas_u]])/(B431-Estimates_of_the_use_of_water__2000_2020[[#This Row],[year]])</f>
        <v>0.44729914199999998</v>
      </c>
      <c r="J430">
        <f>ABS(Estimates_of_the_use_of_water__2000_2020[[#This Row],[ARC_r]]-Estimates_of_the_use_of_water__2000_2020[[#This Row],[ARC_u]])</f>
        <v>1.2555381479999994</v>
      </c>
      <c r="K430">
        <v>30.095403770000001</v>
      </c>
      <c r="L430">
        <v>15.106768450000001</v>
      </c>
      <c r="M430">
        <v>6.9562694199999999</v>
      </c>
      <c r="N430">
        <v>39.717003130000002</v>
      </c>
      <c r="O430">
        <v>34.176563299999998</v>
      </c>
      <c r="P430">
        <v>17.519117219999998</v>
      </c>
      <c r="Q430">
        <v>8.5873163479999999</v>
      </c>
      <c r="R430">
        <v>76.546356090000003</v>
      </c>
      <c r="S430">
        <v>15.67629339</v>
      </c>
      <c r="T430">
        <v>6.5837192800000004</v>
      </c>
      <c r="U430">
        <v>1.1936312419999999</v>
      </c>
    </row>
    <row r="431" spans="1:21" x14ac:dyDescent="0.25">
      <c r="A431" s="1" t="s">
        <v>236</v>
      </c>
      <c r="B431">
        <v>2020</v>
      </c>
      <c r="C431" t="str">
        <f>IF(A432=Estimates_of_the_use_of_water__2000_2020[[#This Row],[name]], B432-Estimates_of_the_use_of_water__2000_2020[[#This Row],[year]],"")</f>
        <v/>
      </c>
      <c r="D431">
        <v>45741</v>
      </c>
      <c r="E431">
        <v>24.95400047</v>
      </c>
      <c r="F431">
        <v>55.855049209999997</v>
      </c>
      <c r="G431">
        <f>((F432-Estimates_of_the_use_of_water__2000_2020[[#This Row],[wat_bas_n]])/(B432-Estimates_of_the_use_of_water__2000_2020[[#This Row],[year]]))</f>
        <v>-7.5603714960000001</v>
      </c>
      <c r="H431">
        <f>((N432-Estimates_of_the_use_of_water__2000_2020[[#This Row],[wat_bas_r]])/(B432-Estimates_of_the_use_of_water__2000_2020[[#This Row],[year]]))</f>
        <v>-10.122384405999998</v>
      </c>
      <c r="I431">
        <f>(R432-Estimates_of_the_use_of_water__2000_2020[[#This Row],[wat_bas_u]])/(B432-Estimates_of_the_use_of_water__2000_2020[[#This Row],[year]])</f>
        <v>-2.5101313460000001</v>
      </c>
      <c r="J431">
        <f>ABS(Estimates_of_the_use_of_water__2000_2020[[#This Row],[ARC_r]]-Estimates_of_the_use_of_water__2000_2020[[#This Row],[ARC_u]])</f>
        <v>7.6122530599999987</v>
      </c>
      <c r="K431">
        <v>27.282859999999999</v>
      </c>
      <c r="L431">
        <v>12.16590654</v>
      </c>
      <c r="M431">
        <v>4.6961842520000001</v>
      </c>
      <c r="N431">
        <v>48.231189579999999</v>
      </c>
      <c r="O431">
        <v>31.784694259999998</v>
      </c>
      <c r="P431">
        <v>14.076160610000001</v>
      </c>
      <c r="Q431">
        <v>5.9079555460000002</v>
      </c>
      <c r="R431">
        <v>78.782851800000003</v>
      </c>
      <c r="S431">
        <v>13.74416783</v>
      </c>
      <c r="T431">
        <v>6.4210441329999997</v>
      </c>
      <c r="U431">
        <v>1.0519362379999999</v>
      </c>
    </row>
    <row r="432" spans="1:21" x14ac:dyDescent="0.25">
      <c r="A432" s="1" t="s">
        <v>166</v>
      </c>
      <c r="B432">
        <v>2015</v>
      </c>
      <c r="C432">
        <f>IF(A433=Estimates_of_the_use_of_water__2000_2020[[#This Row],[name]], B433-Estimates_of_the_use_of_water__2000_2020[[#This Row],[year]],"")</f>
        <v>5</v>
      </c>
      <c r="D432">
        <v>44921.636720000002</v>
      </c>
      <c r="E432">
        <v>69.061004639999993</v>
      </c>
      <c r="F432">
        <v>93.65690669</v>
      </c>
      <c r="G432">
        <f>((F433-Estimates_of_the_use_of_water__2000_2020[[#This Row],[wat_bas_n]])/(B433-Estimates_of_the_use_of_water__2000_2020[[#This Row],[year]]))</f>
        <v>5.4275051999999845E-2</v>
      </c>
      <c r="H432">
        <f>((N433-Estimates_of_the_use_of_water__2000_2020[[#This Row],[wat_bas_r]])/(B433-Estimates_of_the_use_of_water__2000_2020[[#This Row],[year]]))</f>
        <v>0.2313776780000012</v>
      </c>
      <c r="I432">
        <f>(R433-Estimates_of_the_use_of_water__2000_2020[[#This Row],[wat_bas_u]])/(B433-Estimates_of_the_use_of_water__2000_2020[[#This Row],[year]])</f>
        <v>-1.1247683999999935E-2</v>
      </c>
      <c r="J432">
        <f>ABS(Estimates_of_the_use_of_water__2000_2020[[#This Row],[ARC_r]]-Estimates_of_the_use_of_water__2000_2020[[#This Row],[ARC_u]])</f>
        <v>0.24262536200000112</v>
      </c>
      <c r="K432">
        <v>5.6308737229999997</v>
      </c>
      <c r="L432">
        <v>0.4364563488</v>
      </c>
      <c r="M432">
        <v>0.27576323949999998</v>
      </c>
      <c r="N432">
        <v>98.843111609999994</v>
      </c>
      <c r="O432">
        <v>0</v>
      </c>
      <c r="P432">
        <v>0.944405312</v>
      </c>
      <c r="Q432">
        <v>0.21248308169999999</v>
      </c>
      <c r="R432">
        <v>91.333508530000003</v>
      </c>
      <c r="S432">
        <v>8.1534782769999996</v>
      </c>
      <c r="T432">
        <v>0.20890075559999999</v>
      </c>
      <c r="U432">
        <v>0.30411244139999999</v>
      </c>
    </row>
    <row r="433" spans="1:21" x14ac:dyDescent="0.25">
      <c r="A433" s="1" t="s">
        <v>166</v>
      </c>
      <c r="B433">
        <v>2020</v>
      </c>
      <c r="C433" t="str">
        <f>IF(A434=Estimates_of_the_use_of_water__2000_2020[[#This Row],[name]], B434-Estimates_of_the_use_of_water__2000_2020[[#This Row],[year]],"")</f>
        <v/>
      </c>
      <c r="D433">
        <v>43733.757810000003</v>
      </c>
      <c r="E433">
        <v>69.608001709999996</v>
      </c>
      <c r="F433">
        <v>93.928281949999999</v>
      </c>
      <c r="G433">
        <f>((F434-Estimates_of_the_use_of_water__2000_2020[[#This Row],[wat_bas_n]])/(B434-Estimates_of_the_use_of_water__2000_2020[[#This Row],[year]]))</f>
        <v>-1.2086101039999988</v>
      </c>
      <c r="H433">
        <f>((N434-Estimates_of_the_use_of_water__2000_2020[[#This Row],[wat_bas_r]])/(B434-Estimates_of_the_use_of_water__2000_2020[[#This Row],[year]]))</f>
        <v>20</v>
      </c>
      <c r="I433">
        <f>(R434-Estimates_of_the_use_of_water__2000_2020[[#This Row],[wat_bas_u]])/(B434-Estimates_of_the_use_of_water__2000_2020[[#This Row],[year]])</f>
        <v>18.255454022000002</v>
      </c>
      <c r="J433">
        <f>ABS(Estimates_of_the_use_of_water__2000_2020[[#This Row],[ARC_r]]-Estimates_of_the_use_of_water__2000_2020[[#This Row],[ARC_u]])</f>
        <v>1.7445459779999979</v>
      </c>
      <c r="K433">
        <v>5.671978717</v>
      </c>
      <c r="L433">
        <v>7.5904501289999995E-2</v>
      </c>
      <c r="M433">
        <v>0.32383483600000001</v>
      </c>
      <c r="N433">
        <v>100</v>
      </c>
      <c r="O433">
        <v>0</v>
      </c>
      <c r="P433">
        <v>0</v>
      </c>
      <c r="Q433">
        <v>0</v>
      </c>
      <c r="R433">
        <v>91.277270110000003</v>
      </c>
      <c r="S433">
        <v>8.1484577900000001</v>
      </c>
      <c r="T433">
        <v>0.1090456533</v>
      </c>
      <c r="U433">
        <v>0.46522644460000001</v>
      </c>
    </row>
    <row r="434" spans="1:21" x14ac:dyDescent="0.25">
      <c r="A434" s="1" t="s">
        <v>60</v>
      </c>
      <c r="B434">
        <v>2015</v>
      </c>
      <c r="C434">
        <f>IF(A435=Estimates_of_the_use_of_water__2000_2020[[#This Row],[name]], B435-Estimates_of_the_use_of_water__2000_2020[[#This Row],[year]],"")</f>
        <v>5</v>
      </c>
      <c r="D434">
        <v>9262.8964840000008</v>
      </c>
      <c r="E434">
        <v>85.674003600000006</v>
      </c>
      <c r="F434">
        <v>99.971332469999993</v>
      </c>
      <c r="G434">
        <f>((F435-Estimates_of_the_use_of_water__2000_2020[[#This Row],[wat_bas_n]])/(B435-Estimates_of_the_use_of_water__2000_2020[[#This Row],[year]]))</f>
        <v>-1.1472939999976005E-3</v>
      </c>
      <c r="H434">
        <f>((N435-Estimates_of_the_use_of_water__2000_2020[[#This Row],[wat_bas_r]])/(B435-Estimates_of_the_use_of_water__2000_2020[[#This Row],[year]]))</f>
        <v>0</v>
      </c>
      <c r="I434">
        <f>(R435-Estimates_of_the_use_of_water__2000_2020[[#This Row],[wat_bas_u]])/(B435-Estimates_of_the_use_of_water__2000_2020[[#This Row],[year]])</f>
        <v>0</v>
      </c>
      <c r="J434">
        <f>ABS(Estimates_of_the_use_of_water__2000_2020[[#This Row],[ARC_r]]-Estimates_of_the_use_of_water__2000_2020[[#This Row],[ARC_u]])</f>
        <v>0</v>
      </c>
      <c r="K434">
        <v>0</v>
      </c>
      <c r="L434">
        <v>2.8667534309999999E-2</v>
      </c>
      <c r="M434">
        <v>0</v>
      </c>
    </row>
    <row r="435" spans="1:21" x14ac:dyDescent="0.25">
      <c r="A435" s="1" t="s">
        <v>60</v>
      </c>
      <c r="B435">
        <v>2020</v>
      </c>
      <c r="C435" t="str">
        <f>IF(A436=Estimates_of_the_use_of_water__2000_2020[[#This Row],[name]], B436-Estimates_of_the_use_of_water__2000_2020[[#This Row],[year]],"")</f>
        <v/>
      </c>
      <c r="D435">
        <v>9890.4003909999992</v>
      </c>
      <c r="E435">
        <v>87.047996519999998</v>
      </c>
      <c r="F435">
        <v>99.965596000000005</v>
      </c>
      <c r="G435">
        <f>((F436-Estimates_of_the_use_of_water__2000_2020[[#This Row],[wat_bas_n]])/(B436-Estimates_of_the_use_of_water__2000_2020[[#This Row],[year]]))</f>
        <v>-6.8810999999982412E-3</v>
      </c>
      <c r="H435">
        <f>((N436-Estimates_of_the_use_of_water__2000_2020[[#This Row],[wat_bas_r]])/(B436-Estimates_of_the_use_of_water__2000_2020[[#This Row],[year]]))</f>
        <v>-20</v>
      </c>
      <c r="I435">
        <f>(R436-Estimates_of_the_use_of_water__2000_2020[[#This Row],[wat_bas_u]])/(B436-Estimates_of_the_use_of_water__2000_2020[[#This Row],[year]])</f>
        <v>-20</v>
      </c>
      <c r="J435">
        <f>ABS(Estimates_of_the_use_of_water__2000_2020[[#This Row],[ARC_r]]-Estimates_of_the_use_of_water__2000_2020[[#This Row],[ARC_u]])</f>
        <v>0</v>
      </c>
      <c r="K435">
        <v>0</v>
      </c>
      <c r="L435">
        <v>3.4403999999999997E-2</v>
      </c>
      <c r="M435">
        <v>0</v>
      </c>
    </row>
    <row r="436" spans="1:21" x14ac:dyDescent="0.25">
      <c r="A436" s="1" t="s">
        <v>26</v>
      </c>
      <c r="B436">
        <v>2015</v>
      </c>
      <c r="C436">
        <f>IF(A437=Estimates_of_the_use_of_water__2000_2020[[#This Row],[name]], B437-Estimates_of_the_use_of_water__2000_2020[[#This Row],[year]],"")</f>
        <v>5</v>
      </c>
      <c r="D436">
        <v>65860.148440000004</v>
      </c>
      <c r="E436">
        <v>82.625999449999995</v>
      </c>
      <c r="F436">
        <v>100.0000015</v>
      </c>
      <c r="G436">
        <f>((F437-Estimates_of_the_use_of_water__2000_2020[[#This Row],[wat_bas_n]])/(B437-Estimates_of_the_use_of_water__2000_2020[[#This Row],[year]]))</f>
        <v>-5.8800000033443214E-7</v>
      </c>
      <c r="H436">
        <f>((N437-Estimates_of_the_use_of_water__2000_2020[[#This Row],[wat_bas_r]])/(B437-Estimates_of_the_use_of_water__2000_2020[[#This Row],[year]]))</f>
        <v>0</v>
      </c>
      <c r="I436">
        <f>(R437-Estimates_of_the_use_of_water__2000_2020[[#This Row],[wat_bas_u]])/(B437-Estimates_of_the_use_of_water__2000_2020[[#This Row],[year]])</f>
        <v>0</v>
      </c>
      <c r="J436">
        <f>ABS(Estimates_of_the_use_of_water__2000_2020[[#This Row],[ARC_r]]-Estimates_of_the_use_of_water__2000_2020[[#This Row],[ARC_u]])</f>
        <v>0</v>
      </c>
      <c r="K436">
        <v>0</v>
      </c>
      <c r="L436">
        <v>0</v>
      </c>
      <c r="M436">
        <v>0</v>
      </c>
      <c r="N436">
        <v>100</v>
      </c>
      <c r="O436">
        <v>0</v>
      </c>
      <c r="P436">
        <v>0</v>
      </c>
      <c r="Q436">
        <v>0</v>
      </c>
      <c r="R436">
        <v>100</v>
      </c>
      <c r="S436">
        <v>0</v>
      </c>
      <c r="T436">
        <v>0</v>
      </c>
      <c r="U436">
        <v>0</v>
      </c>
    </row>
    <row r="437" spans="1:21" x14ac:dyDescent="0.25">
      <c r="A437" s="1" t="s">
        <v>26</v>
      </c>
      <c r="B437">
        <v>2020</v>
      </c>
      <c r="C437" t="str">
        <f>IF(A438=Estimates_of_the_use_of_water__2000_2020[[#This Row],[name]], B438-Estimates_of_the_use_of_water__2000_2020[[#This Row],[year]],"")</f>
        <v/>
      </c>
      <c r="D437">
        <v>67886.007809999996</v>
      </c>
      <c r="E437">
        <v>83.902999879999996</v>
      </c>
      <c r="F437">
        <v>99.999998559999995</v>
      </c>
      <c r="G437">
        <f>((F438-Estimates_of_the_use_of_water__2000_2020[[#This Row],[wat_bas_n]])/(B438-Estimates_of_the_use_of_water__2000_2020[[#This Row],[year]]))</f>
        <v>9.4072407939999998</v>
      </c>
      <c r="H437">
        <f>((N438-Estimates_of_the_use_of_water__2000_2020[[#This Row],[wat_bas_r]])/(B438-Estimates_of_the_use_of_water__2000_2020[[#This Row],[year]]))</f>
        <v>12.227315088000001</v>
      </c>
      <c r="I437">
        <f>(R438-Estimates_of_the_use_of_water__2000_2020[[#This Row],[wat_bas_u]])/(B438-Estimates_of_the_use_of_water__2000_2020[[#This Row],[year]])</f>
        <v>3.30782892</v>
      </c>
      <c r="J437">
        <f>ABS(Estimates_of_the_use_of_water__2000_2020[[#This Row],[ARC_r]]-Estimates_of_the_use_of_water__2000_2020[[#This Row],[ARC_u]])</f>
        <v>8.9194861680000006</v>
      </c>
      <c r="K437">
        <v>0</v>
      </c>
      <c r="L437">
        <v>1.4385328199999999E-6</v>
      </c>
      <c r="M437">
        <v>0</v>
      </c>
      <c r="N437">
        <v>100</v>
      </c>
      <c r="O437">
        <v>0</v>
      </c>
      <c r="P437">
        <v>0</v>
      </c>
      <c r="Q437">
        <v>0</v>
      </c>
      <c r="R437">
        <v>100</v>
      </c>
      <c r="S437">
        <v>0</v>
      </c>
      <c r="T437">
        <v>0</v>
      </c>
      <c r="U437">
        <v>0</v>
      </c>
    </row>
    <row r="438" spans="1:21" x14ac:dyDescent="0.25">
      <c r="A438" s="1" t="s">
        <v>229</v>
      </c>
      <c r="B438">
        <v>2015</v>
      </c>
      <c r="C438">
        <f>IF(A439=Estimates_of_the_use_of_water__2000_2020[[#This Row],[name]], B439-Estimates_of_the_use_of_water__2000_2020[[#This Row],[year]],"")</f>
        <v>5</v>
      </c>
      <c r="D438">
        <v>51482.636720000002</v>
      </c>
      <c r="E438">
        <v>31.617000579999999</v>
      </c>
      <c r="F438">
        <v>52.963794589999999</v>
      </c>
      <c r="G438">
        <f>((F439-Estimates_of_the_use_of_water__2000_2020[[#This Row],[wat_bas_n]])/(B439-Estimates_of_the_use_of_water__2000_2020[[#This Row],[year]]))</f>
        <v>1.5506005999999999</v>
      </c>
      <c r="H438">
        <f>((N439-Estimates_of_the_use_of_water__2000_2020[[#This Row],[wat_bas_r]])/(B439-Estimates_of_the_use_of_water__2000_2020[[#This Row],[year]]))</f>
        <v>1.316708156</v>
      </c>
      <c r="I438">
        <f>(R439-Estimates_of_the_use_of_water__2000_2020[[#This Row],[wat_bas_u]])/(B439-Estimates_of_the_use_of_water__2000_2020[[#This Row],[year]])</f>
        <v>1.0666138999999988</v>
      </c>
      <c r="J438">
        <f>ABS(Estimates_of_the_use_of_water__2000_2020[[#This Row],[ARC_r]]-Estimates_of_the_use_of_water__2000_2020[[#This Row],[ARC_u]])</f>
        <v>0.25009425600000124</v>
      </c>
      <c r="K438">
        <v>11.30893693</v>
      </c>
      <c r="L438">
        <v>21.385247880000001</v>
      </c>
      <c r="M438">
        <v>14.3420206</v>
      </c>
      <c r="N438">
        <v>38.863424559999999</v>
      </c>
      <c r="O438">
        <v>13.19289824</v>
      </c>
      <c r="P438">
        <v>28.1932841</v>
      </c>
      <c r="Q438">
        <v>19.750393110000001</v>
      </c>
      <c r="R438">
        <v>83.4608554</v>
      </c>
      <c r="S438">
        <v>7.2342011279999996</v>
      </c>
      <c r="T438">
        <v>6.6604502999999999</v>
      </c>
      <c r="U438">
        <v>2.6444931710000001</v>
      </c>
    </row>
    <row r="439" spans="1:21" x14ac:dyDescent="0.25">
      <c r="A439" s="1" t="s">
        <v>229</v>
      </c>
      <c r="B439">
        <v>2020</v>
      </c>
      <c r="C439" t="str">
        <f>IF(A440=Estimates_of_the_use_of_water__2000_2020[[#This Row],[name]], B440-Estimates_of_the_use_of_water__2000_2020[[#This Row],[year]],"")</f>
        <v/>
      </c>
      <c r="D439">
        <v>59734.214840000001</v>
      </c>
      <c r="E439">
        <v>35.227001190000003</v>
      </c>
      <c r="F439">
        <v>60.716797589999999</v>
      </c>
      <c r="G439">
        <f>((F440-Estimates_of_the_use_of_water__2000_2020[[#This Row],[wat_bas_n]])/(B440-Estimates_of_the_use_of_water__2000_2020[[#This Row],[year]]))</f>
        <v>-7.7460720339999991</v>
      </c>
      <c r="H439">
        <f>((N440-Estimates_of_the_use_of_water__2000_2020[[#This Row],[wat_bas_r]])/(B440-Estimates_of_the_use_of_water__2000_2020[[#This Row],[year]]))</f>
        <v>-10.466630633999999</v>
      </c>
      <c r="I439">
        <f>(R440-Estimates_of_the_use_of_water__2000_2020[[#This Row],[wat_bas_u]])/(B440-Estimates_of_the_use_of_water__2000_2020[[#This Row],[year]])</f>
        <v>-2.205470982</v>
      </c>
      <c r="J439">
        <f>ABS(Estimates_of_the_use_of_water__2000_2020[[#This Row],[ARC_r]]-Estimates_of_the_use_of_water__2000_2020[[#This Row],[ARC_u]])</f>
        <v>8.2611596519999999</v>
      </c>
      <c r="K439">
        <v>11.29007067</v>
      </c>
      <c r="L439">
        <v>14.51775136</v>
      </c>
      <c r="M439">
        <v>13.475380380000001</v>
      </c>
      <c r="N439">
        <v>45.446965339999998</v>
      </c>
      <c r="O439">
        <v>13.98368881</v>
      </c>
      <c r="P439">
        <v>21.21996133</v>
      </c>
      <c r="Q439">
        <v>19.349384520000001</v>
      </c>
      <c r="R439">
        <v>88.793924899999993</v>
      </c>
      <c r="S439">
        <v>6.3372311659999996</v>
      </c>
      <c r="T439">
        <v>2.1941787860000002</v>
      </c>
      <c r="U439">
        <v>2.6746651520000002</v>
      </c>
    </row>
    <row r="440" spans="1:21" x14ac:dyDescent="0.25">
      <c r="A440" s="1" t="s">
        <v>72</v>
      </c>
      <c r="B440">
        <v>2015</v>
      </c>
      <c r="C440">
        <f>IF(A441=Estimates_of_the_use_of_water__2000_2020[[#This Row],[name]], B441-Estimates_of_the_use_of_water__2000_2020[[#This Row],[year]],"")</f>
        <v>5</v>
      </c>
      <c r="D440">
        <v>320878.3125</v>
      </c>
      <c r="E440">
        <v>81.671005249999993</v>
      </c>
      <c r="F440">
        <v>99.447157759999996</v>
      </c>
      <c r="G440">
        <f>((F441-Estimates_of_the_use_of_water__2000_2020[[#This Row],[wat_bas_n]])/(B441-Estimates_of_the_use_of_water__2000_2020[[#This Row],[year]]))</f>
        <v>8.7273784000001339E-2</v>
      </c>
      <c r="H440">
        <f>((N441-Estimates_of_the_use_of_water__2000_2020[[#This Row],[wat_bas_r]])/(B441-Estimates_of_the_use_of_water__2000_2020[[#This Row],[year]]))</f>
        <v>0.37813376600000198</v>
      </c>
      <c r="I440">
        <f>(R441-Estimates_of_the_use_of_water__2000_2020[[#This Row],[wat_bas_u]])/(B441-Estimates_of_the_use_of_water__2000_2020[[#This Row],[year]])</f>
        <v>2.1372932000002721E-2</v>
      </c>
      <c r="J440">
        <f>ABS(Estimates_of_the_use_of_water__2000_2020[[#This Row],[ARC_r]]-Estimates_of_the_use_of_water__2000_2020[[#This Row],[ARC_u]])</f>
        <v>0.35676083399999925</v>
      </c>
      <c r="K440">
        <v>0</v>
      </c>
      <c r="L440">
        <v>0.55284223720000003</v>
      </c>
      <c r="M440">
        <v>0</v>
      </c>
      <c r="N440">
        <v>97.780118509999994</v>
      </c>
      <c r="O440">
        <v>0</v>
      </c>
      <c r="P440">
        <v>2.2198814850000002</v>
      </c>
      <c r="Q440">
        <v>0</v>
      </c>
      <c r="R440">
        <v>99.821279809999993</v>
      </c>
      <c r="S440">
        <v>0</v>
      </c>
      <c r="T440">
        <v>0.1787201944</v>
      </c>
      <c r="U440">
        <v>0</v>
      </c>
    </row>
    <row r="441" spans="1:21" x14ac:dyDescent="0.25">
      <c r="A441" s="1" t="s">
        <v>72</v>
      </c>
      <c r="B441">
        <v>2020</v>
      </c>
      <c r="C441" t="str">
        <f>IF(A442=Estimates_of_the_use_of_water__2000_2020[[#This Row],[name]], B442-Estimates_of_the_use_of_water__2000_2020[[#This Row],[year]],"")</f>
        <v/>
      </c>
      <c r="D441">
        <v>331002.65629999997</v>
      </c>
      <c r="E441">
        <v>82.664001459999994</v>
      </c>
      <c r="F441">
        <v>99.883526680000003</v>
      </c>
      <c r="G441">
        <f>((F442-Estimates_of_the_use_of_water__2000_2020[[#This Row],[wat_bas_n]])/(B442-Estimates_of_the_use_of_water__2000_2020[[#This Row],[year]]))</f>
        <v>0.23305077400000015</v>
      </c>
      <c r="H441">
        <f>((N442-Estimates_of_the_use_of_water__2000_2020[[#This Row],[wat_bas_r]])/(B442-Estimates_of_the_use_of_water__2000_2020[[#This Row],[year]]))</f>
        <v>19.934157468000002</v>
      </c>
      <c r="I441">
        <f>(R442-Estimates_of_the_use_of_water__2000_2020[[#This Row],[wat_bas_u]])/(B442-Estimates_of_the_use_of_water__2000_2020[[#This Row],[year]])</f>
        <v>19.985628894000001</v>
      </c>
      <c r="J441">
        <f>ABS(Estimates_of_the_use_of_water__2000_2020[[#This Row],[ARC_r]]-Estimates_of_the_use_of_water__2000_2020[[#This Row],[ARC_u]])</f>
        <v>5.1471425999999099E-2</v>
      </c>
      <c r="K441">
        <v>0</v>
      </c>
      <c r="L441">
        <v>0.1164733182</v>
      </c>
      <c r="M441">
        <v>0</v>
      </c>
      <c r="N441">
        <v>99.670787340000004</v>
      </c>
      <c r="O441">
        <v>0</v>
      </c>
      <c r="P441">
        <v>0.3292126628</v>
      </c>
      <c r="Q441">
        <v>0</v>
      </c>
      <c r="R441">
        <v>99.928144470000007</v>
      </c>
      <c r="S441">
        <v>0</v>
      </c>
      <c r="T441">
        <v>7.1855529599999995E-2</v>
      </c>
      <c r="U441">
        <v>0</v>
      </c>
    </row>
    <row r="442" spans="1:21" x14ac:dyDescent="0.25">
      <c r="A442" s="1" t="s">
        <v>109</v>
      </c>
      <c r="B442">
        <v>2015</v>
      </c>
      <c r="C442">
        <f>IF(A443=Estimates_of_the_use_of_water__2000_2020[[#This Row],[name]], B443-Estimates_of_the_use_of_water__2000_2020[[#This Row],[year]],"")</f>
        <v>5</v>
      </c>
      <c r="D442">
        <v>104.9499969</v>
      </c>
      <c r="E442">
        <v>95.349998470000003</v>
      </c>
      <c r="F442">
        <v>98.718272810000002</v>
      </c>
      <c r="G442">
        <f>((F443-Estimates_of_the_use_of_water__2000_2020[[#This Row],[wat_bas_n]])/(B443-Estimates_of_the_use_of_water__2000_2020[[#This Row],[year]]))</f>
        <v>-1.0860000003276582E-6</v>
      </c>
      <c r="H442">
        <f>((N443-Estimates_of_the_use_of_water__2000_2020[[#This Row],[wat_bas_r]])/(B443-Estimates_of_the_use_of_water__2000_2020[[#This Row],[year]]))</f>
        <v>0</v>
      </c>
      <c r="I442">
        <f>(R443-Estimates_of_the_use_of_water__2000_2020[[#This Row],[wat_bas_u]])/(B443-Estimates_of_the_use_of_water__2000_2020[[#This Row],[year]])</f>
        <v>0</v>
      </c>
      <c r="J442">
        <f>ABS(Estimates_of_the_use_of_water__2000_2020[[#This Row],[ARC_r]]-Estimates_of_the_use_of_water__2000_2020[[#This Row],[ARC_u]])</f>
        <v>0</v>
      </c>
      <c r="K442">
        <v>0</v>
      </c>
      <c r="L442">
        <v>1.2817271859999999</v>
      </c>
      <c r="M442">
        <v>0</v>
      </c>
    </row>
    <row r="443" spans="1:21" x14ac:dyDescent="0.25">
      <c r="A443" s="1" t="s">
        <v>109</v>
      </c>
      <c r="B443">
        <v>2020</v>
      </c>
      <c r="C443" t="str">
        <f>IF(A444=Estimates_of_the_use_of_water__2000_2020[[#This Row],[name]], B444-Estimates_of_the_use_of_water__2000_2020[[#This Row],[year]],"")</f>
        <v/>
      </c>
      <c r="D443">
        <v>104.4229965</v>
      </c>
      <c r="E443">
        <v>95.939002990000006</v>
      </c>
      <c r="F443">
        <v>98.71826738</v>
      </c>
      <c r="G443">
        <f>((F444-Estimates_of_the_use_of_water__2000_2020[[#This Row],[wat_bas_n]])/(B444-Estimates_of_the_use_of_water__2000_2020[[#This Row],[year]]))</f>
        <v>-8.2626035999999209E-2</v>
      </c>
      <c r="H443">
        <f>((N444-Estimates_of_the_use_of_water__2000_2020[[#This Row],[wat_bas_r]])/(B444-Estimates_of_the_use_of_water__2000_2020[[#This Row],[year]]))</f>
        <v>-18.299168768000001</v>
      </c>
      <c r="I443">
        <f>(R444-Estimates_of_the_use_of_water__2000_2020[[#This Row],[wat_bas_u]])/(B444-Estimates_of_the_use_of_water__2000_2020[[#This Row],[year]])</f>
        <v>-19.905892395999999</v>
      </c>
      <c r="J443">
        <f>ABS(Estimates_of_the_use_of_water__2000_2020[[#This Row],[ARC_r]]-Estimates_of_the_use_of_water__2000_2020[[#This Row],[ARC_u]])</f>
        <v>1.6067236279999975</v>
      </c>
      <c r="K443">
        <v>0</v>
      </c>
      <c r="L443">
        <v>1.281732624</v>
      </c>
      <c r="M443">
        <v>0</v>
      </c>
    </row>
    <row r="444" spans="1:21" x14ac:dyDescent="0.25">
      <c r="A444" s="1" t="s">
        <v>93</v>
      </c>
      <c r="B444">
        <v>2015</v>
      </c>
      <c r="C444">
        <f>IF(A445=Estimates_of_the_use_of_water__2000_2020[[#This Row],[name]], B445-Estimates_of_the_use_of_water__2000_2020[[#This Row],[year]],"")</f>
        <v>5</v>
      </c>
      <c r="D444">
        <v>3412.0129390000002</v>
      </c>
      <c r="E444">
        <v>95.04499817</v>
      </c>
      <c r="F444">
        <v>99.131397559999996</v>
      </c>
      <c r="G444">
        <f>((F445-Estimates_of_the_use_of_water__2000_2020[[#This Row],[wat_bas_n]])/(B445-Estimates_of_the_use_of_water__2000_2020[[#This Row],[year]]))</f>
        <v>7.2872000000000978E-2</v>
      </c>
      <c r="H444">
        <f>((N445-Estimates_of_the_use_of_water__2000_2020[[#This Row],[wat_bas_r]])/(B445-Estimates_of_the_use_of_water__2000_2020[[#This Row],[year]]))</f>
        <v>0.76099723199999969</v>
      </c>
      <c r="I444">
        <f>(R445-Estimates_of_the_use_of_water__2000_2020[[#This Row],[wat_bas_u]])/(B445-Estimates_of_the_use_of_water__2000_2020[[#This Row],[year]])</f>
        <v>3.2654492000000347E-2</v>
      </c>
      <c r="J444">
        <f>ABS(Estimates_of_the_use_of_water__2000_2020[[#This Row],[ARC_r]]-Estimates_of_the_use_of_water__2000_2020[[#This Row],[ARC_u]])</f>
        <v>0.72834273999999932</v>
      </c>
      <c r="K444">
        <v>0.53810473530000003</v>
      </c>
      <c r="L444">
        <v>0.30749747300000002</v>
      </c>
      <c r="M444">
        <v>2.3000230189999998E-2</v>
      </c>
      <c r="N444">
        <v>91.495843840000006</v>
      </c>
      <c r="O444">
        <v>4.5115506810000001</v>
      </c>
      <c r="P444">
        <v>3.5284232109999998</v>
      </c>
      <c r="Q444">
        <v>0.46418227099999998</v>
      </c>
      <c r="R444">
        <v>99.529461979999994</v>
      </c>
      <c r="S444">
        <v>0.3309562908</v>
      </c>
      <c r="T444">
        <v>0.13958172699999999</v>
      </c>
      <c r="U444">
        <v>0</v>
      </c>
    </row>
    <row r="445" spans="1:21" x14ac:dyDescent="0.25">
      <c r="A445" s="1" t="s">
        <v>93</v>
      </c>
      <c r="B445">
        <v>2020</v>
      </c>
      <c r="C445" t="str">
        <f>IF(A446=Estimates_of_the_use_of_water__2000_2020[[#This Row],[name]], B446-Estimates_of_the_use_of_water__2000_2020[[#This Row],[year]],"")</f>
        <v/>
      </c>
      <c r="D445">
        <v>3473.7270509999998</v>
      </c>
      <c r="E445">
        <v>95.51499939</v>
      </c>
      <c r="F445">
        <v>99.495757560000001</v>
      </c>
      <c r="G445">
        <f>((F446-Estimates_of_the_use_of_water__2000_2020[[#This Row],[wat_bas_n]])/(B446-Estimates_of_the_use_of_water__2000_2020[[#This Row],[year]]))</f>
        <v>0.39343585999999958</v>
      </c>
      <c r="H445">
        <f>((N446-Estimates_of_the_use_of_water__2000_2020[[#This Row],[wat_bas_r]])/(B446-Estimates_of_the_use_of_water__2000_2020[[#This Row],[year]]))</f>
        <v>-6.8312309999998891E-2</v>
      </c>
      <c r="I445">
        <f>(R446-Estimates_of_the_use_of_water__2000_2020[[#This Row],[wat_bas_u]])/(B446-Estimates_of_the_use_of_water__2000_2020[[#This Row],[year]])</f>
        <v>6.6743764000000289E-2</v>
      </c>
      <c r="J445">
        <f>ABS(Estimates_of_the_use_of_water__2000_2020[[#This Row],[ARC_r]]-Estimates_of_the_use_of_water__2000_2020[[#This Row],[ARC_u]])</f>
        <v>0.13505607399999919</v>
      </c>
      <c r="K445">
        <v>0.50424244119999995</v>
      </c>
      <c r="L445">
        <v>0</v>
      </c>
      <c r="M445">
        <v>0</v>
      </c>
      <c r="N445">
        <v>95.300830000000005</v>
      </c>
      <c r="O445">
        <v>4.6991699999999996</v>
      </c>
      <c r="P445">
        <v>0</v>
      </c>
      <c r="Q445">
        <v>0</v>
      </c>
      <c r="R445">
        <v>99.692734439999995</v>
      </c>
      <c r="S445">
        <v>0.30726556170000002</v>
      </c>
      <c r="T445">
        <v>0</v>
      </c>
      <c r="U445">
        <v>0</v>
      </c>
    </row>
    <row r="446" spans="1:21" x14ac:dyDescent="0.25">
      <c r="A446" s="1" t="s">
        <v>120</v>
      </c>
      <c r="B446">
        <v>2015</v>
      </c>
      <c r="C446">
        <f>IF(A447=Estimates_of_the_use_of_water__2000_2020[[#This Row],[name]], B447-Estimates_of_the_use_of_water__2000_2020[[#This Row],[year]],"")</f>
        <v>5</v>
      </c>
      <c r="D446">
        <v>30929.556639999999</v>
      </c>
      <c r="E446">
        <v>50.75</v>
      </c>
      <c r="F446">
        <v>97.528578260000003</v>
      </c>
      <c r="G446">
        <f>((F447-Estimates_of_the_use_of_water__2000_2020[[#This Row],[wat_bas_n]])/(B447-Estimates_of_the_use_of_water__2000_2020[[#This Row],[year]]))</f>
        <v>6.0041318000000385E-2</v>
      </c>
      <c r="H446">
        <f>((N447-Estimates_of_the_use_of_water__2000_2020[[#This Row],[wat_bas_r]])/(B447-Estimates_of_the_use_of_water__2000_2020[[#This Row],[year]]))</f>
        <v>8.6038161999999835E-2</v>
      </c>
      <c r="I446">
        <f>(R447-Estimates_of_the_use_of_water__2000_2020[[#This Row],[wat_bas_u]])/(B447-Estimates_of_the_use_of_water__2000_2020[[#This Row],[year]])</f>
        <v>3.9397988000001757E-2</v>
      </c>
      <c r="J446">
        <f>ABS(Estimates_of_the_use_of_water__2000_2020[[#This Row],[ARC_r]]-Estimates_of_the_use_of_water__2000_2020[[#This Row],[ARC_u]])</f>
        <v>4.6640173999998077E-2</v>
      </c>
      <c r="K446">
        <v>0</v>
      </c>
      <c r="L446">
        <v>0</v>
      </c>
      <c r="M446">
        <v>2.4714217359999999</v>
      </c>
      <c r="N446">
        <v>95.642391549999999</v>
      </c>
      <c r="O446">
        <v>0</v>
      </c>
      <c r="P446">
        <v>0</v>
      </c>
      <c r="Q446">
        <v>4.3576084509999999</v>
      </c>
      <c r="R446">
        <v>99.359015619999994</v>
      </c>
      <c r="S446">
        <v>0</v>
      </c>
      <c r="T446">
        <v>0</v>
      </c>
      <c r="U446">
        <v>0.64098438430000004</v>
      </c>
    </row>
    <row r="447" spans="1:21" x14ac:dyDescent="0.25">
      <c r="A447" s="1" t="s">
        <v>120</v>
      </c>
      <c r="B447">
        <v>2020</v>
      </c>
      <c r="C447" t="str">
        <f>IF(A448=Estimates_of_the_use_of_water__2000_2020[[#This Row],[name]], B448-Estimates_of_the_use_of_water__2000_2020[[#This Row],[year]],"")</f>
        <v/>
      </c>
      <c r="D447">
        <v>33469.199220000002</v>
      </c>
      <c r="E447">
        <v>50.415996550000003</v>
      </c>
      <c r="F447">
        <v>97.828784850000005</v>
      </c>
      <c r="G447">
        <f>((F448-Estimates_of_the_use_of_water__2000_2020[[#This Row],[wat_bas_n]])/(B448-Estimates_of_the_use_of_water__2000_2020[[#This Row],[year]]))</f>
        <v>1.5681216720000009</v>
      </c>
      <c r="H447">
        <f>((N448-Estimates_of_the_use_of_water__2000_2020[[#This Row],[wat_bas_r]])/(B448-Estimates_of_the_use_of_water__2000_2020[[#This Row],[year]]))</f>
        <v>1.818906340000001</v>
      </c>
      <c r="I447">
        <f>(R448-Estimates_of_the_use_of_water__2000_2020[[#This Row],[wat_bas_u]])/(B448-Estimates_of_the_use_of_water__2000_2020[[#This Row],[year]])</f>
        <v>0.1037299140000016</v>
      </c>
      <c r="J447">
        <f>ABS(Estimates_of_the_use_of_water__2000_2020[[#This Row],[ARC_r]]-Estimates_of_the_use_of_water__2000_2020[[#This Row],[ARC_u]])</f>
        <v>1.7151764259999993</v>
      </c>
      <c r="K447">
        <v>0</v>
      </c>
      <c r="L447">
        <v>0.22384422000000001</v>
      </c>
      <c r="M447">
        <v>1.947370925</v>
      </c>
      <c r="N447">
        <v>96.072582359999998</v>
      </c>
      <c r="O447">
        <v>0</v>
      </c>
      <c r="P447">
        <v>0</v>
      </c>
      <c r="Q447">
        <v>3.927417637</v>
      </c>
      <c r="R447">
        <v>99.556005560000003</v>
      </c>
      <c r="S447">
        <v>0</v>
      </c>
      <c r="T447">
        <v>0.44399444339999999</v>
      </c>
      <c r="U447">
        <v>0</v>
      </c>
    </row>
    <row r="448" spans="1:21" x14ac:dyDescent="0.25">
      <c r="A448" s="1" t="s">
        <v>180</v>
      </c>
      <c r="B448">
        <v>2015</v>
      </c>
      <c r="C448">
        <f>IF(A449=Estimates_of_the_use_of_water__2000_2020[[#This Row],[name]], B449-Estimates_of_the_use_of_water__2000_2020[[#This Row],[year]],"")</f>
        <v>5</v>
      </c>
      <c r="D448">
        <v>271.1279907</v>
      </c>
      <c r="E448">
        <v>24.961002350000001</v>
      </c>
      <c r="F448">
        <v>89.988176490000001</v>
      </c>
      <c r="G448">
        <f>((F449-Estimates_of_the_use_of_water__2000_2020[[#This Row],[wat_bas_n]])/(B449-Estimates_of_the_use_of_water__2000_2020[[#This Row],[year]]))</f>
        <v>0.24860285199999907</v>
      </c>
      <c r="H448">
        <f>((N449-Estimates_of_the_use_of_water__2000_2020[[#This Row],[wat_bas_r]])/(B449-Estimates_of_the_use_of_water__2000_2020[[#This Row],[year]]))</f>
        <v>0.28383011399999986</v>
      </c>
      <c r="I448">
        <f>(R449-Estimates_of_the_use_of_water__2000_2020[[#This Row],[wat_bas_u]])/(B449-Estimates_of_the_use_of_water__2000_2020[[#This Row],[year]])</f>
        <v>9.2528802000001062E-2</v>
      </c>
      <c r="J448">
        <f>ABS(Estimates_of_the_use_of_water__2000_2020[[#This Row],[ARC_r]]-Estimates_of_the_use_of_water__2000_2020[[#This Row],[ARC_u]])</f>
        <v>0.19130131199999878</v>
      </c>
      <c r="K448">
        <v>1.05094321</v>
      </c>
      <c r="L448">
        <v>1.545004807</v>
      </c>
      <c r="M448">
        <v>7.4158754880000002</v>
      </c>
      <c r="N448">
        <v>86.978050659999994</v>
      </c>
      <c r="O448">
        <v>1.234982464</v>
      </c>
      <c r="P448">
        <v>1.9042720630000001</v>
      </c>
      <c r="Q448">
        <v>9.8826948130000005</v>
      </c>
      <c r="R448">
        <v>99.037355989999995</v>
      </c>
      <c r="S448">
        <v>0.49767515569999998</v>
      </c>
      <c r="T448">
        <v>0.46496885310000002</v>
      </c>
      <c r="U448">
        <v>0</v>
      </c>
    </row>
    <row r="449" spans="1:21" x14ac:dyDescent="0.25">
      <c r="A449" s="1" t="s">
        <v>180</v>
      </c>
      <c r="B449">
        <v>2020</v>
      </c>
      <c r="C449" t="str">
        <f>IF(A450=Estimates_of_the_use_of_water__2000_2020[[#This Row],[name]], B450-Estimates_of_the_use_of_water__2000_2020[[#This Row],[year]],"")</f>
        <v/>
      </c>
      <c r="D449">
        <v>307.14999390000003</v>
      </c>
      <c r="E449">
        <v>25.525001530000001</v>
      </c>
      <c r="F449">
        <v>91.231190749999996</v>
      </c>
      <c r="G449">
        <f>((F450-Estimates_of_the_use_of_water__2000_2020[[#This Row],[wat_bas_n]])/(B450-Estimates_of_the_use_of_water__2000_2020[[#This Row],[year]]))</f>
        <v>-0.66801685199999949</v>
      </c>
      <c r="H449">
        <f>((N450-Estimates_of_the_use_of_water__2000_2020[[#This Row],[wat_bas_r]])/(B450-Estimates_of_the_use_of_water__2000_2020[[#This Row],[year]]))</f>
        <v>17.679440245999999</v>
      </c>
      <c r="I449">
        <f>(R450-Estimates_of_the_use_of_water__2000_2020[[#This Row],[wat_bas_u]])/(B450-Estimates_of_the_use_of_water__2000_2020[[#This Row],[year]])</f>
        <v>19.899999999999999</v>
      </c>
      <c r="J449">
        <f>ABS(Estimates_of_the_use_of_water__2000_2020[[#This Row],[ARC_r]]-Estimates_of_the_use_of_water__2000_2020[[#This Row],[ARC_u]])</f>
        <v>2.2205597539999999</v>
      </c>
      <c r="K449">
        <v>1.0623850500000001</v>
      </c>
      <c r="L449">
        <v>0</v>
      </c>
      <c r="M449">
        <v>7.706424202</v>
      </c>
      <c r="N449">
        <v>88.397201229999993</v>
      </c>
      <c r="O449">
        <v>1.255132675</v>
      </c>
      <c r="P449">
        <v>0</v>
      </c>
      <c r="Q449">
        <v>10.3476661</v>
      </c>
      <c r="R449">
        <v>99.5</v>
      </c>
      <c r="S449">
        <v>0.5</v>
      </c>
      <c r="T449">
        <v>0</v>
      </c>
      <c r="U449">
        <v>0</v>
      </c>
    </row>
    <row r="450" spans="1:21" x14ac:dyDescent="0.25">
      <c r="A450" s="1" t="s">
        <v>157</v>
      </c>
      <c r="B450">
        <v>2015</v>
      </c>
      <c r="C450">
        <f>IF(A451=Estimates_of_the_use_of_water__2000_2020[[#This Row],[name]], B451-Estimates_of_the_use_of_water__2000_2020[[#This Row],[year]],"")</f>
        <v>5</v>
      </c>
      <c r="D450">
        <v>30081.82617</v>
      </c>
      <c r="E450">
        <v>88.153999330000005</v>
      </c>
      <c r="F450">
        <v>94.571275009999994</v>
      </c>
      <c r="G450">
        <f>((F451-Estimates_of_the_use_of_water__2000_2020[[#This Row],[wat_bas_n]])/(B451-Estimates_of_the_use_of_water__2000_2020[[#This Row],[year]]))</f>
        <v>-0.17709485999999969</v>
      </c>
      <c r="H450">
        <f>((N451-Estimates_of_the_use_of_water__2000_2020[[#This Row],[wat_bas_r]])/(B451-Estimates_of_the_use_of_water__2000_2020[[#This Row],[year]]))</f>
        <v>0</v>
      </c>
      <c r="I450">
        <f>(R451-Estimates_of_the_use_of_water__2000_2020[[#This Row],[wat_bas_u]])/(B451-Estimates_of_the_use_of_water__2000_2020[[#This Row],[year]])</f>
        <v>0</v>
      </c>
      <c r="J450">
        <f>ABS(Estimates_of_the_use_of_water__2000_2020[[#This Row],[ARC_r]]-Estimates_of_the_use_of_water__2000_2020[[#This Row],[ARC_u]])</f>
        <v>0</v>
      </c>
      <c r="K450">
        <v>0.47523253770000001</v>
      </c>
      <c r="L450">
        <v>3.5752642610000001</v>
      </c>
      <c r="M450">
        <v>1.3782281919999999</v>
      </c>
    </row>
    <row r="451" spans="1:21" x14ac:dyDescent="0.25">
      <c r="A451" s="1" t="s">
        <v>157</v>
      </c>
      <c r="B451">
        <v>2020</v>
      </c>
      <c r="C451" t="str">
        <f>IF(A452=Estimates_of_the_use_of_water__2000_2020[[#This Row],[name]], B452-Estimates_of_the_use_of_water__2000_2020[[#This Row],[year]],"")</f>
        <v/>
      </c>
      <c r="D451">
        <v>28435.943360000001</v>
      </c>
      <c r="E451">
        <v>88.278999330000005</v>
      </c>
      <c r="F451">
        <v>93.685800709999995</v>
      </c>
      <c r="G451">
        <f>((F452-Estimates_of_the_use_of_water__2000_2020[[#This Row],[wat_bas_n]])/(B452-Estimates_of_the_use_of_water__2000_2020[[#This Row],[year]]))</f>
        <v>7.1548025999999251E-2</v>
      </c>
      <c r="H451">
        <f>((N452-Estimates_of_the_use_of_water__2000_2020[[#This Row],[wat_bas_r]])/(B452-Estimates_of_the_use_of_water__2000_2020[[#This Row],[year]]))</f>
        <v>-18.166613598000001</v>
      </c>
      <c r="I451">
        <f>(R452-Estimates_of_the_use_of_water__2000_2020[[#This Row],[wat_bas_u]])/(B452-Estimates_of_the_use_of_water__2000_2020[[#This Row],[year]])</f>
        <v>-19.642548703999999</v>
      </c>
      <c r="J451">
        <f>ABS(Estimates_of_the_use_of_water__2000_2020[[#This Row],[ARC_r]]-Estimates_of_the_use_of_water__2000_2020[[#This Row],[ARC_u]])</f>
        <v>1.4759351059999979</v>
      </c>
      <c r="K451">
        <v>0.4707829181</v>
      </c>
      <c r="L451">
        <v>5.8434163730000002</v>
      </c>
    </row>
    <row r="452" spans="1:21" x14ac:dyDescent="0.25">
      <c r="A452" s="1" t="s">
        <v>136</v>
      </c>
      <c r="B452">
        <v>2015</v>
      </c>
      <c r="C452">
        <f>IF(A453=Estimates_of_the_use_of_water__2000_2020[[#This Row],[name]], B453-Estimates_of_the_use_of_water__2000_2020[[#This Row],[year]],"")</f>
        <v>5</v>
      </c>
      <c r="D452">
        <v>92677.078129999994</v>
      </c>
      <c r="E452">
        <v>33.80900192</v>
      </c>
      <c r="F452">
        <v>93.328060579999999</v>
      </c>
      <c r="G452">
        <f>((F453-Estimates_of_the_use_of_water__2000_2020[[#This Row],[wat_bas_n]])/(B453-Estimates_of_the_use_of_water__2000_2020[[#This Row],[year]]))</f>
        <v>0.71125925800000123</v>
      </c>
      <c r="H452">
        <f>((N453-Estimates_of_the_use_of_water__2000_2020[[#This Row],[wat_bas_r]])/(B453-Estimates_of_the_use_of_water__2000_2020[[#This Row],[year]]))</f>
        <v>0.93629408999999841</v>
      </c>
      <c r="I452">
        <f>(R453-Estimates_of_the_use_of_water__2000_2020[[#This Row],[wat_bas_u]])/(B453-Estimates_of_the_use_of_water__2000_2020[[#This Row],[year]])</f>
        <v>0.1940592979999991</v>
      </c>
      <c r="J452">
        <f>ABS(Estimates_of_the_use_of_water__2000_2020[[#This Row],[ARC_r]]-Estimates_of_the_use_of_water__2000_2020[[#This Row],[ARC_u]])</f>
        <v>0.74223479199999931</v>
      </c>
      <c r="K452">
        <v>5.2071837849999997E-2</v>
      </c>
      <c r="L452">
        <v>6.1636180359999999</v>
      </c>
      <c r="M452">
        <v>0.45624954629999998</v>
      </c>
      <c r="N452">
        <v>90.833067990000004</v>
      </c>
      <c r="O452">
        <v>0</v>
      </c>
      <c r="P452">
        <v>8.4776395650000005</v>
      </c>
      <c r="Q452">
        <v>0.68929244290000002</v>
      </c>
      <c r="R452">
        <v>98.212743520000004</v>
      </c>
      <c r="S452">
        <v>0.15401768120000001</v>
      </c>
      <c r="T452">
        <v>1.6332387960000001</v>
      </c>
      <c r="U452">
        <v>0</v>
      </c>
    </row>
    <row r="453" spans="1:21" x14ac:dyDescent="0.25">
      <c r="A453" s="1" t="s">
        <v>136</v>
      </c>
      <c r="B453">
        <v>2020</v>
      </c>
      <c r="C453" t="str">
        <f>IF(A454=Estimates_of_the_use_of_water__2000_2020[[#This Row],[name]], B454-Estimates_of_the_use_of_water__2000_2020[[#This Row],[year]],"")</f>
        <v/>
      </c>
      <c r="D453">
        <v>97338.585940000004</v>
      </c>
      <c r="E453">
        <v>37.340000150000002</v>
      </c>
      <c r="F453">
        <v>96.884356870000005</v>
      </c>
      <c r="G453">
        <f>((F454-Estimates_of_the_use_of_water__2000_2020[[#This Row],[wat_bas_n]])/(B454-Estimates_of_the_use_of_water__2000_2020[[#This Row],[year]]))</f>
        <v>-0.48740493199999835</v>
      </c>
      <c r="H453">
        <f>((N454-Estimates_of_the_use_of_water__2000_2020[[#This Row],[wat_bas_r]])/(B454-Estimates_of_the_use_of_water__2000_2020[[#This Row],[year]]))</f>
        <v>-0.76136861800000022</v>
      </c>
      <c r="I453">
        <f>(R454-Estimates_of_the_use_of_water__2000_2020[[#This Row],[wat_bas_u]])/(B454-Estimates_of_the_use_of_water__2000_2020[[#This Row],[year]])</f>
        <v>19.836608001999998</v>
      </c>
      <c r="J453">
        <f>ABS(Estimates_of_the_use_of_water__2000_2020[[#This Row],[ARC_r]]-Estimates_of_the_use_of_water__2000_2020[[#This Row],[ARC_u]])</f>
        <v>20.597976619999997</v>
      </c>
      <c r="K453">
        <v>0</v>
      </c>
      <c r="L453">
        <v>3.1156431260000002</v>
      </c>
      <c r="M453">
        <v>0</v>
      </c>
      <c r="N453">
        <v>95.514538439999995</v>
      </c>
      <c r="O453">
        <v>0</v>
      </c>
      <c r="P453">
        <v>4.4854615600000001</v>
      </c>
      <c r="Q453">
        <v>0</v>
      </c>
      <c r="R453">
        <v>99.183040009999999</v>
      </c>
      <c r="S453">
        <v>0</v>
      </c>
      <c r="T453">
        <v>0.81695998700000005</v>
      </c>
      <c r="U453">
        <v>0</v>
      </c>
    </row>
    <row r="454" spans="1:21" x14ac:dyDescent="0.25">
      <c r="A454" s="1" t="s">
        <v>95</v>
      </c>
      <c r="B454">
        <v>2015</v>
      </c>
      <c r="C454">
        <f>IF(A455=Estimates_of_the_use_of_water__2000_2020[[#This Row],[name]], B455-Estimates_of_the_use_of_water__2000_2020[[#This Row],[year]],"")</f>
        <v>5</v>
      </c>
      <c r="D454">
        <v>12.26200008</v>
      </c>
      <c r="E454">
        <v>0</v>
      </c>
      <c r="F454">
        <v>99.321381529999996</v>
      </c>
      <c r="G454">
        <f>((F455-Estimates_of_the_use_of_water__2000_2020[[#This Row],[wat_bas_n]])/(B455-Estimates_of_the_use_of_water__2000_2020[[#This Row],[year]]))</f>
        <v>-3.5618833999998857E-2</v>
      </c>
      <c r="H454">
        <f>((N455-Estimates_of_the_use_of_water__2000_2020[[#This Row],[wat_bas_r]])/(B455-Estimates_of_the_use_of_water__2000_2020[[#This Row],[year]]))</f>
        <v>-3.5618833999998857E-2</v>
      </c>
      <c r="I454">
        <f>(R455-Estimates_of_the_use_of_water__2000_2020[[#This Row],[wat_bas_u]])/(B455-Estimates_of_the_use_of_water__2000_2020[[#This Row],[year]])</f>
        <v>0</v>
      </c>
      <c r="J454">
        <f>ABS(Estimates_of_the_use_of_water__2000_2020[[#This Row],[ARC_r]]-Estimates_of_the_use_of_water__2000_2020[[#This Row],[ARC_u]])</f>
        <v>3.5618833999998857E-2</v>
      </c>
      <c r="K454">
        <v>0</v>
      </c>
      <c r="L454">
        <v>0.67861847409999998</v>
      </c>
      <c r="M454">
        <v>0</v>
      </c>
      <c r="N454">
        <v>99.321381529999996</v>
      </c>
      <c r="O454">
        <v>0</v>
      </c>
      <c r="P454">
        <v>0.67861847409999998</v>
      </c>
      <c r="Q454">
        <v>0</v>
      </c>
    </row>
    <row r="455" spans="1:21" x14ac:dyDescent="0.25">
      <c r="A455" s="1" t="s">
        <v>95</v>
      </c>
      <c r="B455">
        <v>2020</v>
      </c>
      <c r="C455" t="str">
        <f>IF(A456=Estimates_of_the_use_of_water__2000_2020[[#This Row],[name]], B456-Estimates_of_the_use_of_water__2000_2020[[#This Row],[year]],"")</f>
        <v/>
      </c>
      <c r="D455">
        <v>11.24600029</v>
      </c>
      <c r="E455">
        <v>0</v>
      </c>
      <c r="F455">
        <v>99.143287360000002</v>
      </c>
      <c r="G455">
        <f>((F456-Estimates_of_the_use_of_water__2000_2020[[#This Row],[wat_bas_n]])/(B456-Estimates_of_the_use_of_water__2000_2020[[#This Row],[year]]))</f>
        <v>0.55268613000000077</v>
      </c>
      <c r="H455">
        <f>((N456-Estimates_of_the_use_of_water__2000_2020[[#This Row],[wat_bas_r]])/(B456-Estimates_of_the_use_of_water__2000_2020[[#This Row],[year]]))</f>
        <v>0.75242900199999951</v>
      </c>
      <c r="I455">
        <f>(R456-Estimates_of_the_use_of_water__2000_2020[[#This Row],[wat_bas_u]])/(B456-Estimates_of_the_use_of_water__2000_2020[[#This Row],[year]])</f>
        <v>-19.341251923999998</v>
      </c>
      <c r="J455">
        <f>ABS(Estimates_of_the_use_of_water__2000_2020[[#This Row],[ARC_r]]-Estimates_of_the_use_of_water__2000_2020[[#This Row],[ARC_u]])</f>
        <v>20.093680925999998</v>
      </c>
      <c r="K455">
        <v>0</v>
      </c>
      <c r="L455">
        <v>0.85671263900000005</v>
      </c>
      <c r="M455">
        <v>0</v>
      </c>
      <c r="N455">
        <v>99.143287360000002</v>
      </c>
      <c r="O455">
        <v>0</v>
      </c>
      <c r="P455">
        <v>0.85671263900000005</v>
      </c>
      <c r="Q455">
        <v>0</v>
      </c>
    </row>
    <row r="456" spans="1:21" x14ac:dyDescent="0.25">
      <c r="A456" s="1" t="s">
        <v>118</v>
      </c>
      <c r="B456">
        <v>2015</v>
      </c>
      <c r="C456">
        <f>IF(A457=Estimates_of_the_use_of_water__2000_2020[[#This Row],[name]], B457-Estimates_of_the_use_of_water__2000_2020[[#This Row],[year]],"")</f>
        <v>5</v>
      </c>
      <c r="D456">
        <v>4529.1601559999999</v>
      </c>
      <c r="E456">
        <v>75.367996219999995</v>
      </c>
      <c r="F456">
        <v>96.379856709999999</v>
      </c>
      <c r="G456">
        <f>((F457-Estimates_of_the_use_of_water__2000_2020[[#This Row],[wat_bas_n]])/(B457-Estimates_of_the_use_of_water__2000_2020[[#This Row],[year]]))</f>
        <v>0.30010810200000149</v>
      </c>
      <c r="H456">
        <f>((N457-Estimates_of_the_use_of_water__2000_2020[[#This Row],[wat_bas_r]])/(B457-Estimates_of_the_use_of_water__2000_2020[[#This Row],[year]]))</f>
        <v>0.66688281399999882</v>
      </c>
      <c r="I456">
        <f>(R457-Estimates_of_the_use_of_water__2000_2020[[#This Row],[wat_bas_u]])/(B457-Estimates_of_the_use_of_water__2000_2020[[#This Row],[year]])</f>
        <v>0.18414096200000074</v>
      </c>
      <c r="J456">
        <f>ABS(Estimates_of_the_use_of_water__2000_2020[[#This Row],[ARC_r]]-Estimates_of_the_use_of_water__2000_2020[[#This Row],[ARC_u]])</f>
        <v>0.48274185199999808</v>
      </c>
      <c r="K456">
        <v>0.58753466440000002</v>
      </c>
      <c r="L456">
        <v>3.0326086220000001</v>
      </c>
      <c r="N456">
        <v>95.381142350000005</v>
      </c>
      <c r="O456">
        <v>0.99273120920000002</v>
      </c>
      <c r="P456">
        <v>3.6261264409999998</v>
      </c>
      <c r="R456">
        <v>96.706259619999997</v>
      </c>
      <c r="S456">
        <v>0.45510708030000002</v>
      </c>
      <c r="T456">
        <v>2.838633298</v>
      </c>
    </row>
    <row r="457" spans="1:21" x14ac:dyDescent="0.25">
      <c r="A457" s="1" t="s">
        <v>118</v>
      </c>
      <c r="B457">
        <v>2020</v>
      </c>
      <c r="C457" t="str">
        <f>IF(A458=Estimates_of_the_use_of_water__2000_2020[[#This Row],[name]], B458-Estimates_of_the_use_of_water__2000_2020[[#This Row],[year]],"")</f>
        <v/>
      </c>
      <c r="D457">
        <v>5101.4160160000001</v>
      </c>
      <c r="E457">
        <v>76.718994140000007</v>
      </c>
      <c r="F457">
        <v>97.880397220000006</v>
      </c>
      <c r="G457">
        <f>((F458-Estimates_of_the_use_of_water__2000_2020[[#This Row],[wat_bas_n]])/(B458-Estimates_of_the_use_of_water__2000_2020[[#This Row],[year]]))</f>
        <v>8.4203057180000016</v>
      </c>
      <c r="H457">
        <f>((N458-Estimates_of_the_use_of_water__2000_2020[[#This Row],[wat_bas_r]])/(B458-Estimates_of_the_use_of_water__2000_2020[[#This Row],[year]]))</f>
        <v>10.751457651999999</v>
      </c>
      <c r="I457">
        <f>(R458-Estimates_of_the_use_of_water__2000_2020[[#This Row],[wat_bas_u]])/(B458-Estimates_of_the_use_of_water__2000_2020[[#This Row],[year]])</f>
        <v>4.3108905060000016</v>
      </c>
      <c r="J457">
        <f>ABS(Estimates_of_the_use_of_water__2000_2020[[#This Row],[ARC_r]]-Estimates_of_the_use_of_water__2000_2020[[#This Row],[ARC_u]])</f>
        <v>6.4405671459999976</v>
      </c>
      <c r="K457">
        <v>1.029979486</v>
      </c>
      <c r="L457">
        <v>1.089623295</v>
      </c>
      <c r="N457">
        <v>98.715556419999999</v>
      </c>
      <c r="O457">
        <v>0.31740062730000002</v>
      </c>
      <c r="P457">
        <v>0.96704295760000003</v>
      </c>
      <c r="R457">
        <v>97.626964430000001</v>
      </c>
      <c r="S457">
        <v>1.246217358</v>
      </c>
      <c r="T457">
        <v>1.126818208</v>
      </c>
    </row>
    <row r="458" spans="1:21" x14ac:dyDescent="0.25">
      <c r="A458" s="1" t="s">
        <v>230</v>
      </c>
      <c r="B458">
        <v>2015</v>
      </c>
      <c r="C458">
        <f>IF(A459=Estimates_of_the_use_of_water__2000_2020[[#This Row],[name]], B459-Estimates_of_the_use_of_water__2000_2020[[#This Row],[year]],"")</f>
        <v>5</v>
      </c>
      <c r="D458">
        <v>26497.880860000001</v>
      </c>
      <c r="E458">
        <v>34.777000430000001</v>
      </c>
      <c r="F458">
        <v>55.778868629999998</v>
      </c>
      <c r="G458">
        <f>((F459-Estimates_of_the_use_of_water__2000_2020[[#This Row],[wat_bas_n]])/(B459-Estimates_of_the_use_of_water__2000_2020[[#This Row],[year]]))</f>
        <v>0.97694024200000062</v>
      </c>
      <c r="H458">
        <f>((N459-Estimates_of_the_use_of_water__2000_2020[[#This Row],[wat_bas_r]])/(B459-Estimates_of_the_use_of_water__2000_2020[[#This Row],[year]]))</f>
        <v>1.1446132419999997</v>
      </c>
      <c r="I458">
        <f>(R459-Estimates_of_the_use_of_water__2000_2020[[#This Row],[wat_bas_u]])/(B459-Estimates_of_the_use_of_water__2000_2020[[#This Row],[year]])</f>
        <v>0.18832348800000034</v>
      </c>
      <c r="J458">
        <f>ABS(Estimates_of_the_use_of_water__2000_2020[[#This Row],[ARC_r]]-Estimates_of_the_use_of_water__2000_2020[[#This Row],[ARC_u]])</f>
        <v>0.95628975399999938</v>
      </c>
      <c r="K458">
        <v>26.035606600000001</v>
      </c>
      <c r="L458">
        <v>14.70974567</v>
      </c>
      <c r="M458">
        <v>3.4757790979999998</v>
      </c>
      <c r="N458">
        <v>44.958268160000003</v>
      </c>
      <c r="O458">
        <v>28.794611020000001</v>
      </c>
      <c r="P458">
        <v>21.10381293</v>
      </c>
      <c r="Q458">
        <v>5.1433078959999996</v>
      </c>
      <c r="R458">
        <v>76.072511899999995</v>
      </c>
      <c r="S458">
        <v>20.861194009999998</v>
      </c>
      <c r="T458">
        <v>2.7179047039999999</v>
      </c>
      <c r="U458">
        <v>0.3483893924</v>
      </c>
    </row>
    <row r="459" spans="1:21" x14ac:dyDescent="0.25">
      <c r="A459" s="1" t="s">
        <v>230</v>
      </c>
      <c r="B459">
        <v>2020</v>
      </c>
      <c r="C459" t="str">
        <f>IF(A460=Estimates_of_the_use_of_water__2000_2020[[#This Row],[name]], B460-Estimates_of_the_use_of_water__2000_2020[[#This Row],[year]],"")</f>
        <v/>
      </c>
      <c r="D459">
        <v>29825.96875</v>
      </c>
      <c r="E459">
        <v>37.907997129999998</v>
      </c>
      <c r="F459">
        <v>60.663569840000001</v>
      </c>
      <c r="G459">
        <f>((F460-Estimates_of_the_use_of_water__2000_2020[[#This Row],[wat_bas_n]])/(B460-Estimates_of_the_use_of_water__2000_2020[[#This Row],[year]]))</f>
        <v>-0.13503528800000025</v>
      </c>
      <c r="H459">
        <f>((N460-Estimates_of_the_use_of_water__2000_2020[[#This Row],[wat_bas_r]])/(B460-Estimates_of_the_use_of_water__2000_2020[[#This Row],[year]]))</f>
        <v>1.41290001</v>
      </c>
      <c r="I459">
        <f>(R460-Estimates_of_the_use_of_water__2000_2020[[#This Row],[wat_bas_u]])/(B460-Estimates_of_the_use_of_water__2000_2020[[#This Row],[year]])</f>
        <v>-1.7782735900000006</v>
      </c>
      <c r="J459">
        <f>ABS(Estimates_of_the_use_of_water__2000_2020[[#This Row],[ARC_r]]-Estimates_of_the_use_of_water__2000_2020[[#This Row],[ARC_u]])</f>
        <v>3.1911736000000008</v>
      </c>
      <c r="K459">
        <v>28.9627418</v>
      </c>
      <c r="L459">
        <v>7.77785276</v>
      </c>
      <c r="M459">
        <v>2.595835594</v>
      </c>
      <c r="N459">
        <v>50.681334370000002</v>
      </c>
      <c r="O459">
        <v>33.53021373</v>
      </c>
      <c r="P459">
        <v>11.60782393</v>
      </c>
      <c r="Q459">
        <v>4.1806279780000004</v>
      </c>
      <c r="R459">
        <v>77.014129339999997</v>
      </c>
      <c r="S459">
        <v>21.481379369999999</v>
      </c>
      <c r="T459">
        <v>1.5044912859999999</v>
      </c>
      <c r="U459">
        <v>0</v>
      </c>
    </row>
    <row r="460" spans="1:21" x14ac:dyDescent="0.25">
      <c r="A460" s="1" t="s">
        <v>221</v>
      </c>
      <c r="B460">
        <v>2015</v>
      </c>
      <c r="C460">
        <f>IF(A461=Estimates_of_the_use_of_water__2000_2020[[#This Row],[name]], B461-Estimates_of_the_use_of_water__2000_2020[[#This Row],[year]],"")</f>
        <v>5</v>
      </c>
      <c r="D460">
        <v>15879.37012</v>
      </c>
      <c r="E460">
        <v>41.9070015</v>
      </c>
      <c r="F460">
        <v>61.338746280000002</v>
      </c>
      <c r="G460">
        <f>((F461-Estimates_of_the_use_of_water__2000_2020[[#This Row],[wat_bas_n]])/(B461-Estimates_of_the_use_of_water__2000_2020[[#This Row],[year]]))</f>
        <v>0.81472745800000013</v>
      </c>
      <c r="H460">
        <f>((N461-Estimates_of_the_use_of_water__2000_2020[[#This Row],[wat_bas_r]])/(B461-Estimates_of_the_use_of_water__2000_2020[[#This Row],[year]]))</f>
        <v>0.9220908019999996</v>
      </c>
      <c r="I460">
        <f>(R461-Estimates_of_the_use_of_water__2000_2020[[#This Row],[wat_bas_u]])/(B461-Estimates_of_the_use_of_water__2000_2020[[#This Row],[year]])</f>
        <v>0.16567147400000123</v>
      </c>
      <c r="J460">
        <f>ABS(Estimates_of_the_use_of_water__2000_2020[[#This Row],[ARC_r]]-Estimates_of_the_use_of_water__2000_2020[[#This Row],[ARC_u]])</f>
        <v>0.75641932799999834</v>
      </c>
      <c r="K460">
        <v>5.6539172300000002</v>
      </c>
      <c r="L460">
        <v>23.3359001</v>
      </c>
      <c r="M460">
        <v>9.6714363920000004</v>
      </c>
      <c r="N460">
        <v>43.616834320000002</v>
      </c>
      <c r="O460">
        <v>7.2108648679999998</v>
      </c>
      <c r="P460">
        <v>33.257219489999997</v>
      </c>
      <c r="Q460">
        <v>15.915081320000001</v>
      </c>
      <c r="R460">
        <v>85.90549729</v>
      </c>
      <c r="S460">
        <v>3.495619671</v>
      </c>
      <c r="T460">
        <v>9.5826138469999993</v>
      </c>
      <c r="U460">
        <v>1.0162691930000001</v>
      </c>
    </row>
    <row r="461" spans="1:21" x14ac:dyDescent="0.25">
      <c r="A461" s="1" t="s">
        <v>221</v>
      </c>
      <c r="B461">
        <v>2020</v>
      </c>
      <c r="C461" t="str">
        <f>IF(A462=Estimates_of_the_use_of_water__2000_2020[[#This Row],[name]], B462-Estimates_of_the_use_of_water__2000_2020[[#This Row],[year]],"")</f>
        <v/>
      </c>
      <c r="D461">
        <v>18383.95508</v>
      </c>
      <c r="E461">
        <v>44.6289978</v>
      </c>
      <c r="F461">
        <v>65.412383570000003</v>
      </c>
      <c r="G461">
        <f>((F462-Estimates_of_the_use_of_water__2000_2020[[#This Row],[wat_bas_n]])/(B462-Estimates_of_the_use_of_water__2000_2020[[#This Row],[year]]))</f>
        <v>9.1490892000001628E-2</v>
      </c>
      <c r="H461">
        <f>((N462-Estimates_of_the_use_of_water__2000_2020[[#This Row],[wat_bas_r]])/(B462-Estimates_of_the_use_of_water__2000_2020[[#This Row],[year]]))</f>
        <v>-0.6045544759999999</v>
      </c>
      <c r="I461">
        <f>(R462-Estimates_of_the_use_of_water__2000_2020[[#This Row],[wat_bas_u]])/(B462-Estimates_of_the_use_of_water__2000_2020[[#This Row],[year]])</f>
        <v>-1.3669562159999997</v>
      </c>
      <c r="J461">
        <f>ABS(Estimates_of_the_use_of_water__2000_2020[[#This Row],[ARC_r]]-Estimates_of_the_use_of_water__2000_2020[[#This Row],[ARC_u]])</f>
        <v>0.76240173999999983</v>
      </c>
      <c r="K461">
        <v>6.1539390200000001</v>
      </c>
      <c r="L461">
        <v>21.576840709999999</v>
      </c>
      <c r="M461">
        <v>6.8568367060000002</v>
      </c>
      <c r="N461">
        <v>48.22728833</v>
      </c>
      <c r="O461">
        <v>8.3317036130000002</v>
      </c>
      <c r="P461">
        <v>31.608654439999999</v>
      </c>
      <c r="Q461">
        <v>11.832353619999999</v>
      </c>
      <c r="R461">
        <v>86.733854660000006</v>
      </c>
      <c r="S461">
        <v>3.4519961939999999</v>
      </c>
      <c r="T461">
        <v>9.1304141049999998</v>
      </c>
      <c r="U461">
        <v>0.68373504630000004</v>
      </c>
    </row>
    <row r="462" spans="1:21" x14ac:dyDescent="0.25">
      <c r="A462" s="1" t="s">
        <v>222</v>
      </c>
      <c r="B462">
        <v>2015</v>
      </c>
      <c r="C462">
        <f>IF(A463=Estimates_of_the_use_of_water__2000_2020[[#This Row],[name]], B463-Estimates_of_the_use_of_water__2000_2020[[#This Row],[year]],"")</f>
        <v>5</v>
      </c>
      <c r="D462">
        <v>13814.641600000001</v>
      </c>
      <c r="E462">
        <v>32.384998320000001</v>
      </c>
      <c r="F462">
        <v>64.954929109999995</v>
      </c>
      <c r="G462">
        <f>((F463-Estimates_of_the_use_of_water__2000_2020[[#This Row],[wat_bas_n]])/(B463-Estimates_of_the_use_of_water__2000_2020[[#This Row],[year]]))</f>
        <v>-0.45769429999999856</v>
      </c>
      <c r="H462">
        <f>((N463-Estimates_of_the_use_of_water__2000_2020[[#This Row],[wat_bas_r]])/(B463-Estimates_of_the_use_of_water__2000_2020[[#This Row],[year]]))</f>
        <v>-0.59352637199999947</v>
      </c>
      <c r="I462">
        <f>(R463-Estimates_of_the_use_of_water__2000_2020[[#This Row],[wat_bas_u]])/(B463-Estimates_of_the_use_of_water__2000_2020[[#This Row],[year]])</f>
        <v>-0.13470135800000094</v>
      </c>
      <c r="J462">
        <f>ABS(Estimates_of_the_use_of_water__2000_2020[[#This Row],[ARC_r]]-Estimates_of_the_use_of_water__2000_2020[[#This Row],[ARC_u]])</f>
        <v>0.45882501399999853</v>
      </c>
      <c r="K462">
        <v>12.456764769999999</v>
      </c>
      <c r="L462">
        <v>15.89884206</v>
      </c>
      <c r="M462">
        <v>6.6894640550000002</v>
      </c>
      <c r="N462">
        <v>51.25006071</v>
      </c>
      <c r="O462">
        <v>16.396726579999999</v>
      </c>
      <c r="P462">
        <v>22.514468619999999</v>
      </c>
      <c r="Q462">
        <v>9.8387440880000003</v>
      </c>
      <c r="R462">
        <v>93.568635740000005</v>
      </c>
      <c r="S462">
        <v>4.2307197299999997</v>
      </c>
      <c r="T462">
        <v>2.086401773</v>
      </c>
      <c r="U462">
        <v>0.11424275640000001</v>
      </c>
    </row>
    <row r="463" spans="1:21" x14ac:dyDescent="0.25">
      <c r="A463" s="1" t="s">
        <v>222</v>
      </c>
      <c r="B463">
        <v>2020</v>
      </c>
      <c r="C463" t="str">
        <f>IF(A464=Estimates_of_the_use_of_water__2000_2020[[#This Row],[name]], B464-Estimates_of_the_use_of_water__2000_2020[[#This Row],[year]],"")</f>
        <v/>
      </c>
      <c r="D463">
        <v>14862.92676</v>
      </c>
      <c r="E463">
        <v>32.242000580000003</v>
      </c>
      <c r="F463">
        <v>62.666457610000002</v>
      </c>
      <c r="G463">
        <f>((F464-Estimates_of_the_use_of_water__2000_2020[[#This Row],[wat_bas_n]])/(B464-Estimates_of_the_use_of_water__2000_2020[[#This Row],[year]]))</f>
        <v>3.1022998816831685E-2</v>
      </c>
      <c r="H463">
        <f>((P464-Estimates_of_the_use_of_water__2000_2020[[#This Row],[wat_bas_r]])/(B464-Estimates_of_the_use_of_water__2000_2020[[#This Row],[year]]))</f>
        <v>2.3902192500000002E-2</v>
      </c>
      <c r="I463">
        <f>(T464-Estimates_of_the_use_of_water__2000_2020[[#This Row],[wat_bas_u]])/(B464-Estimates_of_the_use_of_water__2000_2020[[#This Row],[year]])</f>
        <v>4.5987687599009903E-2</v>
      </c>
      <c r="J463">
        <f>ABS(Estimates_of_the_use_of_water__2000_2020[[#This Row],[ARC_r]]-Estimates_of_the_use_of_water__2000_2020[[#This Row],[ARC_u]])</f>
        <v>2.2085495099009901E-2</v>
      </c>
      <c r="K463">
        <v>14.1975397</v>
      </c>
      <c r="L463">
        <v>16.277855450000001</v>
      </c>
      <c r="M463">
        <v>6.8581472420000003</v>
      </c>
      <c r="N463">
        <v>48.282428850000002</v>
      </c>
      <c r="O463">
        <v>18.590984670000001</v>
      </c>
      <c r="P463">
        <v>23.013646550000001</v>
      </c>
      <c r="Q463">
        <v>10.112939920000001</v>
      </c>
      <c r="R463">
        <v>92.89512895</v>
      </c>
      <c r="S463">
        <v>4.9645177570000003</v>
      </c>
      <c r="T463">
        <v>2.1222986740000001</v>
      </c>
      <c r="U463">
        <v>1.805461538E-2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66B4-38BB-4A0A-A772-F3394360E581}">
  <dimension ref="A1:B234"/>
  <sheetViews>
    <sheetView workbookViewId="0">
      <selection activeCell="D13" sqref="D13"/>
    </sheetView>
  </sheetViews>
  <sheetFormatPr defaultRowHeight="15" x14ac:dyDescent="0.25"/>
  <cols>
    <col min="1" max="1" width="35.7109375" bestFit="1" customWidth="1"/>
    <col min="2" max="2" width="24.7109375" bestFit="1" customWidth="1"/>
  </cols>
  <sheetData>
    <row r="1" spans="1:2" x14ac:dyDescent="0.25">
      <c r="A1" t="s">
        <v>247</v>
      </c>
      <c r="B1" t="s">
        <v>248</v>
      </c>
    </row>
    <row r="2" spans="1:2" x14ac:dyDescent="0.25">
      <c r="A2" t="s">
        <v>0</v>
      </c>
      <c r="B2" t="s">
        <v>249</v>
      </c>
    </row>
    <row r="3" spans="1:2" x14ac:dyDescent="0.25">
      <c r="A3" t="s">
        <v>208</v>
      </c>
      <c r="B3" t="s">
        <v>250</v>
      </c>
    </row>
    <row r="4" spans="1:2" x14ac:dyDescent="0.25">
      <c r="A4" t="s">
        <v>156</v>
      </c>
      <c r="B4" t="s">
        <v>251</v>
      </c>
    </row>
    <row r="5" spans="1:2" x14ac:dyDescent="0.25">
      <c r="A5" t="s">
        <v>158</v>
      </c>
      <c r="B5" t="s">
        <v>252</v>
      </c>
    </row>
    <row r="6" spans="1:2" x14ac:dyDescent="0.25">
      <c r="A6" t="s">
        <v>82</v>
      </c>
      <c r="B6" t="s">
        <v>253</v>
      </c>
    </row>
    <row r="7" spans="1:2" x14ac:dyDescent="0.25">
      <c r="A7" t="s">
        <v>19</v>
      </c>
      <c r="B7" t="s">
        <v>251</v>
      </c>
    </row>
    <row r="8" spans="1:2" x14ac:dyDescent="0.25">
      <c r="A8" t="s">
        <v>234</v>
      </c>
      <c r="B8" t="s">
        <v>254</v>
      </c>
    </row>
    <row r="9" spans="1:2" x14ac:dyDescent="0.25">
      <c r="A9" t="s">
        <v>127</v>
      </c>
      <c r="B9" t="s">
        <v>255</v>
      </c>
    </row>
    <row r="10" spans="1:2" x14ac:dyDescent="0.25">
      <c r="A10" t="s">
        <v>139</v>
      </c>
      <c r="B10" t="s">
        <v>255</v>
      </c>
    </row>
    <row r="11" spans="1:2" x14ac:dyDescent="0.25">
      <c r="A11" t="s">
        <v>17</v>
      </c>
      <c r="B11" t="s">
        <v>255</v>
      </c>
    </row>
    <row r="12" spans="1:2" x14ac:dyDescent="0.25">
      <c r="A12" t="s">
        <v>61</v>
      </c>
      <c r="B12" t="s">
        <v>251</v>
      </c>
    </row>
    <row r="13" spans="1:2" x14ac:dyDescent="0.25">
      <c r="A13" t="s">
        <v>119</v>
      </c>
      <c r="B13" t="s">
        <v>255</v>
      </c>
    </row>
    <row r="14" spans="1:2" x14ac:dyDescent="0.25">
      <c r="A14" t="s">
        <v>62</v>
      </c>
      <c r="B14" t="s">
        <v>253</v>
      </c>
    </row>
    <row r="15" spans="1:2" x14ac:dyDescent="0.25">
      <c r="A15" t="s">
        <v>49</v>
      </c>
      <c r="B15" t="s">
        <v>251</v>
      </c>
    </row>
    <row r="16" spans="1:2" x14ac:dyDescent="0.25">
      <c r="A16" t="s">
        <v>144</v>
      </c>
      <c r="B16" t="s">
        <v>251</v>
      </c>
    </row>
    <row r="17" spans="1:2" x14ac:dyDescent="0.25">
      <c r="A17" t="s">
        <v>104</v>
      </c>
      <c r="B17" t="s">
        <v>255</v>
      </c>
    </row>
    <row r="18" spans="1:2" x14ac:dyDescent="0.25">
      <c r="A18" t="s">
        <v>43</v>
      </c>
      <c r="B18" t="s">
        <v>251</v>
      </c>
    </row>
    <row r="19" spans="1:2" x14ac:dyDescent="0.25">
      <c r="A19" t="s">
        <v>122</v>
      </c>
      <c r="B19" t="s">
        <v>250</v>
      </c>
    </row>
    <row r="20" spans="1:2" x14ac:dyDescent="0.25">
      <c r="A20" t="s">
        <v>111</v>
      </c>
      <c r="B20" t="s">
        <v>255</v>
      </c>
    </row>
    <row r="21" spans="1:2" x14ac:dyDescent="0.25">
      <c r="A21" t="s">
        <v>141</v>
      </c>
      <c r="B21" t="s">
        <v>251</v>
      </c>
    </row>
    <row r="22" spans="1:2" x14ac:dyDescent="0.25">
      <c r="A22" t="s">
        <v>56</v>
      </c>
      <c r="B22" t="s">
        <v>251</v>
      </c>
    </row>
    <row r="23" spans="1:2" x14ac:dyDescent="0.25">
      <c r="A23" t="s">
        <v>112</v>
      </c>
      <c r="B23" t="s">
        <v>255</v>
      </c>
    </row>
    <row r="24" spans="1:2" x14ac:dyDescent="0.25">
      <c r="A24" t="s">
        <v>220</v>
      </c>
      <c r="B24" t="s">
        <v>254</v>
      </c>
    </row>
    <row r="25" spans="1:2" x14ac:dyDescent="0.25">
      <c r="A25" t="s">
        <v>69</v>
      </c>
      <c r="B25" t="s">
        <v>256</v>
      </c>
    </row>
    <row r="26" spans="1:2" x14ac:dyDescent="0.25">
      <c r="A26" t="s">
        <v>130</v>
      </c>
      <c r="B26" t="s">
        <v>250</v>
      </c>
    </row>
    <row r="27" spans="1:2" x14ac:dyDescent="0.25">
      <c r="A27" t="s">
        <v>170</v>
      </c>
      <c r="B27" t="s">
        <v>255</v>
      </c>
    </row>
    <row r="28" spans="1:2" x14ac:dyDescent="0.25">
      <c r="A28" t="s">
        <v>142</v>
      </c>
      <c r="B28" t="s">
        <v>251</v>
      </c>
    </row>
    <row r="29" spans="1:2" x14ac:dyDescent="0.25">
      <c r="A29" t="s">
        <v>175</v>
      </c>
      <c r="B29" t="s">
        <v>254</v>
      </c>
    </row>
    <row r="30" spans="1:2" x14ac:dyDescent="0.25">
      <c r="A30" t="s">
        <v>96</v>
      </c>
      <c r="B30" t="s">
        <v>255</v>
      </c>
    </row>
    <row r="31" spans="1:2" x14ac:dyDescent="0.25">
      <c r="A31" t="s">
        <v>75</v>
      </c>
      <c r="B31" t="s">
        <v>255</v>
      </c>
    </row>
    <row r="32" spans="1:2" x14ac:dyDescent="0.25">
      <c r="A32" t="s">
        <v>70</v>
      </c>
      <c r="B32" t="s">
        <v>253</v>
      </c>
    </row>
    <row r="33" spans="1:2" x14ac:dyDescent="0.25">
      <c r="A33" t="s">
        <v>99</v>
      </c>
      <c r="B33" t="s">
        <v>251</v>
      </c>
    </row>
    <row r="34" spans="1:2" x14ac:dyDescent="0.25">
      <c r="A34" t="s">
        <v>239</v>
      </c>
      <c r="B34" t="s">
        <v>254</v>
      </c>
    </row>
    <row r="35" spans="1:2" x14ac:dyDescent="0.25">
      <c r="A35" t="s">
        <v>227</v>
      </c>
      <c r="B35" t="s">
        <v>254</v>
      </c>
    </row>
    <row r="36" spans="1:2" x14ac:dyDescent="0.25">
      <c r="A36" t="s">
        <v>187</v>
      </c>
      <c r="B36" t="s">
        <v>254</v>
      </c>
    </row>
    <row r="37" spans="1:2" x14ac:dyDescent="0.25">
      <c r="A37" t="s">
        <v>212</v>
      </c>
      <c r="B37" t="s">
        <v>253</v>
      </c>
    </row>
    <row r="38" spans="1:2" x14ac:dyDescent="0.25">
      <c r="A38" t="s">
        <v>219</v>
      </c>
      <c r="B38" t="s">
        <v>254</v>
      </c>
    </row>
    <row r="39" spans="1:2" x14ac:dyDescent="0.25">
      <c r="A39" t="s">
        <v>98</v>
      </c>
      <c r="B39" t="s">
        <v>256</v>
      </c>
    </row>
    <row r="40" spans="1:2" x14ac:dyDescent="0.25">
      <c r="A40" t="s">
        <v>143</v>
      </c>
      <c r="B40" t="s">
        <v>255</v>
      </c>
    </row>
    <row r="41" spans="1:2" x14ac:dyDescent="0.25">
      <c r="A41" t="s">
        <v>245</v>
      </c>
      <c r="B41" t="s">
        <v>254</v>
      </c>
    </row>
    <row r="42" spans="1:2" x14ac:dyDescent="0.25">
      <c r="A42" t="s">
        <v>242</v>
      </c>
      <c r="B42" t="s">
        <v>254</v>
      </c>
    </row>
    <row r="43" spans="1:2" x14ac:dyDescent="0.25">
      <c r="A43" t="s">
        <v>163</v>
      </c>
      <c r="B43" t="s">
        <v>251</v>
      </c>
    </row>
    <row r="44" spans="1:2" x14ac:dyDescent="0.25">
      <c r="A44" t="s">
        <v>55</v>
      </c>
      <c r="B44" t="s">
        <v>255</v>
      </c>
    </row>
    <row r="45" spans="1:2" x14ac:dyDescent="0.25">
      <c r="A45" t="s">
        <v>162</v>
      </c>
      <c r="B45" t="s">
        <v>253</v>
      </c>
    </row>
    <row r="46" spans="1:2" x14ac:dyDescent="0.25">
      <c r="A46" t="s">
        <v>48</v>
      </c>
      <c r="B46" t="s">
        <v>253</v>
      </c>
    </row>
    <row r="47" spans="1:2" x14ac:dyDescent="0.25">
      <c r="A47" t="s">
        <v>41</v>
      </c>
      <c r="B47" t="s">
        <v>253</v>
      </c>
    </row>
    <row r="48" spans="1:2" x14ac:dyDescent="0.25">
      <c r="A48" t="s">
        <v>125</v>
      </c>
      <c r="B48" t="s">
        <v>255</v>
      </c>
    </row>
    <row r="49" spans="1:2" x14ac:dyDescent="0.25">
      <c r="A49" t="s">
        <v>202</v>
      </c>
      <c r="B49" t="s">
        <v>254</v>
      </c>
    </row>
    <row r="50" spans="1:2" x14ac:dyDescent="0.25">
      <c r="A50" t="s">
        <v>209</v>
      </c>
      <c r="B50" t="s">
        <v>254</v>
      </c>
    </row>
    <row r="51" spans="1:2" x14ac:dyDescent="0.25">
      <c r="A51" t="s">
        <v>59</v>
      </c>
      <c r="B51" t="s">
        <v>253</v>
      </c>
    </row>
    <row r="52" spans="1:2" x14ac:dyDescent="0.25">
      <c r="A52" t="s">
        <v>78</v>
      </c>
      <c r="B52" t="s">
        <v>255</v>
      </c>
    </row>
    <row r="53" spans="1:2" x14ac:dyDescent="0.25">
      <c r="A53" t="s">
        <v>213</v>
      </c>
      <c r="B53" t="s">
        <v>254</v>
      </c>
    </row>
    <row r="54" spans="1:2" x14ac:dyDescent="0.25">
      <c r="A54" t="s">
        <v>16</v>
      </c>
      <c r="B54" t="s">
        <v>251</v>
      </c>
    </row>
    <row r="55" spans="1:2" x14ac:dyDescent="0.25">
      <c r="A55" t="s">
        <v>133</v>
      </c>
      <c r="B55" t="s">
        <v>255</v>
      </c>
    </row>
    <row r="56" spans="1:2" x14ac:dyDescent="0.25">
      <c r="A56" t="s">
        <v>92</v>
      </c>
      <c r="B56" t="s">
        <v>255</v>
      </c>
    </row>
    <row r="57" spans="1:2" x14ac:dyDescent="0.25">
      <c r="A57" t="s">
        <v>80</v>
      </c>
      <c r="B57" t="s">
        <v>251</v>
      </c>
    </row>
    <row r="58" spans="1:2" x14ac:dyDescent="0.25">
      <c r="A58" t="s">
        <v>73</v>
      </c>
      <c r="B58" t="s">
        <v>251</v>
      </c>
    </row>
    <row r="59" spans="1:2" x14ac:dyDescent="0.25">
      <c r="A59" t="s">
        <v>154</v>
      </c>
      <c r="B59" t="s">
        <v>253</v>
      </c>
    </row>
    <row r="60" spans="1:2" x14ac:dyDescent="0.25">
      <c r="A60" t="s">
        <v>243</v>
      </c>
      <c r="B60" t="s">
        <v>254</v>
      </c>
    </row>
    <row r="61" spans="1:2" x14ac:dyDescent="0.25">
      <c r="A61" t="s">
        <v>29</v>
      </c>
      <c r="B61" t="s">
        <v>251</v>
      </c>
    </row>
    <row r="62" spans="1:2" x14ac:dyDescent="0.25">
      <c r="A62" t="s">
        <v>206</v>
      </c>
      <c r="B62" t="s">
        <v>254</v>
      </c>
    </row>
    <row r="63" spans="1:2" x14ac:dyDescent="0.25">
      <c r="A63" t="s">
        <v>149</v>
      </c>
      <c r="B63" t="s">
        <v>255</v>
      </c>
    </row>
    <row r="64" spans="1:2" x14ac:dyDescent="0.25">
      <c r="A64" t="s">
        <v>140</v>
      </c>
      <c r="B64" t="s">
        <v>255</v>
      </c>
    </row>
    <row r="65" spans="1:2" x14ac:dyDescent="0.25">
      <c r="A65" t="s">
        <v>150</v>
      </c>
      <c r="B65" t="s">
        <v>255</v>
      </c>
    </row>
    <row r="66" spans="1:2" x14ac:dyDescent="0.25">
      <c r="A66" t="s">
        <v>94</v>
      </c>
      <c r="B66" t="s">
        <v>252</v>
      </c>
    </row>
    <row r="67" spans="1:2" x14ac:dyDescent="0.25">
      <c r="A67" t="s">
        <v>117</v>
      </c>
      <c r="B67" t="s">
        <v>255</v>
      </c>
    </row>
    <row r="68" spans="1:2" x14ac:dyDescent="0.25">
      <c r="A68" t="s">
        <v>223</v>
      </c>
      <c r="B68" t="s">
        <v>254</v>
      </c>
    </row>
    <row r="69" spans="1:2" x14ac:dyDescent="0.25">
      <c r="A69" t="s">
        <v>238</v>
      </c>
      <c r="B69" t="s">
        <v>254</v>
      </c>
    </row>
    <row r="70" spans="1:2" x14ac:dyDescent="0.25">
      <c r="A70" t="s">
        <v>83</v>
      </c>
      <c r="B70" t="s">
        <v>251</v>
      </c>
    </row>
    <row r="71" spans="1:2" x14ac:dyDescent="0.25">
      <c r="A71" t="s">
        <v>214</v>
      </c>
      <c r="B71" t="s">
        <v>254</v>
      </c>
    </row>
    <row r="72" spans="1:2" x14ac:dyDescent="0.25">
      <c r="A72" t="s">
        <v>240</v>
      </c>
      <c r="B72" t="s">
        <v>254</v>
      </c>
    </row>
    <row r="73" spans="1:2" x14ac:dyDescent="0.25">
      <c r="A73" t="s">
        <v>38</v>
      </c>
      <c r="B73" t="s">
        <v>251</v>
      </c>
    </row>
    <row r="74" spans="1:2" x14ac:dyDescent="0.25">
      <c r="A74" t="s">
        <v>152</v>
      </c>
      <c r="B74" t="s">
        <v>255</v>
      </c>
    </row>
    <row r="75" spans="1:2" x14ac:dyDescent="0.25">
      <c r="A75" t="s">
        <v>161</v>
      </c>
      <c r="B75" t="s">
        <v>253</v>
      </c>
    </row>
    <row r="76" spans="1:2" x14ac:dyDescent="0.25">
      <c r="A76" t="s">
        <v>20</v>
      </c>
      <c r="B76" t="s">
        <v>251</v>
      </c>
    </row>
    <row r="77" spans="1:2" x14ac:dyDescent="0.25">
      <c r="A77" t="s">
        <v>52</v>
      </c>
      <c r="B77" t="s">
        <v>251</v>
      </c>
    </row>
    <row r="78" spans="1:2" x14ac:dyDescent="0.25">
      <c r="A78" t="s">
        <v>169</v>
      </c>
      <c r="B78" t="s">
        <v>255</v>
      </c>
    </row>
    <row r="79" spans="1:2" x14ac:dyDescent="0.25">
      <c r="A79" t="s">
        <v>40</v>
      </c>
      <c r="B79" t="s">
        <v>253</v>
      </c>
    </row>
    <row r="80" spans="1:2" x14ac:dyDescent="0.25">
      <c r="A80" t="s">
        <v>193</v>
      </c>
      <c r="B80" t="s">
        <v>254</v>
      </c>
    </row>
    <row r="81" spans="1:2" x14ac:dyDescent="0.25">
      <c r="A81" t="s">
        <v>201</v>
      </c>
      <c r="B81" t="s">
        <v>254</v>
      </c>
    </row>
    <row r="82" spans="1:2" x14ac:dyDescent="0.25">
      <c r="A82" t="s">
        <v>129</v>
      </c>
      <c r="B82" t="s">
        <v>251</v>
      </c>
    </row>
    <row r="83" spans="1:2" x14ac:dyDescent="0.25">
      <c r="A83" t="s">
        <v>22</v>
      </c>
      <c r="B83" t="s">
        <v>251</v>
      </c>
    </row>
    <row r="84" spans="1:2" x14ac:dyDescent="0.25">
      <c r="A84" t="s">
        <v>190</v>
      </c>
      <c r="B84" t="s">
        <v>254</v>
      </c>
    </row>
    <row r="85" spans="1:2" x14ac:dyDescent="0.25">
      <c r="A85" t="s">
        <v>35</v>
      </c>
      <c r="B85" t="s">
        <v>251</v>
      </c>
    </row>
    <row r="86" spans="1:2" x14ac:dyDescent="0.25">
      <c r="A86" t="s">
        <v>18</v>
      </c>
      <c r="B86" t="s">
        <v>251</v>
      </c>
    </row>
    <row r="87" spans="1:2" x14ac:dyDescent="0.25">
      <c r="A87" t="s">
        <v>24</v>
      </c>
      <c r="B87" t="s">
        <v>256</v>
      </c>
    </row>
    <row r="88" spans="1:2" x14ac:dyDescent="0.25">
      <c r="A88" t="s">
        <v>146</v>
      </c>
      <c r="B88" t="s">
        <v>255</v>
      </c>
    </row>
    <row r="89" spans="1:2" x14ac:dyDescent="0.25">
      <c r="A89" t="s">
        <v>79</v>
      </c>
      <c r="B89" t="s">
        <v>255</v>
      </c>
    </row>
    <row r="90" spans="1:2" x14ac:dyDescent="0.25">
      <c r="A90" t="s">
        <v>85</v>
      </c>
      <c r="B90" t="s">
        <v>253</v>
      </c>
    </row>
    <row r="91" spans="1:2" x14ac:dyDescent="0.25">
      <c r="A91" t="s">
        <v>165</v>
      </c>
      <c r="B91" t="s">
        <v>255</v>
      </c>
    </row>
    <row r="92" spans="1:2" x14ac:dyDescent="0.25">
      <c r="A92" t="s">
        <v>224</v>
      </c>
      <c r="B92" t="s">
        <v>254</v>
      </c>
    </row>
    <row r="93" spans="1:2" x14ac:dyDescent="0.25">
      <c r="A93" t="s">
        <v>233</v>
      </c>
      <c r="B93" t="s">
        <v>254</v>
      </c>
    </row>
    <row r="94" spans="1:2" x14ac:dyDescent="0.25">
      <c r="A94" t="s">
        <v>147</v>
      </c>
      <c r="B94" t="s">
        <v>255</v>
      </c>
    </row>
    <row r="95" spans="1:2" x14ac:dyDescent="0.25">
      <c r="A95" t="s">
        <v>218</v>
      </c>
      <c r="B95" t="s">
        <v>254</v>
      </c>
    </row>
    <row r="96" spans="1:2" x14ac:dyDescent="0.25">
      <c r="A96" t="s">
        <v>145</v>
      </c>
      <c r="B96" t="s">
        <v>255</v>
      </c>
    </row>
    <row r="97" spans="1:2" x14ac:dyDescent="0.25">
      <c r="A97" t="s">
        <v>57</v>
      </c>
      <c r="B97" t="s">
        <v>251</v>
      </c>
    </row>
    <row r="98" spans="1:2" x14ac:dyDescent="0.25">
      <c r="A98" t="s">
        <v>23</v>
      </c>
      <c r="B98" t="s">
        <v>251</v>
      </c>
    </row>
    <row r="99" spans="1:2" x14ac:dyDescent="0.25">
      <c r="A99" t="s">
        <v>183</v>
      </c>
      <c r="B99" t="s">
        <v>250</v>
      </c>
    </row>
    <row r="100" spans="1:2" x14ac:dyDescent="0.25">
      <c r="A100" t="s">
        <v>173</v>
      </c>
      <c r="B100" t="s">
        <v>253</v>
      </c>
    </row>
    <row r="101" spans="1:2" x14ac:dyDescent="0.25">
      <c r="A101" t="s">
        <v>126</v>
      </c>
      <c r="B101" t="s">
        <v>250</v>
      </c>
    </row>
    <row r="102" spans="1:2" x14ac:dyDescent="0.25">
      <c r="A102" t="s">
        <v>113</v>
      </c>
      <c r="B102" t="s">
        <v>252</v>
      </c>
    </row>
    <row r="103" spans="1:2" x14ac:dyDescent="0.25">
      <c r="A103" t="s">
        <v>128</v>
      </c>
      <c r="B103" t="s">
        <v>251</v>
      </c>
    </row>
    <row r="104" spans="1:2" x14ac:dyDescent="0.25">
      <c r="A104" t="s">
        <v>102</v>
      </c>
      <c r="B104" t="s">
        <v>251</v>
      </c>
    </row>
    <row r="105" spans="1:2" x14ac:dyDescent="0.25">
      <c r="A105" t="s">
        <v>25</v>
      </c>
      <c r="B105" t="s">
        <v>251</v>
      </c>
    </row>
    <row r="106" spans="1:2" x14ac:dyDescent="0.25">
      <c r="A106" t="s">
        <v>67</v>
      </c>
      <c r="B106" t="s">
        <v>251</v>
      </c>
    </row>
    <row r="107" spans="1:2" x14ac:dyDescent="0.25">
      <c r="A107" t="s">
        <v>181</v>
      </c>
      <c r="B107" t="s">
        <v>255</v>
      </c>
    </row>
    <row r="108" spans="1:2" x14ac:dyDescent="0.25">
      <c r="A108" t="s">
        <v>101</v>
      </c>
      <c r="B108" t="s">
        <v>253</v>
      </c>
    </row>
    <row r="109" spans="1:2" x14ac:dyDescent="0.25">
      <c r="A109" t="s">
        <v>103</v>
      </c>
      <c r="B109" t="s">
        <v>252</v>
      </c>
    </row>
    <row r="110" spans="1:2" x14ac:dyDescent="0.25">
      <c r="A110" t="s">
        <v>148</v>
      </c>
      <c r="B110" t="s">
        <v>251</v>
      </c>
    </row>
    <row r="111" spans="1:2" x14ac:dyDescent="0.25">
      <c r="A111" t="s">
        <v>228</v>
      </c>
      <c r="B111" t="s">
        <v>254</v>
      </c>
    </row>
    <row r="112" spans="1:2" x14ac:dyDescent="0.25">
      <c r="A112" t="s">
        <v>204</v>
      </c>
      <c r="B112" t="s">
        <v>253</v>
      </c>
    </row>
    <row r="113" spans="1:2" x14ac:dyDescent="0.25">
      <c r="A113" t="s">
        <v>45</v>
      </c>
      <c r="B113" t="s">
        <v>252</v>
      </c>
    </row>
    <row r="114" spans="1:2" x14ac:dyDescent="0.25">
      <c r="A114" t="s">
        <v>178</v>
      </c>
      <c r="B114" t="s">
        <v>251</v>
      </c>
    </row>
    <row r="115" spans="1:2" x14ac:dyDescent="0.25">
      <c r="A115" t="s">
        <v>194</v>
      </c>
      <c r="B115" t="s">
        <v>253</v>
      </c>
    </row>
    <row r="116" spans="1:2" x14ac:dyDescent="0.25">
      <c r="A116" t="s">
        <v>107</v>
      </c>
      <c r="B116" t="s">
        <v>251</v>
      </c>
    </row>
    <row r="117" spans="1:2" x14ac:dyDescent="0.25">
      <c r="A117" t="s">
        <v>172</v>
      </c>
      <c r="B117" t="s">
        <v>252</v>
      </c>
    </row>
    <row r="118" spans="1:2" x14ac:dyDescent="0.25">
      <c r="A118" t="s">
        <v>210</v>
      </c>
      <c r="B118" t="s">
        <v>254</v>
      </c>
    </row>
    <row r="119" spans="1:2" x14ac:dyDescent="0.25">
      <c r="A119" t="s">
        <v>207</v>
      </c>
      <c r="B119" t="s">
        <v>254</v>
      </c>
    </row>
    <row r="120" spans="1:2" x14ac:dyDescent="0.25">
      <c r="A120" t="s">
        <v>71</v>
      </c>
      <c r="B120" t="s">
        <v>254</v>
      </c>
    </row>
    <row r="121" spans="1:2" x14ac:dyDescent="0.25">
      <c r="A121" t="s">
        <v>36</v>
      </c>
      <c r="B121" t="s">
        <v>251</v>
      </c>
    </row>
    <row r="122" spans="1:2" x14ac:dyDescent="0.25">
      <c r="A122" t="s">
        <v>115</v>
      </c>
      <c r="B122" t="s">
        <v>251</v>
      </c>
    </row>
    <row r="123" spans="1:2" x14ac:dyDescent="0.25">
      <c r="A123" t="s">
        <v>66</v>
      </c>
      <c r="B123" t="s">
        <v>251</v>
      </c>
    </row>
    <row r="124" spans="1:2" x14ac:dyDescent="0.25">
      <c r="A124" t="s">
        <v>237</v>
      </c>
      <c r="B124" t="s">
        <v>254</v>
      </c>
    </row>
    <row r="125" spans="1:2" x14ac:dyDescent="0.25">
      <c r="A125" t="s">
        <v>215</v>
      </c>
      <c r="B125" t="s">
        <v>254</v>
      </c>
    </row>
    <row r="126" spans="1:2" x14ac:dyDescent="0.25">
      <c r="A126" t="s">
        <v>131</v>
      </c>
      <c r="B126" t="s">
        <v>250</v>
      </c>
    </row>
    <row r="127" spans="1:2" x14ac:dyDescent="0.25">
      <c r="A127" t="s">
        <v>90</v>
      </c>
      <c r="B127" t="s">
        <v>250</v>
      </c>
    </row>
    <row r="128" spans="1:2" x14ac:dyDescent="0.25">
      <c r="A128" t="s">
        <v>198</v>
      </c>
      <c r="B128" t="s">
        <v>254</v>
      </c>
    </row>
    <row r="129" spans="1:2" x14ac:dyDescent="0.25">
      <c r="A129" t="s">
        <v>30</v>
      </c>
      <c r="B129" t="s">
        <v>251</v>
      </c>
    </row>
    <row r="130" spans="1:2" x14ac:dyDescent="0.25">
      <c r="A130" t="s">
        <v>188</v>
      </c>
      <c r="B130" t="s">
        <v>253</v>
      </c>
    </row>
    <row r="131" spans="1:2" x14ac:dyDescent="0.25">
      <c r="A131" t="s">
        <v>76</v>
      </c>
      <c r="B131" t="s">
        <v>255</v>
      </c>
    </row>
    <row r="132" spans="1:2" x14ac:dyDescent="0.25">
      <c r="A132" t="s">
        <v>211</v>
      </c>
      <c r="B132" t="s">
        <v>254</v>
      </c>
    </row>
    <row r="133" spans="1:2" x14ac:dyDescent="0.25">
      <c r="A133" t="s">
        <v>74</v>
      </c>
      <c r="B133" t="s">
        <v>254</v>
      </c>
    </row>
    <row r="134" spans="1:2" x14ac:dyDescent="0.25">
      <c r="A134" t="s">
        <v>138</v>
      </c>
      <c r="B134" t="s">
        <v>254</v>
      </c>
    </row>
    <row r="135" spans="1:2" x14ac:dyDescent="0.25">
      <c r="A135" t="s">
        <v>87</v>
      </c>
      <c r="B135" t="s">
        <v>255</v>
      </c>
    </row>
    <row r="136" spans="1:2" x14ac:dyDescent="0.25">
      <c r="A136" t="s">
        <v>189</v>
      </c>
      <c r="B136" t="s">
        <v>253</v>
      </c>
    </row>
    <row r="137" spans="1:2" x14ac:dyDescent="0.25">
      <c r="A137" t="s">
        <v>37</v>
      </c>
      <c r="B137" t="s">
        <v>251</v>
      </c>
    </row>
    <row r="138" spans="1:2" x14ac:dyDescent="0.25">
      <c r="A138" t="s">
        <v>191</v>
      </c>
      <c r="B138" t="s">
        <v>253</v>
      </c>
    </row>
    <row r="139" spans="1:2" x14ac:dyDescent="0.25">
      <c r="A139" t="s">
        <v>106</v>
      </c>
      <c r="B139" t="s">
        <v>251</v>
      </c>
    </row>
    <row r="140" spans="1:2" x14ac:dyDescent="0.25">
      <c r="A140" t="s">
        <v>114</v>
      </c>
      <c r="B140" t="s">
        <v>255</v>
      </c>
    </row>
    <row r="141" spans="1:2" x14ac:dyDescent="0.25">
      <c r="A141" t="s">
        <v>184</v>
      </c>
      <c r="B141" t="s">
        <v>252</v>
      </c>
    </row>
    <row r="142" spans="1:2" x14ac:dyDescent="0.25">
      <c r="A142" t="s">
        <v>226</v>
      </c>
      <c r="B142" t="s">
        <v>254</v>
      </c>
    </row>
    <row r="143" spans="1:2" x14ac:dyDescent="0.25">
      <c r="A143" t="s">
        <v>197</v>
      </c>
      <c r="B143" t="s">
        <v>253</v>
      </c>
    </row>
    <row r="144" spans="1:2" x14ac:dyDescent="0.25">
      <c r="A144" t="s">
        <v>196</v>
      </c>
      <c r="B144" t="s">
        <v>254</v>
      </c>
    </row>
    <row r="145" spans="1:2" x14ac:dyDescent="0.25">
      <c r="A145" t="s">
        <v>32</v>
      </c>
      <c r="B145" t="s">
        <v>253</v>
      </c>
    </row>
    <row r="146" spans="1:2" x14ac:dyDescent="0.25">
      <c r="A146" t="s">
        <v>186</v>
      </c>
      <c r="B146" t="s">
        <v>250</v>
      </c>
    </row>
    <row r="147" spans="1:2" x14ac:dyDescent="0.25">
      <c r="A147" t="s">
        <v>54</v>
      </c>
      <c r="B147" t="s">
        <v>251</v>
      </c>
    </row>
    <row r="148" spans="1:2" x14ac:dyDescent="0.25">
      <c r="A148" t="s">
        <v>97</v>
      </c>
      <c r="B148" t="s">
        <v>253</v>
      </c>
    </row>
    <row r="149" spans="1:2" x14ac:dyDescent="0.25">
      <c r="A149" t="s">
        <v>27</v>
      </c>
      <c r="B149" t="s">
        <v>253</v>
      </c>
    </row>
    <row r="150" spans="1:2" x14ac:dyDescent="0.25">
      <c r="A150" t="s">
        <v>200</v>
      </c>
      <c r="B150" t="s">
        <v>255</v>
      </c>
    </row>
    <row r="151" spans="1:2" x14ac:dyDescent="0.25">
      <c r="A151" t="s">
        <v>241</v>
      </c>
      <c r="B151" t="s">
        <v>254</v>
      </c>
    </row>
    <row r="152" spans="1:2" x14ac:dyDescent="0.25">
      <c r="A152" t="s">
        <v>205</v>
      </c>
      <c r="B152" t="s">
        <v>254</v>
      </c>
    </row>
    <row r="153" spans="1:2" x14ac:dyDescent="0.25">
      <c r="A153" t="s">
        <v>123</v>
      </c>
      <c r="B153" t="s">
        <v>253</v>
      </c>
    </row>
    <row r="154" spans="1:2" x14ac:dyDescent="0.25">
      <c r="A154" t="s">
        <v>121</v>
      </c>
      <c r="B154" t="s">
        <v>251</v>
      </c>
    </row>
    <row r="155" spans="1:2" x14ac:dyDescent="0.25">
      <c r="A155" t="s">
        <v>39</v>
      </c>
      <c r="B155" t="s">
        <v>253</v>
      </c>
    </row>
    <row r="156" spans="1:2" x14ac:dyDescent="0.25">
      <c r="A156" t="s">
        <v>28</v>
      </c>
      <c r="B156" t="s">
        <v>251</v>
      </c>
    </row>
    <row r="157" spans="1:2" x14ac:dyDescent="0.25">
      <c r="A157" t="s">
        <v>176</v>
      </c>
      <c r="B157" t="s">
        <v>252</v>
      </c>
    </row>
    <row r="158" spans="1:2" x14ac:dyDescent="0.25">
      <c r="A158" t="s">
        <v>185</v>
      </c>
      <c r="B158" t="s">
        <v>250</v>
      </c>
    </row>
    <row r="159" spans="1:2" x14ac:dyDescent="0.25">
      <c r="A159" t="s">
        <v>88</v>
      </c>
      <c r="B159" t="s">
        <v>253</v>
      </c>
    </row>
    <row r="160" spans="1:2" x14ac:dyDescent="0.25">
      <c r="A160" t="s">
        <v>159</v>
      </c>
      <c r="B160" t="s">
        <v>255</v>
      </c>
    </row>
    <row r="161" spans="1:2" x14ac:dyDescent="0.25">
      <c r="A161" t="s">
        <v>244</v>
      </c>
      <c r="B161" t="s">
        <v>253</v>
      </c>
    </row>
    <row r="162" spans="1:2" x14ac:dyDescent="0.25">
      <c r="A162" t="s">
        <v>89</v>
      </c>
      <c r="B162" t="s">
        <v>255</v>
      </c>
    </row>
    <row r="163" spans="1:2" x14ac:dyDescent="0.25">
      <c r="A163" t="s">
        <v>171</v>
      </c>
      <c r="B163" t="s">
        <v>255</v>
      </c>
    </row>
    <row r="164" spans="1:2" x14ac:dyDescent="0.25">
      <c r="A164" t="s">
        <v>164</v>
      </c>
      <c r="B164" t="s">
        <v>250</v>
      </c>
    </row>
    <row r="165" spans="1:2" x14ac:dyDescent="0.25">
      <c r="A165" t="s">
        <v>63</v>
      </c>
      <c r="B165" t="s">
        <v>251</v>
      </c>
    </row>
    <row r="166" spans="1:2" x14ac:dyDescent="0.25">
      <c r="A166" t="s">
        <v>68</v>
      </c>
      <c r="B166" t="s">
        <v>251</v>
      </c>
    </row>
    <row r="167" spans="1:2" x14ac:dyDescent="0.25">
      <c r="A167" t="s">
        <v>44</v>
      </c>
      <c r="B167" t="s">
        <v>255</v>
      </c>
    </row>
    <row r="168" spans="1:2" x14ac:dyDescent="0.25">
      <c r="A168" t="s">
        <v>86</v>
      </c>
      <c r="B168" t="s">
        <v>251</v>
      </c>
    </row>
    <row r="169" spans="1:2" x14ac:dyDescent="0.25">
      <c r="A169" t="s">
        <v>64</v>
      </c>
      <c r="B169" t="s">
        <v>253</v>
      </c>
    </row>
    <row r="170" spans="1:2" x14ac:dyDescent="0.25">
      <c r="A170" t="s">
        <v>182</v>
      </c>
      <c r="B170" t="s">
        <v>251</v>
      </c>
    </row>
    <row r="171" spans="1:2" x14ac:dyDescent="0.25">
      <c r="A171" t="s">
        <v>42</v>
      </c>
      <c r="B171" t="s">
        <v>254</v>
      </c>
    </row>
    <row r="172" spans="1:2" x14ac:dyDescent="0.25">
      <c r="A172" t="s">
        <v>50</v>
      </c>
      <c r="B172" t="s">
        <v>251</v>
      </c>
    </row>
    <row r="173" spans="1:2" x14ac:dyDescent="0.25">
      <c r="A173" t="s">
        <v>134</v>
      </c>
      <c r="B173" t="s">
        <v>251</v>
      </c>
    </row>
    <row r="174" spans="1:2" x14ac:dyDescent="0.25">
      <c r="A174" t="s">
        <v>232</v>
      </c>
      <c r="B174" t="s">
        <v>254</v>
      </c>
    </row>
    <row r="175" spans="1:2" x14ac:dyDescent="0.25">
      <c r="A175" t="s">
        <v>31</v>
      </c>
      <c r="B175" t="s">
        <v>255</v>
      </c>
    </row>
    <row r="176" spans="1:2" x14ac:dyDescent="0.25">
      <c r="A176" t="s">
        <v>100</v>
      </c>
      <c r="B176" t="s">
        <v>254</v>
      </c>
    </row>
    <row r="177" spans="1:2" x14ac:dyDescent="0.25">
      <c r="A177" t="s">
        <v>110</v>
      </c>
      <c r="B177" t="s">
        <v>255</v>
      </c>
    </row>
    <row r="178" spans="1:2" x14ac:dyDescent="0.25">
      <c r="A178" t="s">
        <v>135</v>
      </c>
      <c r="B178" t="s">
        <v>255</v>
      </c>
    </row>
    <row r="179" spans="1:2" x14ac:dyDescent="0.25">
      <c r="A179" t="s">
        <v>58</v>
      </c>
      <c r="B179" t="s">
        <v>255</v>
      </c>
    </row>
    <row r="180" spans="1:2" x14ac:dyDescent="0.25">
      <c r="A180" t="s">
        <v>179</v>
      </c>
      <c r="B180" t="s">
        <v>256</v>
      </c>
    </row>
    <row r="181" spans="1:2" x14ac:dyDescent="0.25">
      <c r="A181" t="s">
        <v>155</v>
      </c>
      <c r="B181" t="s">
        <v>255</v>
      </c>
    </row>
    <row r="182" spans="1:2" x14ac:dyDescent="0.25">
      <c r="A182" t="s">
        <v>177</v>
      </c>
      <c r="B182" t="s">
        <v>253</v>
      </c>
    </row>
    <row r="183" spans="1:2" x14ac:dyDescent="0.25">
      <c r="A183" t="s">
        <v>34</v>
      </c>
      <c r="B183" t="s">
        <v>251</v>
      </c>
    </row>
    <row r="184" spans="1:2" x14ac:dyDescent="0.25">
      <c r="A184" t="s">
        <v>203</v>
      </c>
      <c r="B184" t="s">
        <v>254</v>
      </c>
    </row>
    <row r="185" spans="1:2" x14ac:dyDescent="0.25">
      <c r="A185" t="s">
        <v>51</v>
      </c>
      <c r="B185" t="s">
        <v>251</v>
      </c>
    </row>
    <row r="186" spans="1:2" x14ac:dyDescent="0.25">
      <c r="A186" t="s">
        <v>195</v>
      </c>
      <c r="B186" t="s">
        <v>254</v>
      </c>
    </row>
    <row r="187" spans="1:2" x14ac:dyDescent="0.25">
      <c r="A187" t="s">
        <v>153</v>
      </c>
      <c r="B187" t="s">
        <v>251</v>
      </c>
    </row>
    <row r="188" spans="1:2" x14ac:dyDescent="0.25">
      <c r="A188" t="s">
        <v>137</v>
      </c>
      <c r="B188" t="s">
        <v>253</v>
      </c>
    </row>
    <row r="189" spans="1:2" x14ac:dyDescent="0.25">
      <c r="A189" t="s">
        <v>225</v>
      </c>
      <c r="B189" t="s">
        <v>254</v>
      </c>
    </row>
    <row r="190" spans="1:2" x14ac:dyDescent="0.25">
      <c r="A190" t="s">
        <v>46</v>
      </c>
      <c r="B190" t="s">
        <v>253</v>
      </c>
    </row>
    <row r="191" spans="1:2" x14ac:dyDescent="0.25">
      <c r="A191" t="s">
        <v>151</v>
      </c>
      <c r="B191" t="s">
        <v>255</v>
      </c>
    </row>
    <row r="192" spans="1:2" x14ac:dyDescent="0.25">
      <c r="A192" t="s">
        <v>81</v>
      </c>
      <c r="B192" t="s">
        <v>251</v>
      </c>
    </row>
    <row r="193" spans="1:2" x14ac:dyDescent="0.25">
      <c r="A193" t="s">
        <v>91</v>
      </c>
      <c r="B193" t="s">
        <v>251</v>
      </c>
    </row>
    <row r="194" spans="1:2" x14ac:dyDescent="0.25">
      <c r="A194" t="s">
        <v>216</v>
      </c>
      <c r="B194" t="s">
        <v>253</v>
      </c>
    </row>
    <row r="195" spans="1:2" x14ac:dyDescent="0.25">
      <c r="A195" t="s">
        <v>235</v>
      </c>
      <c r="B195" t="s">
        <v>254</v>
      </c>
    </row>
    <row r="196" spans="1:2" x14ac:dyDescent="0.25">
      <c r="A196" t="s">
        <v>168</v>
      </c>
      <c r="B196" t="s">
        <v>254</v>
      </c>
    </row>
    <row r="197" spans="1:2" x14ac:dyDescent="0.25">
      <c r="A197" t="s">
        <v>246</v>
      </c>
      <c r="B197" t="s">
        <v>254</v>
      </c>
    </row>
    <row r="198" spans="1:2" x14ac:dyDescent="0.25">
      <c r="A198" t="s">
        <v>65</v>
      </c>
      <c r="B198" t="s">
        <v>251</v>
      </c>
    </row>
    <row r="199" spans="1:2" x14ac:dyDescent="0.25">
      <c r="A199" t="s">
        <v>174</v>
      </c>
      <c r="B199" t="s">
        <v>250</v>
      </c>
    </row>
    <row r="200" spans="1:2" x14ac:dyDescent="0.25">
      <c r="A200" t="s">
        <v>231</v>
      </c>
      <c r="B200" t="s">
        <v>252</v>
      </c>
    </row>
    <row r="201" spans="1:2" x14ac:dyDescent="0.25">
      <c r="A201" t="s">
        <v>116</v>
      </c>
      <c r="B201" t="s">
        <v>255</v>
      </c>
    </row>
    <row r="202" spans="1:2" x14ac:dyDescent="0.25">
      <c r="A202" t="s">
        <v>77</v>
      </c>
      <c r="B202" t="s">
        <v>251</v>
      </c>
    </row>
    <row r="203" spans="1:2" x14ac:dyDescent="0.25">
      <c r="A203" t="s">
        <v>21</v>
      </c>
      <c r="B203" t="s">
        <v>251</v>
      </c>
    </row>
    <row r="204" spans="1:2" x14ac:dyDescent="0.25">
      <c r="A204" t="s">
        <v>167</v>
      </c>
      <c r="B204" t="s">
        <v>252</v>
      </c>
    </row>
    <row r="205" spans="1:2" x14ac:dyDescent="0.25">
      <c r="A205" t="s">
        <v>199</v>
      </c>
      <c r="B205" t="s">
        <v>251</v>
      </c>
    </row>
    <row r="206" spans="1:2" x14ac:dyDescent="0.25">
      <c r="A206" t="s">
        <v>53</v>
      </c>
      <c r="B206" t="s">
        <v>253</v>
      </c>
    </row>
    <row r="207" spans="1:2" x14ac:dyDescent="0.25">
      <c r="A207" t="s">
        <v>192</v>
      </c>
      <c r="B207" t="s">
        <v>253</v>
      </c>
    </row>
    <row r="208" spans="1:2" x14ac:dyDescent="0.25">
      <c r="A208" t="s">
        <v>217</v>
      </c>
      <c r="B208" t="s">
        <v>254</v>
      </c>
    </row>
    <row r="209" spans="1:2" x14ac:dyDescent="0.25">
      <c r="A209" t="s">
        <v>84</v>
      </c>
      <c r="B209" t="s">
        <v>253</v>
      </c>
    </row>
    <row r="210" spans="1:2" x14ac:dyDescent="0.25">
      <c r="A210" t="s">
        <v>108</v>
      </c>
      <c r="B210" t="s">
        <v>253</v>
      </c>
    </row>
    <row r="211" spans="1:2" x14ac:dyDescent="0.25">
      <c r="A211" t="s">
        <v>105</v>
      </c>
      <c r="B211" t="s">
        <v>255</v>
      </c>
    </row>
    <row r="212" spans="1:2" x14ac:dyDescent="0.25">
      <c r="A212" t="s">
        <v>124</v>
      </c>
      <c r="B212" t="s">
        <v>254</v>
      </c>
    </row>
    <row r="213" spans="1:2" x14ac:dyDescent="0.25">
      <c r="A213" t="s">
        <v>132</v>
      </c>
      <c r="B213" t="s">
        <v>251</v>
      </c>
    </row>
    <row r="214" spans="1:2" x14ac:dyDescent="0.25">
      <c r="A214" t="s">
        <v>47</v>
      </c>
      <c r="B214" t="s">
        <v>251</v>
      </c>
    </row>
    <row r="215" spans="1:2" x14ac:dyDescent="0.25">
      <c r="A215" t="s">
        <v>160</v>
      </c>
      <c r="B215" t="s">
        <v>255</v>
      </c>
    </row>
    <row r="216" spans="1:2" x14ac:dyDescent="0.25">
      <c r="A216" t="s">
        <v>33</v>
      </c>
      <c r="B216" t="s">
        <v>253</v>
      </c>
    </row>
    <row r="217" spans="1:2" x14ac:dyDescent="0.25">
      <c r="A217" t="s">
        <v>236</v>
      </c>
      <c r="B217" t="s">
        <v>254</v>
      </c>
    </row>
    <row r="218" spans="1:2" x14ac:dyDescent="0.25">
      <c r="A218" t="s">
        <v>166</v>
      </c>
      <c r="B218" t="s">
        <v>251</v>
      </c>
    </row>
    <row r="219" spans="1:2" x14ac:dyDescent="0.25">
      <c r="A219" t="s">
        <v>60</v>
      </c>
      <c r="B219" t="s">
        <v>251</v>
      </c>
    </row>
    <row r="220" spans="1:2" x14ac:dyDescent="0.25">
      <c r="A220" t="s">
        <v>26</v>
      </c>
      <c r="B220" t="s">
        <v>251</v>
      </c>
    </row>
    <row r="221" spans="1:2" x14ac:dyDescent="0.25">
      <c r="A221" t="s">
        <v>229</v>
      </c>
      <c r="B221" t="s">
        <v>254</v>
      </c>
    </row>
    <row r="222" spans="1:2" x14ac:dyDescent="0.25">
      <c r="A222" t="s">
        <v>257</v>
      </c>
      <c r="B222" t="s">
        <v>256</v>
      </c>
    </row>
    <row r="223" spans="1:2" x14ac:dyDescent="0.25">
      <c r="A223" t="s">
        <v>72</v>
      </c>
      <c r="B223" t="s">
        <v>256</v>
      </c>
    </row>
    <row r="224" spans="1:2" x14ac:dyDescent="0.25">
      <c r="A224" t="s">
        <v>109</v>
      </c>
      <c r="B224" t="s">
        <v>255</v>
      </c>
    </row>
    <row r="225" spans="1:2" x14ac:dyDescent="0.25">
      <c r="A225" t="s">
        <v>93</v>
      </c>
      <c r="B225" t="s">
        <v>255</v>
      </c>
    </row>
    <row r="226" spans="1:2" x14ac:dyDescent="0.25">
      <c r="A226" t="s">
        <v>120</v>
      </c>
      <c r="B226" t="s">
        <v>251</v>
      </c>
    </row>
    <row r="227" spans="1:2" x14ac:dyDescent="0.25">
      <c r="A227" t="s">
        <v>180</v>
      </c>
      <c r="B227" t="s">
        <v>253</v>
      </c>
    </row>
    <row r="228" spans="1:2" x14ac:dyDescent="0.25">
      <c r="A228" t="s">
        <v>157</v>
      </c>
      <c r="B228" t="s">
        <v>255</v>
      </c>
    </row>
    <row r="229" spans="1:2" x14ac:dyDescent="0.25">
      <c r="A229" t="s">
        <v>136</v>
      </c>
      <c r="B229" t="s">
        <v>253</v>
      </c>
    </row>
    <row r="230" spans="1:2" x14ac:dyDescent="0.25">
      <c r="A230" t="s">
        <v>95</v>
      </c>
      <c r="B230" t="s">
        <v>253</v>
      </c>
    </row>
    <row r="231" spans="1:2" x14ac:dyDescent="0.25">
      <c r="A231" t="s">
        <v>118</v>
      </c>
      <c r="B231" t="s">
        <v>251</v>
      </c>
    </row>
    <row r="232" spans="1:2" x14ac:dyDescent="0.25">
      <c r="A232" t="s">
        <v>230</v>
      </c>
      <c r="B232" t="s">
        <v>251</v>
      </c>
    </row>
    <row r="233" spans="1:2" x14ac:dyDescent="0.25">
      <c r="A233" t="s">
        <v>221</v>
      </c>
      <c r="B233" t="s">
        <v>254</v>
      </c>
    </row>
    <row r="234" spans="1:2" x14ac:dyDescent="0.25">
      <c r="A234" t="s">
        <v>222</v>
      </c>
      <c r="B234" t="s">
        <v>254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FC83-5BB7-438C-BCC3-8A1302C3E5D9}">
  <dimension ref="A1:I72"/>
  <sheetViews>
    <sheetView tabSelected="1" topLeftCell="A59" workbookViewId="0">
      <selection activeCell="I68" sqref="I68"/>
    </sheetView>
  </sheetViews>
  <sheetFormatPr defaultRowHeight="15" x14ac:dyDescent="0.25"/>
  <cols>
    <col min="1" max="2" width="10.28515625" customWidth="1"/>
  </cols>
  <sheetData>
    <row r="1" spans="1:9" x14ac:dyDescent="0.25">
      <c r="A1" s="2" t="s">
        <v>259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260</v>
      </c>
      <c r="B2">
        <f>AVERAGE(Estimates_of_the_use_of_water__2000_2020[y_diff])</f>
        <v>4.7965367965367962</v>
      </c>
    </row>
    <row r="3" spans="1:9" x14ac:dyDescent="0.25">
      <c r="A3" s="3"/>
    </row>
    <row r="4" spans="1:9" s="2" customFormat="1" x14ac:dyDescent="0.25">
      <c r="A4" s="2" t="s">
        <v>261</v>
      </c>
    </row>
    <row r="5" spans="1:9" x14ac:dyDescent="0.25">
      <c r="A5" s="9" t="s">
        <v>266</v>
      </c>
      <c r="B5" s="9"/>
    </row>
    <row r="6" spans="1:9" x14ac:dyDescent="0.25">
      <c r="A6" s="9" t="s">
        <v>267</v>
      </c>
      <c r="B6" s="9">
        <f>MAX(Estimates_of_the_use_of_water__2000_2020[y_diff])</f>
        <v>5</v>
      </c>
    </row>
    <row r="7" spans="1:9" x14ac:dyDescent="0.25">
      <c r="A7" s="10"/>
      <c r="B7" s="10"/>
    </row>
    <row r="8" spans="1:9" s="2" customFormat="1" x14ac:dyDescent="0.25">
      <c r="A8" s="2" t="s">
        <v>262</v>
      </c>
    </row>
    <row r="9" spans="1:9" s="4" customFormat="1" x14ac:dyDescent="0.25">
      <c r="A9" s="6" t="s">
        <v>263</v>
      </c>
      <c r="B9" s="6"/>
      <c r="C9" s="6"/>
      <c r="D9" s="6"/>
    </row>
    <row r="10" spans="1:9" x14ac:dyDescent="0.25">
      <c r="A10" s="7" t="s">
        <v>264</v>
      </c>
      <c r="B10" s="7"/>
      <c r="C10" s="7"/>
      <c r="D10" s="7"/>
    </row>
    <row r="11" spans="1:9" x14ac:dyDescent="0.25">
      <c r="A11" s="7" t="s">
        <v>265</v>
      </c>
      <c r="B11" s="7"/>
      <c r="C11" s="7"/>
      <c r="D11" s="8"/>
    </row>
    <row r="13" spans="1:9" s="2" customFormat="1" x14ac:dyDescent="0.25">
      <c r="A13" s="2" t="s">
        <v>268</v>
      </c>
    </row>
    <row r="30" spans="1:8" s="2" customFormat="1" x14ac:dyDescent="0.25">
      <c r="A30" s="2" t="s">
        <v>272</v>
      </c>
    </row>
    <row r="31" spans="1:8" x14ac:dyDescent="0.25">
      <c r="A31" s="5"/>
      <c r="B31" s="12" t="s">
        <v>273</v>
      </c>
      <c r="C31" s="12" t="s">
        <v>274</v>
      </c>
      <c r="D31" s="12" t="s">
        <v>275</v>
      </c>
      <c r="H31" t="s">
        <v>276</v>
      </c>
    </row>
    <row r="32" spans="1:8" x14ac:dyDescent="0.25">
      <c r="A32" s="16" t="s">
        <v>269</v>
      </c>
      <c r="B32" s="11">
        <f>MIN(Estimates_of_the_use_of_water__2000_2020[ARC_n])</f>
        <v>-47.901587389999996</v>
      </c>
      <c r="C32" s="11">
        <f>MAX(Estimates_of_the_use_of_water__2000_2020[ARC_n])</f>
        <v>53.813654579999998</v>
      </c>
      <c r="D32" s="11">
        <f>AVERAGE(Estimates_of_the_use_of_water__2000_2020[ARC_n])</f>
        <v>0.19696307148553435</v>
      </c>
      <c r="H32" t="s">
        <v>277</v>
      </c>
    </row>
    <row r="33" spans="1:8" x14ac:dyDescent="0.25">
      <c r="A33" s="13" t="s">
        <v>270</v>
      </c>
      <c r="B33" s="11">
        <f>MIN(Estimates_of_the_use_of_water__2000_2020[ARC_r])</f>
        <v>-100</v>
      </c>
      <c r="C33" s="11">
        <f>MAX(Estimates_of_the_use_of_water__2000_2020[ARC_r])</f>
        <v>20</v>
      </c>
      <c r="D33" s="11">
        <f>AVERAGE(Estimates_of_the_use_of_water__2000_2020[ARC_r])</f>
        <v>-0.67932803835786404</v>
      </c>
      <c r="H33" t="s">
        <v>278</v>
      </c>
    </row>
    <row r="34" spans="1:8" x14ac:dyDescent="0.25">
      <c r="A34" s="13" t="s">
        <v>271</v>
      </c>
      <c r="B34" s="11">
        <f>MIN(Estimates_of_the_use_of_water__2000_2020[ARC_u])</f>
        <v>-99.965000000000003</v>
      </c>
      <c r="C34" s="11">
        <f>MAX(Estimates_of_the_use_of_water__2000_2020[ARC_u])</f>
        <v>48.741137125000002</v>
      </c>
      <c r="D34" s="11">
        <f>AVERAGE(Estimates_of_the_use_of_water__2000_2020[ARC_u])</f>
        <v>-0.3474113991466114</v>
      </c>
    </row>
    <row r="37" spans="1:8" x14ac:dyDescent="0.25">
      <c r="B37" s="11" t="s">
        <v>279</v>
      </c>
      <c r="C37" s="11" t="s">
        <v>280</v>
      </c>
      <c r="D37" s="11" t="s">
        <v>281</v>
      </c>
    </row>
    <row r="38" spans="1:8" s="4" customFormat="1" x14ac:dyDescent="0.25">
      <c r="A38" s="13" t="s">
        <v>282</v>
      </c>
      <c r="B38" s="14">
        <v>0.27699608209170301</v>
      </c>
      <c r="C38" s="14">
        <v>-1.02178867399999</v>
      </c>
      <c r="D38" s="14">
        <v>2.7503264879999998</v>
      </c>
    </row>
    <row r="39" spans="1:8" x14ac:dyDescent="0.25">
      <c r="A39" s="13" t="s">
        <v>270</v>
      </c>
      <c r="B39" s="15">
        <v>0.48445493171257398</v>
      </c>
      <c r="C39" s="15">
        <v>-1.2273809599999901</v>
      </c>
      <c r="D39" s="15">
        <v>2.667882638</v>
      </c>
    </row>
    <row r="40" spans="1:8" x14ac:dyDescent="0.25">
      <c r="A40" s="13" t="s">
        <v>271</v>
      </c>
      <c r="B40" s="15">
        <v>0.154462636861878</v>
      </c>
      <c r="C40" s="15">
        <v>-1.6200868119999901</v>
      </c>
      <c r="D40" s="15">
        <v>2.6682118559999899</v>
      </c>
    </row>
    <row r="43" spans="1:8" s="2" customFormat="1" x14ac:dyDescent="0.25">
      <c r="A43" s="2" t="s">
        <v>283</v>
      </c>
    </row>
    <row r="44" spans="1:8" x14ac:dyDescent="0.25">
      <c r="B44" s="17" t="s">
        <v>284</v>
      </c>
      <c r="C44" s="17"/>
      <c r="D44" s="17"/>
      <c r="E44" t="s">
        <v>285</v>
      </c>
    </row>
    <row r="45" spans="1:8" x14ac:dyDescent="0.25">
      <c r="A45" s="2" t="s">
        <v>269</v>
      </c>
      <c r="B45" s="18">
        <f>COUNTBLANK(cleaned!R2:R463)</f>
        <v>233</v>
      </c>
      <c r="C45" s="18"/>
      <c r="D45" s="18"/>
      <c r="E45">
        <f>COUNTBLANK(Estimates_of_the_use_of_water__2000_2020[ARC_n])</f>
        <v>0</v>
      </c>
    </row>
    <row r="46" spans="1:8" x14ac:dyDescent="0.25">
      <c r="A46" s="2" t="s">
        <v>270</v>
      </c>
      <c r="B46" s="18">
        <f>COUNTBLANK(cleaned!S2:S463)</f>
        <v>295</v>
      </c>
      <c r="C46" s="18"/>
      <c r="D46" s="18"/>
      <c r="E46">
        <f>COUNTBLANK(Estimates_of_the_use_of_water__2000_2020[ARC_r])</f>
        <v>0</v>
      </c>
    </row>
    <row r="47" spans="1:8" x14ac:dyDescent="0.25">
      <c r="A47" s="2" t="s">
        <v>271</v>
      </c>
      <c r="B47" s="18">
        <f>COUNTBLANK(cleaned!T3:T463)</f>
        <v>280</v>
      </c>
      <c r="C47" s="18"/>
      <c r="D47" s="18"/>
      <c r="E47">
        <f>COUNTBLANK(Estimates_of_the_use_of_water__2000_2020[ARC_u])</f>
        <v>0</v>
      </c>
    </row>
    <row r="49" spans="1:8" s="2" customFormat="1" x14ac:dyDescent="0.25">
      <c r="A49" s="2" t="s">
        <v>286</v>
      </c>
    </row>
    <row r="50" spans="1:8" x14ac:dyDescent="0.25">
      <c r="A50" s="19" t="s">
        <v>287</v>
      </c>
      <c r="B50" s="20"/>
      <c r="C50" s="20"/>
      <c r="D50" s="20"/>
      <c r="E50" s="20"/>
      <c r="F50" s="20"/>
      <c r="G50" s="21"/>
      <c r="H50" s="11">
        <v>0</v>
      </c>
    </row>
    <row r="51" spans="1:8" x14ac:dyDescent="0.25">
      <c r="A51" s="19" t="s">
        <v>288</v>
      </c>
      <c r="B51" s="20"/>
      <c r="C51" s="20"/>
      <c r="D51" s="20"/>
      <c r="E51" s="20"/>
      <c r="F51" s="20"/>
      <c r="G51" s="21"/>
      <c r="H51" s="11">
        <v>0</v>
      </c>
    </row>
    <row r="52" spans="1:8" x14ac:dyDescent="0.25">
      <c r="A52" s="19" t="s">
        <v>289</v>
      </c>
      <c r="B52" s="20"/>
      <c r="C52" s="20"/>
      <c r="D52" s="20"/>
      <c r="E52" s="20"/>
      <c r="F52" s="20"/>
      <c r="G52" s="21"/>
      <c r="H52" s="11">
        <v>0</v>
      </c>
    </row>
    <row r="54" spans="1:8" s="2" customFormat="1" x14ac:dyDescent="0.25">
      <c r="A54" s="2" t="s">
        <v>294</v>
      </c>
    </row>
    <row r="56" spans="1:8" x14ac:dyDescent="0.25">
      <c r="A56" t="s">
        <v>295</v>
      </c>
      <c r="B56">
        <f>COUNTIF(cleaned!Y:Y, "full access")</f>
        <v>152</v>
      </c>
    </row>
    <row r="57" spans="1:8" x14ac:dyDescent="0.25">
      <c r="A57" t="s">
        <v>296</v>
      </c>
      <c r="B57">
        <f>COUNTIF(cleaned!Z:Z, "full access")</f>
        <v>64</v>
      </c>
      <c r="F57" t="s">
        <v>300</v>
      </c>
    </row>
    <row r="58" spans="1:8" x14ac:dyDescent="0.25">
      <c r="A58" t="s">
        <v>297</v>
      </c>
      <c r="B58">
        <f>COUNTIF(cleaned!AA:AA, "full access")</f>
        <v>140</v>
      </c>
    </row>
    <row r="60" spans="1:8" s="2" customFormat="1" x14ac:dyDescent="0.25">
      <c r="A60" s="2" t="s">
        <v>301</v>
      </c>
    </row>
    <row r="61" spans="1:8" s="2" customFormat="1" x14ac:dyDescent="0.25">
      <c r="B61" s="12" t="s">
        <v>309</v>
      </c>
      <c r="C61" s="23" t="s">
        <v>308</v>
      </c>
      <c r="D61" s="23"/>
    </row>
    <row r="62" spans="1:8" s="2" customFormat="1" x14ac:dyDescent="0.25">
      <c r="B62" s="11" t="s">
        <v>305</v>
      </c>
      <c r="C62" s="11" t="s">
        <v>306</v>
      </c>
      <c r="D62" s="11" t="s">
        <v>307</v>
      </c>
    </row>
    <row r="63" spans="1:8" x14ac:dyDescent="0.25">
      <c r="A63" s="11" t="s">
        <v>302</v>
      </c>
      <c r="B63" s="11" cm="1">
        <f t="array" ref="B63">COUNTA(_xlfn.UNIQUE(_xlfn._xlws.FILTER(cleaned!A:A,(cleaned!R:R=0)*(cleaned!Y:Y&lt;&gt;"full access"))))</f>
        <v>156</v>
      </c>
      <c r="C63" s="11" cm="1">
        <f t="array" ref="C63">COUNTA(_xlfn.UNIQUE(_xlfn._xlws.FILTER(cleaned!A:A,(cleaned!R:R&lt;0)*(cleaned!Y:Y&lt;&gt;"not full access"))))</f>
        <v>20</v>
      </c>
      <c r="D63" s="11" cm="1">
        <f t="array" ref="D63">COUNTA(_xlfn.UNIQUE(_xlfn._xlws.FILTER(cleaned!A:A,(cleaned!R:R&gt;0)*(cleaned!Y:Y&lt;&gt;"not full access"))))</f>
        <v>35</v>
      </c>
    </row>
    <row r="64" spans="1:8" x14ac:dyDescent="0.25">
      <c r="A64" s="11" t="s">
        <v>303</v>
      </c>
      <c r="B64" s="11" cm="1">
        <f t="array" ref="B64">COUNTA(_xlfn.UNIQUE(_xlfn._xlws.FILTER(cleaned!A:A,(cleaned!S:S=0)*(cleaned!Z:Z&lt;&gt;"full access"))))</f>
        <v>200</v>
      </c>
      <c r="C64" s="11" cm="1">
        <f t="array" ref="C64">COUNTA(_xlfn.UNIQUE(_xlfn._xlws.FILTER(cleaned!A:A,(cleaned!S:S&lt;0)*(cleaned!Z:Z&lt;&gt;"not full access"))))</f>
        <v>2</v>
      </c>
      <c r="D64" s="11" cm="1">
        <f t="array" ref="D64">COUNTA(_xlfn.UNIQUE(_xlfn._xlws.FILTER(cleaned!A:A,(cleaned!S:S&gt;0)*(cleaned!Z:Z&lt;&gt;"not full access"))))</f>
        <v>6</v>
      </c>
    </row>
    <row r="65" spans="1:4" x14ac:dyDescent="0.25">
      <c r="A65" s="11" t="s">
        <v>304</v>
      </c>
      <c r="B65" s="11" cm="1">
        <f t="array" ref="B65">COUNTA(_xlfn.UNIQUE(_xlfn._xlws.FILTER(cleaned!A:A,(cleaned!T:T=0)*(cleaned!AA:AA&lt;&gt;"full access"))))</f>
        <v>162</v>
      </c>
      <c r="C65" s="11" cm="1">
        <f t="array" ref="C65">COUNTA(_xlfn.UNIQUE(_xlfn._xlws.FILTER(cleaned!A:A,(cleaned!T:T&lt;0)*(cleaned!AA:AA&lt;&gt;"not full access"))))</f>
        <v>8</v>
      </c>
      <c r="D65" s="11" cm="1">
        <f t="array" ref="D65">COUNTA(_xlfn.UNIQUE(_xlfn._xlws.FILTER(cleaned!A:A,(cleaned!T:T&gt;0)*(cleaned!AA:AA&lt;&gt;"not full access"))))</f>
        <v>24</v>
      </c>
    </row>
    <row r="67" spans="1:4" s="2" customFormat="1" x14ac:dyDescent="0.25">
      <c r="A67" s="2" t="s">
        <v>310</v>
      </c>
    </row>
    <row r="68" spans="1:4" x14ac:dyDescent="0.25">
      <c r="A68" t="s">
        <v>302</v>
      </c>
      <c r="B68">
        <f>SUM(B63:D63)</f>
        <v>211</v>
      </c>
    </row>
    <row r="69" spans="1:4" x14ac:dyDescent="0.25">
      <c r="A69" t="s">
        <v>303</v>
      </c>
      <c r="B69">
        <f>SUM(B64:D64)</f>
        <v>208</v>
      </c>
    </row>
    <row r="70" spans="1:4" x14ac:dyDescent="0.25">
      <c r="A70" t="s">
        <v>304</v>
      </c>
      <c r="B70">
        <f>SUM(B65:D65)</f>
        <v>194</v>
      </c>
    </row>
    <row r="72" spans="1:4" s="2" customFormat="1" x14ac:dyDescent="0.25">
      <c r="A72" s="2" t="s">
        <v>312</v>
      </c>
    </row>
  </sheetData>
  <mergeCells count="13">
    <mergeCell ref="C61:D61"/>
    <mergeCell ref="B45:D45"/>
    <mergeCell ref="B46:D46"/>
    <mergeCell ref="B47:D47"/>
    <mergeCell ref="A50:G50"/>
    <mergeCell ref="A51:G51"/>
    <mergeCell ref="A52:G52"/>
    <mergeCell ref="A9:D9"/>
    <mergeCell ref="A10:D10"/>
    <mergeCell ref="A11:C11"/>
    <mergeCell ref="A5:B5"/>
    <mergeCell ref="A6:B6"/>
    <mergeCell ref="B44:D4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55DE-CCB0-4402-8969-A7DC89CC1638}">
  <dimension ref="A1:AA463"/>
  <sheetViews>
    <sheetView topLeftCell="O454" workbookViewId="0">
      <selection activeCell="U24" sqref="U24"/>
    </sheetView>
  </sheetViews>
  <sheetFormatPr defaultRowHeight="15" x14ac:dyDescent="0.25"/>
  <cols>
    <col min="1" max="1" width="35.7109375" bestFit="1" customWidth="1"/>
    <col min="2" max="2" width="7.140625" bestFit="1" customWidth="1"/>
    <col min="3" max="4" width="12" bestFit="1" customWidth="1"/>
    <col min="5" max="5" width="12.42578125" bestFit="1" customWidth="1"/>
    <col min="6" max="6" width="12.140625" bestFit="1" customWidth="1"/>
    <col min="7" max="7" width="15" bestFit="1" customWidth="1"/>
    <col min="8" max="8" width="12.140625" bestFit="1" customWidth="1"/>
    <col min="9" max="10" width="12" bestFit="1" customWidth="1"/>
    <col min="11" max="11" width="14.5703125" bestFit="1" customWidth="1"/>
    <col min="12" max="12" width="12" bestFit="1" customWidth="1"/>
    <col min="13" max="13" width="12.42578125" bestFit="1" customWidth="1"/>
    <col min="14" max="14" width="12.140625" bestFit="1" customWidth="1"/>
    <col min="15" max="15" width="15" bestFit="1" customWidth="1"/>
    <col min="16" max="16" width="12.140625" bestFit="1" customWidth="1"/>
    <col min="17" max="17" width="8.28515625" bestFit="1" customWidth="1"/>
    <col min="18" max="20" width="12.7109375" bestFit="1" customWidth="1"/>
    <col min="21" max="21" width="12.7109375" customWidth="1"/>
    <col min="22" max="22" width="22.140625" bestFit="1" customWidth="1"/>
    <col min="23" max="23" width="21.7109375" bestFit="1" customWidth="1"/>
    <col min="24" max="24" width="22.140625" bestFit="1" customWidth="1"/>
    <col min="25" max="27" width="13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258</v>
      </c>
      <c r="R1" t="s">
        <v>269</v>
      </c>
      <c r="S1" t="s">
        <v>270</v>
      </c>
      <c r="T1" t="s">
        <v>271</v>
      </c>
      <c r="U1" t="s">
        <v>311</v>
      </c>
      <c r="V1" t="s">
        <v>290</v>
      </c>
      <c r="W1" t="s">
        <v>291</v>
      </c>
      <c r="X1" t="s">
        <v>292</v>
      </c>
      <c r="Y1" s="22" t="s">
        <v>293</v>
      </c>
      <c r="Z1" t="s">
        <v>298</v>
      </c>
      <c r="AA1" t="s">
        <v>299</v>
      </c>
    </row>
    <row r="2" spans="1:27" hidden="1" x14ac:dyDescent="0.25">
      <c r="A2" s="1" t="s">
        <v>208</v>
      </c>
      <c r="B2">
        <v>2015</v>
      </c>
      <c r="C2">
        <v>34413.601560000003</v>
      </c>
      <c r="D2">
        <v>24.802999499999999</v>
      </c>
      <c r="E2">
        <v>61.339780810000001</v>
      </c>
      <c r="F2">
        <v>3.5111995139999999</v>
      </c>
      <c r="G2">
        <v>22.168783829999999</v>
      </c>
      <c r="H2">
        <v>12.98023585</v>
      </c>
      <c r="I2">
        <v>52.988502019999999</v>
      </c>
      <c r="J2">
        <v>3.8611366170000001</v>
      </c>
      <c r="K2">
        <v>26.553267569999999</v>
      </c>
      <c r="L2">
        <v>16.597093789999999</v>
      </c>
      <c r="M2">
        <v>86.658940720000004</v>
      </c>
      <c r="N2">
        <v>2.450270561</v>
      </c>
      <c r="O2">
        <v>8.8760357320000001</v>
      </c>
      <c r="P2">
        <v>2.0147529870000001</v>
      </c>
      <c r="U2">
        <f>ABS(Sheet1[[#This Row],[ARC_r]]-Sheet1[[#This Row],[ARC_u]])</f>
        <v>0</v>
      </c>
      <c r="V2">
        <f>ROUND(Sheet1[[#This Row],[wat_bas_n]],0)</f>
        <v>61</v>
      </c>
      <c r="W2">
        <f>ROUND(Sheet1[[#This Row],[wat_bas_r]],0)</f>
        <v>53</v>
      </c>
      <c r="X2">
        <f>ROUND(Sheet1[[#This Row],[wat_bas_u]],0)</f>
        <v>87</v>
      </c>
      <c r="Y2" s="1" t="str">
        <f>IF(AND(COUNTIFS($A:$A,A2)&gt;1, COUNTIFS($A:$A,A2,$E:$E,"&gt;99")=COUNTIFS($A:$A,A2)), "full access", "not full access")</f>
        <v>not full access</v>
      </c>
      <c r="Z2" s="1" t="str">
        <f>IF(AND(COUNTIFS($A:$A,A2)&gt;1, COUNTIFS($A:$A,A2,$I:$I,"&gt;99")=COUNTIFS($A:$A,A2)), "full access", "not full access")</f>
        <v>not full access</v>
      </c>
      <c r="AA2" s="1" t="str">
        <f t="shared" ref="AA2:AA65" si="0">IF(AND(COUNTIFS($A:$A,A2)&gt;1, COUNTIFS($A:$A,A2,$M:$M,"&gt;99")=COUNTIFS($A:$A,A2)), "full access", "not full access")</f>
        <v>not full access</v>
      </c>
    </row>
    <row r="3" spans="1:27" hidden="1" x14ac:dyDescent="0.25">
      <c r="A3" s="1" t="s">
        <v>208</v>
      </c>
      <c r="B3">
        <v>2020</v>
      </c>
      <c r="C3">
        <v>38928.339840000001</v>
      </c>
      <c r="D3">
        <v>26.025999070000001</v>
      </c>
      <c r="E3">
        <v>75.091413250000002</v>
      </c>
      <c r="F3">
        <v>1.447541688</v>
      </c>
      <c r="G3">
        <v>14.56026288</v>
      </c>
      <c r="H3">
        <v>8.9007821739999997</v>
      </c>
      <c r="I3">
        <v>66.32791521</v>
      </c>
      <c r="J3">
        <v>1.9568248509999999</v>
      </c>
      <c r="K3">
        <v>19.68294895</v>
      </c>
      <c r="L3">
        <v>12.03231098</v>
      </c>
      <c r="M3">
        <v>100</v>
      </c>
      <c r="N3">
        <v>0</v>
      </c>
      <c r="O3">
        <v>0</v>
      </c>
      <c r="P3">
        <v>0</v>
      </c>
      <c r="Q3">
        <v>5</v>
      </c>
      <c r="R3">
        <v>2.7503264879999998</v>
      </c>
      <c r="S3">
        <v>2.667882638</v>
      </c>
      <c r="T3">
        <v>2.6682118559999992</v>
      </c>
      <c r="U3">
        <f>ABS(Sheet1[[#This Row],[ARC_r]]-Sheet1[[#This Row],[ARC_u]])</f>
        <v>3.2921799999918733E-4</v>
      </c>
      <c r="V3">
        <f>ROUND(Sheet1[[#This Row],[wat_bas_n]],0)</f>
        <v>75</v>
      </c>
      <c r="W3">
        <f>ROUND(Sheet1[[#This Row],[wat_bas_r]],0)</f>
        <v>66</v>
      </c>
      <c r="X3">
        <f>ROUND(Sheet1[[#This Row],[wat_bas_u]],0)</f>
        <v>100</v>
      </c>
      <c r="Y3" s="1" t="str">
        <f>IF(AND(COUNTIFS($A:$A,A3)&gt;1, COUNTIFS($A:$A,A3,$E:$E,"&gt;99")=COUNTIFS($A:$A,A3)), "full access", "not full access")</f>
        <v>not full access</v>
      </c>
      <c r="Z3" s="1" t="str">
        <f>IF(AND(COUNTIFS($A:$A,A3)&gt;1, COUNTIFS($A:$A,A3,$I:$I,"&gt;99")=COUNTIFS($A:$A,A3)), "full access", "not full access")</f>
        <v>not full access</v>
      </c>
      <c r="AA3" s="1" t="str">
        <f t="shared" si="0"/>
        <v>not full access</v>
      </c>
    </row>
    <row r="4" spans="1:27" hidden="1" x14ac:dyDescent="0.25">
      <c r="A4" s="1" t="s">
        <v>156</v>
      </c>
      <c r="B4">
        <v>2015</v>
      </c>
      <c r="C4">
        <v>2890.5239259999998</v>
      </c>
      <c r="D4">
        <v>57.433998109999997</v>
      </c>
      <c r="E4">
        <v>93.394325339999995</v>
      </c>
      <c r="F4">
        <v>3.626383658</v>
      </c>
      <c r="G4">
        <v>2.9792910039999998</v>
      </c>
      <c r="H4">
        <v>0</v>
      </c>
      <c r="I4">
        <v>90.627274610000001</v>
      </c>
      <c r="J4">
        <v>5.2631726480000003</v>
      </c>
      <c r="K4">
        <v>4.1095527440000001</v>
      </c>
      <c r="L4">
        <v>0</v>
      </c>
      <c r="M4">
        <v>95.445066960000005</v>
      </c>
      <c r="N4">
        <v>2.4133118200000001</v>
      </c>
      <c r="O4">
        <v>2.1416212159999999</v>
      </c>
      <c r="P4">
        <v>0</v>
      </c>
      <c r="U4">
        <f>ABS(Sheet1[[#This Row],[ARC_r]]-Sheet1[[#This Row],[ARC_u]])</f>
        <v>0</v>
      </c>
      <c r="V4">
        <f>ROUND(Sheet1[[#This Row],[wat_bas_n]],0)</f>
        <v>93</v>
      </c>
      <c r="W4">
        <f>ROUND(Sheet1[[#This Row],[wat_bas_r]],0)</f>
        <v>91</v>
      </c>
      <c r="X4">
        <f>ROUND(Sheet1[[#This Row],[wat_bas_u]],0)</f>
        <v>95</v>
      </c>
      <c r="Y4" s="1" t="str">
        <f>IF(AND(COUNTIFS($A:$A,A4)&gt;1, COUNTIFS($A:$A,A4,$E:$E,"&gt;99")=COUNTIFS($A:$A,A4)), "full access", "not full access")</f>
        <v>not full access</v>
      </c>
      <c r="Z4" s="1" t="str">
        <f>IF(AND(COUNTIFS($A:$A,A4)&gt;1, COUNTIFS($A:$A,A4,$I:$I,"&gt;99")=COUNTIFS($A:$A,A4)), "full access", "not full access")</f>
        <v>not full access</v>
      </c>
      <c r="AA4" s="1" t="str">
        <f t="shared" si="0"/>
        <v>not full access</v>
      </c>
    </row>
    <row r="5" spans="1:27" hidden="1" x14ac:dyDescent="0.25">
      <c r="A5" s="1" t="s">
        <v>156</v>
      </c>
      <c r="B5">
        <v>2020</v>
      </c>
      <c r="C5">
        <v>2877.8000489999999</v>
      </c>
      <c r="D5">
        <v>62.111999509999997</v>
      </c>
      <c r="E5">
        <v>95.068038830000006</v>
      </c>
      <c r="F5">
        <v>1.8846560919999999</v>
      </c>
      <c r="G5">
        <v>3.0473050810000002</v>
      </c>
      <c r="H5">
        <v>0</v>
      </c>
      <c r="I5">
        <v>94.091358060000005</v>
      </c>
      <c r="J5">
        <v>2.3052649550000002</v>
      </c>
      <c r="K5">
        <v>3.6033769859999998</v>
      </c>
      <c r="L5">
        <v>0</v>
      </c>
      <c r="M5">
        <v>95.663809119999996</v>
      </c>
      <c r="N5">
        <v>1.62808683</v>
      </c>
      <c r="O5">
        <v>2.7081040540000001</v>
      </c>
      <c r="P5">
        <v>0</v>
      </c>
      <c r="Q5">
        <v>5</v>
      </c>
      <c r="R5">
        <v>0.33474269800000228</v>
      </c>
      <c r="S5">
        <v>0.69281669000000079</v>
      </c>
      <c r="T5">
        <v>4.3748431999998158E-2</v>
      </c>
      <c r="U5">
        <f>ABS(Sheet1[[#This Row],[ARC_r]]-Sheet1[[#This Row],[ARC_u]])</f>
        <v>0.64906825800000267</v>
      </c>
      <c r="V5">
        <f>ROUND(Sheet1[[#This Row],[wat_bas_n]],0)</f>
        <v>95</v>
      </c>
      <c r="W5">
        <f>ROUND(Sheet1[[#This Row],[wat_bas_r]],0)</f>
        <v>94</v>
      </c>
      <c r="X5">
        <f>ROUND(Sheet1[[#This Row],[wat_bas_u]],0)</f>
        <v>96</v>
      </c>
      <c r="Y5" s="1" t="str">
        <f>IF(AND(COUNTIFS($A:$A,A5)&gt;1, COUNTIFS($A:$A,A5,$E:$E,"&gt;99")=COUNTIFS($A:$A,A5)), "full access", "not full access")</f>
        <v>not full access</v>
      </c>
      <c r="Z5" s="1" t="str">
        <f>IF(AND(COUNTIFS($A:$A,A5)&gt;1, COUNTIFS($A:$A,A5,$I:$I,"&gt;99")=COUNTIFS($A:$A,A5)), "full access", "not full access")</f>
        <v>not full access</v>
      </c>
      <c r="AA5" s="1" t="str">
        <f t="shared" si="0"/>
        <v>not full access</v>
      </c>
    </row>
    <row r="6" spans="1:27" hidden="1" x14ac:dyDescent="0.25">
      <c r="A6" s="1" t="s">
        <v>158</v>
      </c>
      <c r="B6">
        <v>2015</v>
      </c>
      <c r="C6">
        <v>39728.019529999998</v>
      </c>
      <c r="D6">
        <v>70.847999569999999</v>
      </c>
      <c r="E6">
        <v>93.409561530000005</v>
      </c>
      <c r="F6">
        <v>5.157780893</v>
      </c>
      <c r="G6">
        <v>1.2754646839999999</v>
      </c>
      <c r="H6">
        <v>0.1571928913</v>
      </c>
      <c r="I6">
        <v>88.352706859999998</v>
      </c>
      <c r="J6">
        <v>8.6857531209999994</v>
      </c>
      <c r="K6">
        <v>2.580431801</v>
      </c>
      <c r="L6">
        <v>0.38110821550000001</v>
      </c>
      <c r="M6">
        <v>95.490314699999999</v>
      </c>
      <c r="N6">
        <v>3.7061173169999999</v>
      </c>
      <c r="O6">
        <v>0.73851008510000005</v>
      </c>
      <c r="P6">
        <v>6.5057897530000006E-2</v>
      </c>
      <c r="U6">
        <f>ABS(Sheet1[[#This Row],[ARC_r]]-Sheet1[[#This Row],[ARC_u]])</f>
        <v>0</v>
      </c>
      <c r="V6">
        <f>ROUND(Sheet1[[#This Row],[wat_bas_n]],0)</f>
        <v>93</v>
      </c>
      <c r="W6">
        <f>ROUND(Sheet1[[#This Row],[wat_bas_r]],0)</f>
        <v>88</v>
      </c>
      <c r="X6">
        <f>ROUND(Sheet1[[#This Row],[wat_bas_u]],0)</f>
        <v>95</v>
      </c>
      <c r="Y6" s="1" t="str">
        <f>IF(AND(COUNTIFS($A:$A,A6)&gt;1, COUNTIFS($A:$A,A6,$E:$E,"&gt;99")=COUNTIFS($A:$A,A6)), "full access", "not full access")</f>
        <v>not full access</v>
      </c>
      <c r="Z6" s="1" t="str">
        <f>IF(AND(COUNTIFS($A:$A,A6)&gt;1, COUNTIFS($A:$A,A6,$I:$I,"&gt;99")=COUNTIFS($A:$A,A6)), "full access", "not full access")</f>
        <v>not full access</v>
      </c>
      <c r="AA6" s="1" t="str">
        <f t="shared" si="0"/>
        <v>not full access</v>
      </c>
    </row>
    <row r="7" spans="1:27" hidden="1" x14ac:dyDescent="0.25">
      <c r="A7" s="1" t="s">
        <v>158</v>
      </c>
      <c r="B7">
        <v>2020</v>
      </c>
      <c r="C7">
        <v>43851.042970000002</v>
      </c>
      <c r="D7">
        <v>73.733001709999996</v>
      </c>
      <c r="E7">
        <v>94.43732996</v>
      </c>
      <c r="F7">
        <v>4.9858808420000003</v>
      </c>
      <c r="G7">
        <v>0.53183666380000005</v>
      </c>
      <c r="H7">
        <v>4.495253272E-2</v>
      </c>
      <c r="I7">
        <v>90.037537909999998</v>
      </c>
      <c r="J7">
        <v>8.79672214</v>
      </c>
      <c r="K7">
        <v>0.99460302810000001</v>
      </c>
      <c r="L7">
        <v>0.17113692580000001</v>
      </c>
      <c r="M7">
        <v>96.004735859999997</v>
      </c>
      <c r="N7">
        <v>3.628288591</v>
      </c>
      <c r="O7">
        <v>0.36697554780000002</v>
      </c>
      <c r="P7">
        <v>0</v>
      </c>
      <c r="Q7">
        <v>5</v>
      </c>
      <c r="R7">
        <v>0.20555368599999899</v>
      </c>
      <c r="S7">
        <v>0.33696620999999988</v>
      </c>
      <c r="T7">
        <v>0.10288423199999951</v>
      </c>
      <c r="U7">
        <f>ABS(Sheet1[[#This Row],[ARC_r]]-Sheet1[[#This Row],[ARC_u]])</f>
        <v>0.23408197800000036</v>
      </c>
      <c r="V7">
        <f>ROUND(Sheet1[[#This Row],[wat_bas_n]],0)</f>
        <v>94</v>
      </c>
      <c r="W7">
        <f>ROUND(Sheet1[[#This Row],[wat_bas_r]],0)</f>
        <v>90</v>
      </c>
      <c r="X7">
        <f>ROUND(Sheet1[[#This Row],[wat_bas_u]],0)</f>
        <v>96</v>
      </c>
      <c r="Y7" s="1" t="str">
        <f>IF(AND(COUNTIFS($A:$A,A7)&gt;1, COUNTIFS($A:$A,A7,$E:$E,"&gt;99")=COUNTIFS($A:$A,A7)), "full access", "not full access")</f>
        <v>not full access</v>
      </c>
      <c r="Z7" s="1" t="str">
        <f>IF(AND(COUNTIFS($A:$A,A7)&gt;1, COUNTIFS($A:$A,A7,$I:$I,"&gt;99")=COUNTIFS($A:$A,A7)), "full access", "not full access")</f>
        <v>not full access</v>
      </c>
      <c r="AA7" s="1" t="str">
        <f t="shared" si="0"/>
        <v>not full access</v>
      </c>
    </row>
    <row r="8" spans="1:27" x14ac:dyDescent="0.25">
      <c r="A8" s="1" t="s">
        <v>82</v>
      </c>
      <c r="B8">
        <v>2015</v>
      </c>
      <c r="C8">
        <v>55.805999759999999</v>
      </c>
      <c r="D8">
        <v>87.238006589999998</v>
      </c>
      <c r="E8">
        <v>99.619103150000001</v>
      </c>
      <c r="F8">
        <v>0</v>
      </c>
      <c r="G8">
        <v>0.38089684610000002</v>
      </c>
      <c r="H8">
        <v>0</v>
      </c>
      <c r="U8">
        <f>ABS(Sheet1[[#This Row],[ARC_r]]-Sheet1[[#This Row],[ARC_u]])</f>
        <v>0</v>
      </c>
      <c r="V8">
        <f>ROUND(Sheet1[[#This Row],[wat_bas_n]],0)</f>
        <v>100</v>
      </c>
      <c r="W8">
        <f>ROUND(Sheet1[[#This Row],[wat_bas_r]],0)</f>
        <v>0</v>
      </c>
      <c r="X8">
        <f>ROUND(Sheet1[[#This Row],[wat_bas_u]],0)</f>
        <v>0</v>
      </c>
      <c r="Y8" s="1" t="str">
        <f>IF(AND(COUNTIFS($A:$A,A8)&gt;1, COUNTIFS($A:$A,A8,$E:$E,"&gt;99")=COUNTIFS($A:$A,A8)), "full access", "not full access")</f>
        <v>full access</v>
      </c>
      <c r="Z8" s="1" t="str">
        <f>IF(AND(COUNTIFS($A:$A,A8)&gt;1, COUNTIFS($A:$A,A8,$I:$I,"&gt;99")=COUNTIFS($A:$A,A8)), "full access", "not full access")</f>
        <v>not full access</v>
      </c>
      <c r="AA8" s="1" t="str">
        <f t="shared" si="0"/>
        <v>not full access</v>
      </c>
    </row>
    <row r="9" spans="1:27" x14ac:dyDescent="0.25">
      <c r="A9" s="1" t="s">
        <v>82</v>
      </c>
      <c r="B9">
        <v>2020</v>
      </c>
      <c r="C9">
        <v>55.196998600000001</v>
      </c>
      <c r="D9">
        <v>87.152999879999996</v>
      </c>
      <c r="E9">
        <v>99.773771659999994</v>
      </c>
      <c r="F9">
        <v>0</v>
      </c>
      <c r="G9">
        <v>0.22622834150000001</v>
      </c>
      <c r="H9">
        <v>0</v>
      </c>
      <c r="Q9">
        <v>5</v>
      </c>
      <c r="R9">
        <v>3.0933701999998679E-2</v>
      </c>
      <c r="U9">
        <f>ABS(Sheet1[[#This Row],[ARC_r]]-Sheet1[[#This Row],[ARC_u]])</f>
        <v>0</v>
      </c>
      <c r="V9">
        <f>ROUND(Sheet1[[#This Row],[wat_bas_n]],0)</f>
        <v>100</v>
      </c>
      <c r="W9">
        <f>ROUND(Sheet1[[#This Row],[wat_bas_r]],0)</f>
        <v>0</v>
      </c>
      <c r="X9">
        <f>ROUND(Sheet1[[#This Row],[wat_bas_u]],0)</f>
        <v>0</v>
      </c>
      <c r="Y9" s="1" t="str">
        <f>IF(AND(COUNTIFS($A:$A,A9)&gt;1, COUNTIFS($A:$A,A9,$E:$E,"&gt;99")=COUNTIFS($A:$A,A9)), "full access", "not full access")</f>
        <v>full access</v>
      </c>
      <c r="Z9" s="1" t="str">
        <f>IF(AND(COUNTIFS($A:$A,A9)&gt;1, COUNTIFS($A:$A,A9,$I:$I,"&gt;99")=COUNTIFS($A:$A,A9)), "full access", "not full access")</f>
        <v>not full access</v>
      </c>
      <c r="AA9" s="1" t="str">
        <f t="shared" si="0"/>
        <v>not full access</v>
      </c>
    </row>
    <row r="10" spans="1:27" x14ac:dyDescent="0.25">
      <c r="A10" s="1" t="s">
        <v>19</v>
      </c>
      <c r="B10">
        <v>2015</v>
      </c>
      <c r="C10">
        <v>77.992996219999995</v>
      </c>
      <c r="D10">
        <v>88.344993590000001</v>
      </c>
      <c r="E10">
        <v>99.999997550000003</v>
      </c>
      <c r="F10">
        <v>0</v>
      </c>
      <c r="G10">
        <v>2.4455383569999998E-6</v>
      </c>
      <c r="H10">
        <v>0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0</v>
      </c>
      <c r="P10">
        <v>0</v>
      </c>
      <c r="U10">
        <f>ABS(Sheet1[[#This Row],[ARC_r]]-Sheet1[[#This Row],[ARC_u]])</f>
        <v>0</v>
      </c>
      <c r="V10">
        <f>ROUND(Sheet1[[#This Row],[wat_bas_n]],0)</f>
        <v>100</v>
      </c>
      <c r="W10">
        <f>ROUND(Sheet1[[#This Row],[wat_bas_r]],0)</f>
        <v>100</v>
      </c>
      <c r="X10">
        <f>ROUND(Sheet1[[#This Row],[wat_bas_u]],0)</f>
        <v>100</v>
      </c>
      <c r="Y10" s="1" t="str">
        <f>IF(AND(COUNTIFS($A:$A,A10)&gt;1, COUNTIFS($A:$A,A10,$E:$E,"&gt;99")=COUNTIFS($A:$A,A10)), "full access", "not full access")</f>
        <v>full access</v>
      </c>
      <c r="Z10" s="1" t="str">
        <f>IF(AND(COUNTIFS($A:$A,A10)&gt;1, COUNTIFS($A:$A,A10,$I:$I,"&gt;99")=COUNTIFS($A:$A,A10)), "full access", "not full access")</f>
        <v>full access</v>
      </c>
      <c r="AA10" s="1" t="str">
        <f t="shared" si="0"/>
        <v>full access</v>
      </c>
    </row>
    <row r="11" spans="1:27" x14ac:dyDescent="0.25">
      <c r="A11" s="1" t="s">
        <v>19</v>
      </c>
      <c r="B11">
        <v>2020</v>
      </c>
      <c r="C11">
        <v>77.26499939</v>
      </c>
      <c r="D11">
        <v>87.916000370000006</v>
      </c>
      <c r="E11">
        <v>100.00000369999999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0</v>
      </c>
      <c r="P11">
        <v>0</v>
      </c>
      <c r="Q11">
        <v>5</v>
      </c>
      <c r="R11">
        <v>1.229999998031417E-6</v>
      </c>
      <c r="S11">
        <v>0</v>
      </c>
      <c r="T11">
        <v>0</v>
      </c>
      <c r="U11">
        <f>ABS(Sheet1[[#This Row],[ARC_r]]-Sheet1[[#This Row],[ARC_u]])</f>
        <v>0</v>
      </c>
      <c r="V11">
        <f>ROUND(Sheet1[[#This Row],[wat_bas_n]],0)</f>
        <v>100</v>
      </c>
      <c r="W11">
        <f>ROUND(Sheet1[[#This Row],[wat_bas_r]],0)</f>
        <v>100</v>
      </c>
      <c r="X11">
        <f>ROUND(Sheet1[[#This Row],[wat_bas_u]],0)</f>
        <v>100</v>
      </c>
      <c r="Y11" s="1" t="str">
        <f>IF(AND(COUNTIFS($A:$A,A11)&gt;1, COUNTIFS($A:$A,A11,$E:$E,"&gt;99")=COUNTIFS($A:$A,A11)), "full access", "not full access")</f>
        <v>full access</v>
      </c>
      <c r="Z11" s="1" t="str">
        <f>IF(AND(COUNTIFS($A:$A,A11)&gt;1, COUNTIFS($A:$A,A11,$I:$I,"&gt;99")=COUNTIFS($A:$A,A11)), "full access", "not full access")</f>
        <v>full access</v>
      </c>
      <c r="AA11" s="1" t="str">
        <f t="shared" si="0"/>
        <v>full access</v>
      </c>
    </row>
    <row r="12" spans="1:27" hidden="1" x14ac:dyDescent="0.25">
      <c r="A12" s="1" t="s">
        <v>234</v>
      </c>
      <c r="B12">
        <v>2015</v>
      </c>
      <c r="C12">
        <v>27884.380860000001</v>
      </c>
      <c r="D12">
        <v>63.445995330000002</v>
      </c>
      <c r="E12">
        <v>54.316928349999998</v>
      </c>
      <c r="F12">
        <v>11.368618659999999</v>
      </c>
      <c r="G12">
        <v>17.37235635</v>
      </c>
      <c r="H12">
        <v>16.942096639999999</v>
      </c>
      <c r="I12">
        <v>26.714369399999999</v>
      </c>
      <c r="J12">
        <v>9.9310692879999998</v>
      </c>
      <c r="K12">
        <v>21.725307619999999</v>
      </c>
      <c r="L12">
        <v>41.629253689999999</v>
      </c>
      <c r="M12">
        <v>70.219965119999998</v>
      </c>
      <c r="N12">
        <v>12.196853490000001</v>
      </c>
      <c r="O12">
        <v>14.86443147</v>
      </c>
      <c r="P12">
        <v>2.7187499210000001</v>
      </c>
      <c r="U12">
        <f>ABS(Sheet1[[#This Row],[ARC_r]]-Sheet1[[#This Row],[ARC_u]])</f>
        <v>0</v>
      </c>
      <c r="V12">
        <f>ROUND(Sheet1[[#This Row],[wat_bas_n]],0)</f>
        <v>54</v>
      </c>
      <c r="W12">
        <f>ROUND(Sheet1[[#This Row],[wat_bas_r]],0)</f>
        <v>27</v>
      </c>
      <c r="X12">
        <f>ROUND(Sheet1[[#This Row],[wat_bas_u]],0)</f>
        <v>70</v>
      </c>
      <c r="Y12" s="1" t="str">
        <f>IF(AND(COUNTIFS($A:$A,A12)&gt;1, COUNTIFS($A:$A,A12,$E:$E,"&gt;99")=COUNTIFS($A:$A,A12)), "full access", "not full access")</f>
        <v>not full access</v>
      </c>
      <c r="Z12" s="1" t="str">
        <f>IF(AND(COUNTIFS($A:$A,A12)&gt;1, COUNTIFS($A:$A,A12,$I:$I,"&gt;99")=COUNTIFS($A:$A,A12)), "full access", "not full access")</f>
        <v>not full access</v>
      </c>
      <c r="AA12" s="1" t="str">
        <f t="shared" si="0"/>
        <v>not full access</v>
      </c>
    </row>
    <row r="13" spans="1:27" hidden="1" x14ac:dyDescent="0.25">
      <c r="A13" s="1" t="s">
        <v>234</v>
      </c>
      <c r="B13">
        <v>2020</v>
      </c>
      <c r="C13">
        <v>32866.269529999998</v>
      </c>
      <c r="D13">
        <v>66.824996949999999</v>
      </c>
      <c r="E13">
        <v>57.167737619999997</v>
      </c>
      <c r="F13">
        <v>9.2873499190000004</v>
      </c>
      <c r="G13">
        <v>19.450825340000002</v>
      </c>
      <c r="H13">
        <v>14.094087119999999</v>
      </c>
      <c r="I13">
        <v>27.808226609999998</v>
      </c>
      <c r="J13">
        <v>8.7404883889999994</v>
      </c>
      <c r="K13">
        <v>22.933152580000002</v>
      </c>
      <c r="L13">
        <v>40.518132420000001</v>
      </c>
      <c r="M13">
        <v>71.743148619999999</v>
      </c>
      <c r="N13">
        <v>9.5588374890000001</v>
      </c>
      <c r="O13">
        <v>17.722034730000001</v>
      </c>
      <c r="P13">
        <v>0.97597916289999997</v>
      </c>
      <c r="Q13">
        <v>5</v>
      </c>
      <c r="R13">
        <v>0.57016185399999986</v>
      </c>
      <c r="S13">
        <v>0.2187714419999999</v>
      </c>
      <c r="T13">
        <v>0.30463670000000043</v>
      </c>
      <c r="U13">
        <f>ABS(Sheet1[[#This Row],[ARC_r]]-Sheet1[[#This Row],[ARC_u]])</f>
        <v>8.5865258000000527E-2</v>
      </c>
      <c r="V13">
        <f>ROUND(Sheet1[[#This Row],[wat_bas_n]],0)</f>
        <v>57</v>
      </c>
      <c r="W13">
        <f>ROUND(Sheet1[[#This Row],[wat_bas_r]],0)</f>
        <v>28</v>
      </c>
      <c r="X13">
        <f>ROUND(Sheet1[[#This Row],[wat_bas_u]],0)</f>
        <v>72</v>
      </c>
      <c r="Y13" s="1" t="str">
        <f>IF(AND(COUNTIFS($A:$A,A13)&gt;1, COUNTIFS($A:$A,A13,$E:$E,"&gt;99")=COUNTIFS($A:$A,A13)), "full access", "not full access")</f>
        <v>not full access</v>
      </c>
      <c r="Z13" s="1" t="str">
        <f>IF(AND(COUNTIFS($A:$A,A13)&gt;1, COUNTIFS($A:$A,A13,$I:$I,"&gt;99")=COUNTIFS($A:$A,A13)), "full access", "not full access")</f>
        <v>not full access</v>
      </c>
      <c r="AA13" s="1" t="str">
        <f t="shared" si="0"/>
        <v>not full access</v>
      </c>
    </row>
    <row r="14" spans="1:27" hidden="1" x14ac:dyDescent="0.25">
      <c r="A14" s="1" t="s">
        <v>127</v>
      </c>
      <c r="B14">
        <v>2015</v>
      </c>
      <c r="C14">
        <v>14.27900028</v>
      </c>
      <c r="D14">
        <v>100</v>
      </c>
      <c r="E14">
        <v>97.482274250000003</v>
      </c>
      <c r="F14">
        <v>0</v>
      </c>
      <c r="G14">
        <v>2.5177257530000001</v>
      </c>
      <c r="H14">
        <v>0</v>
      </c>
      <c r="M14">
        <v>97.482274250000003</v>
      </c>
      <c r="N14">
        <v>0</v>
      </c>
      <c r="O14">
        <v>2.5177257530000001</v>
      </c>
      <c r="P14">
        <v>0</v>
      </c>
      <c r="U14">
        <f>ABS(Sheet1[[#This Row],[ARC_r]]-Sheet1[[#This Row],[ARC_u]])</f>
        <v>0</v>
      </c>
      <c r="V14">
        <f>ROUND(Sheet1[[#This Row],[wat_bas_n]],0)</f>
        <v>97</v>
      </c>
      <c r="W14">
        <f>ROUND(Sheet1[[#This Row],[wat_bas_r]],0)</f>
        <v>0</v>
      </c>
      <c r="X14">
        <f>ROUND(Sheet1[[#This Row],[wat_bas_u]],0)</f>
        <v>97</v>
      </c>
      <c r="Y14" s="1" t="str">
        <f>IF(AND(COUNTIFS($A:$A,A14)&gt;1, COUNTIFS($A:$A,A14,$E:$E,"&gt;99")=COUNTIFS($A:$A,A14)), "full access", "not full access")</f>
        <v>not full access</v>
      </c>
      <c r="Z14" s="1" t="str">
        <f>IF(AND(COUNTIFS($A:$A,A14)&gt;1, COUNTIFS($A:$A,A14,$I:$I,"&gt;99")=COUNTIFS($A:$A,A14)), "full access", "not full access")</f>
        <v>not full access</v>
      </c>
      <c r="AA14" s="1" t="str">
        <f t="shared" si="0"/>
        <v>not full access</v>
      </c>
    </row>
    <row r="15" spans="1:27" hidden="1" x14ac:dyDescent="0.25">
      <c r="A15" s="1" t="s">
        <v>127</v>
      </c>
      <c r="B15">
        <v>2017</v>
      </c>
      <c r="C15">
        <v>14.588000299999999</v>
      </c>
      <c r="D15">
        <v>100</v>
      </c>
      <c r="E15">
        <v>97.482274250000003</v>
      </c>
      <c r="F15">
        <v>0</v>
      </c>
      <c r="G15">
        <v>2.5177257530000001</v>
      </c>
      <c r="H15">
        <v>0</v>
      </c>
      <c r="M15">
        <v>97.482274250000003</v>
      </c>
      <c r="N15">
        <v>0</v>
      </c>
      <c r="O15">
        <v>2.5177257530000001</v>
      </c>
      <c r="P15">
        <v>0</v>
      </c>
      <c r="Q15">
        <v>2</v>
      </c>
      <c r="R15">
        <v>0</v>
      </c>
      <c r="T15">
        <v>0</v>
      </c>
      <c r="U15">
        <f>ABS(Sheet1[[#This Row],[ARC_r]]-Sheet1[[#This Row],[ARC_u]])</f>
        <v>0</v>
      </c>
      <c r="V15">
        <f>ROUND(Sheet1[[#This Row],[wat_bas_n]],0)</f>
        <v>97</v>
      </c>
      <c r="W15">
        <f>ROUND(Sheet1[[#This Row],[wat_bas_r]],0)</f>
        <v>0</v>
      </c>
      <c r="X15">
        <f>ROUND(Sheet1[[#This Row],[wat_bas_u]],0)</f>
        <v>97</v>
      </c>
      <c r="Y15" s="1" t="str">
        <f>IF(AND(COUNTIFS($A:$A,A15)&gt;1, COUNTIFS($A:$A,A15,$E:$E,"&gt;99")=COUNTIFS($A:$A,A15)), "full access", "not full access")</f>
        <v>not full access</v>
      </c>
      <c r="Z15" s="1" t="str">
        <f>IF(AND(COUNTIFS($A:$A,A15)&gt;1, COUNTIFS($A:$A,A15,$I:$I,"&gt;99")=COUNTIFS($A:$A,A15)), "full access", "not full access")</f>
        <v>not full access</v>
      </c>
      <c r="AA15" s="1" t="str">
        <f t="shared" si="0"/>
        <v>not full access</v>
      </c>
    </row>
    <row r="16" spans="1:27" hidden="1" x14ac:dyDescent="0.25">
      <c r="A16" s="1" t="s">
        <v>139</v>
      </c>
      <c r="B16">
        <v>2015</v>
      </c>
      <c r="C16">
        <v>93.570999150000006</v>
      </c>
      <c r="D16">
        <v>25</v>
      </c>
      <c r="E16">
        <v>96.739186279999998</v>
      </c>
      <c r="F16">
        <v>0</v>
      </c>
      <c r="G16">
        <v>3.1663476099999999</v>
      </c>
      <c r="H16">
        <v>9.4466114089999997E-2</v>
      </c>
      <c r="U16">
        <f>ABS(Sheet1[[#This Row],[ARC_r]]-Sheet1[[#This Row],[ARC_u]])</f>
        <v>0</v>
      </c>
      <c r="V16">
        <f>ROUND(Sheet1[[#This Row],[wat_bas_n]],0)</f>
        <v>97</v>
      </c>
      <c r="W16">
        <f>ROUND(Sheet1[[#This Row],[wat_bas_r]],0)</f>
        <v>0</v>
      </c>
      <c r="X16">
        <f>ROUND(Sheet1[[#This Row],[wat_bas_u]],0)</f>
        <v>0</v>
      </c>
      <c r="Y16" s="1" t="str">
        <f>IF(AND(COUNTIFS($A:$A,A16)&gt;1, COUNTIFS($A:$A,A16,$E:$E,"&gt;99")=COUNTIFS($A:$A,A16)), "full access", "not full access")</f>
        <v>not full access</v>
      </c>
      <c r="Z16" s="1" t="str">
        <f>IF(AND(COUNTIFS($A:$A,A16)&gt;1, COUNTIFS($A:$A,A16,$I:$I,"&gt;99")=COUNTIFS($A:$A,A16)), "full access", "not full access")</f>
        <v>not full access</v>
      </c>
      <c r="AA16" s="1" t="str">
        <f t="shared" si="0"/>
        <v>not full access</v>
      </c>
    </row>
    <row r="17" spans="1:27" hidden="1" x14ac:dyDescent="0.25">
      <c r="A17" s="1" t="s">
        <v>139</v>
      </c>
      <c r="B17">
        <v>2017</v>
      </c>
      <c r="C17">
        <v>95.425003050000001</v>
      </c>
      <c r="D17">
        <v>24.713001250000001</v>
      </c>
      <c r="E17">
        <v>96.739186279999998</v>
      </c>
      <c r="F17">
        <v>0</v>
      </c>
      <c r="G17">
        <v>3.1663476099999999</v>
      </c>
      <c r="H17">
        <v>9.4466114089999997E-2</v>
      </c>
      <c r="Q17">
        <v>2</v>
      </c>
      <c r="R17">
        <v>0</v>
      </c>
      <c r="U17">
        <f>ABS(Sheet1[[#This Row],[ARC_r]]-Sheet1[[#This Row],[ARC_u]])</f>
        <v>0</v>
      </c>
      <c r="V17">
        <f>ROUND(Sheet1[[#This Row],[wat_bas_n]],0)</f>
        <v>97</v>
      </c>
      <c r="W17">
        <f>ROUND(Sheet1[[#This Row],[wat_bas_r]],0)</f>
        <v>0</v>
      </c>
      <c r="X17">
        <f>ROUND(Sheet1[[#This Row],[wat_bas_u]],0)</f>
        <v>0</v>
      </c>
      <c r="Y17" s="1" t="str">
        <f>IF(AND(COUNTIFS($A:$A,A17)&gt;1, COUNTIFS($A:$A,A17,$E:$E,"&gt;99")=COUNTIFS($A:$A,A17)), "full access", "not full access")</f>
        <v>not full access</v>
      </c>
      <c r="Z17" s="1" t="str">
        <f>IF(AND(COUNTIFS($A:$A,A17)&gt;1, COUNTIFS($A:$A,A17,$I:$I,"&gt;99")=COUNTIFS($A:$A,A17)), "full access", "not full access")</f>
        <v>not full access</v>
      </c>
      <c r="AA17" s="1" t="str">
        <f t="shared" si="0"/>
        <v>not full access</v>
      </c>
    </row>
    <row r="18" spans="1:27" hidden="1" x14ac:dyDescent="0.25">
      <c r="A18" s="1" t="s">
        <v>17</v>
      </c>
      <c r="B18">
        <v>2015</v>
      </c>
      <c r="C18">
        <v>43075.414060000003</v>
      </c>
      <c r="D18">
        <v>91.502998349999999</v>
      </c>
      <c r="E18">
        <v>98.966588150000007</v>
      </c>
      <c r="F18">
        <v>0</v>
      </c>
      <c r="G18">
        <v>0.66491437909999995</v>
      </c>
      <c r="H18">
        <v>0.36849747420000001</v>
      </c>
      <c r="I18">
        <v>92.983660049999997</v>
      </c>
      <c r="J18">
        <v>0</v>
      </c>
      <c r="K18">
        <v>2.6795448990000001</v>
      </c>
      <c r="L18">
        <v>4.3367950510000002</v>
      </c>
      <c r="M18">
        <v>99.522163050000003</v>
      </c>
      <c r="N18">
        <v>0</v>
      </c>
      <c r="O18">
        <v>0.47783694729999998</v>
      </c>
      <c r="P18">
        <v>0</v>
      </c>
      <c r="U18">
        <f>ABS(Sheet1[[#This Row],[ARC_r]]-Sheet1[[#This Row],[ARC_u]])</f>
        <v>0</v>
      </c>
      <c r="V18">
        <f>ROUND(Sheet1[[#This Row],[wat_bas_n]],0)</f>
        <v>99</v>
      </c>
      <c r="W18">
        <f>ROUND(Sheet1[[#This Row],[wat_bas_r]],0)</f>
        <v>93</v>
      </c>
      <c r="X18">
        <f>ROUND(Sheet1[[#This Row],[wat_bas_u]],0)</f>
        <v>100</v>
      </c>
      <c r="Y18" s="1" t="str">
        <f>IF(AND(COUNTIFS($A:$A,A18)&gt;1, COUNTIFS($A:$A,A18,$E:$E,"&gt;99")=COUNTIFS($A:$A,A18)), "full access", "not full access")</f>
        <v>not full access</v>
      </c>
      <c r="Z18" s="1" t="str">
        <f>IF(AND(COUNTIFS($A:$A,A18)&gt;1, COUNTIFS($A:$A,A18,$I:$I,"&gt;99")=COUNTIFS($A:$A,A18)), "full access", "not full access")</f>
        <v>not full access</v>
      </c>
      <c r="AA18" s="1" t="str">
        <f t="shared" si="0"/>
        <v>full access</v>
      </c>
    </row>
    <row r="19" spans="1:27" hidden="1" x14ac:dyDescent="0.25">
      <c r="A19" s="1" t="s">
        <v>17</v>
      </c>
      <c r="B19">
        <v>2020</v>
      </c>
      <c r="C19">
        <v>45195.777340000001</v>
      </c>
      <c r="D19">
        <v>92.111000059999995</v>
      </c>
      <c r="M19">
        <v>99.790420650000002</v>
      </c>
      <c r="N19">
        <v>0</v>
      </c>
      <c r="O19">
        <v>0.20957935010000001</v>
      </c>
      <c r="P19">
        <v>0</v>
      </c>
      <c r="Q19">
        <v>5</v>
      </c>
      <c r="T19">
        <v>5.3651519999999661E-2</v>
      </c>
      <c r="U19">
        <f>ABS(Sheet1[[#This Row],[ARC_r]]-Sheet1[[#This Row],[ARC_u]])</f>
        <v>5.3651519999999661E-2</v>
      </c>
      <c r="V19">
        <f>ROUND(Sheet1[[#This Row],[wat_bas_n]],0)</f>
        <v>0</v>
      </c>
      <c r="W19">
        <f>ROUND(Sheet1[[#This Row],[wat_bas_r]],0)</f>
        <v>0</v>
      </c>
      <c r="X19">
        <f>ROUND(Sheet1[[#This Row],[wat_bas_u]],0)</f>
        <v>100</v>
      </c>
      <c r="Y19" s="1" t="str">
        <f>IF(AND(COUNTIFS($A:$A,A19)&gt;1, COUNTIFS($A:$A,A19,$E:$E,"&gt;99")=COUNTIFS($A:$A,A19)), "full access", "not full access")</f>
        <v>not full access</v>
      </c>
      <c r="Z19" s="1" t="str">
        <f>IF(AND(COUNTIFS($A:$A,A19)&gt;1, COUNTIFS($A:$A,A19,$I:$I,"&gt;99")=COUNTIFS($A:$A,A19)), "full access", "not full access")</f>
        <v>not full access</v>
      </c>
      <c r="AA19" s="1" t="str">
        <f t="shared" si="0"/>
        <v>full access</v>
      </c>
    </row>
    <row r="20" spans="1:27" x14ac:dyDescent="0.25">
      <c r="A20" s="1" t="s">
        <v>61</v>
      </c>
      <c r="B20">
        <v>2015</v>
      </c>
      <c r="C20">
        <v>2925.5590820000002</v>
      </c>
      <c r="D20">
        <v>63.085002899999999</v>
      </c>
      <c r="E20">
        <v>99.5525667</v>
      </c>
      <c r="F20">
        <v>0</v>
      </c>
      <c r="G20">
        <v>9.8505083660000006E-2</v>
      </c>
      <c r="H20">
        <v>0.3489282205</v>
      </c>
      <c r="I20">
        <v>99.054779269999997</v>
      </c>
      <c r="J20">
        <v>0</v>
      </c>
      <c r="K20">
        <v>0</v>
      </c>
      <c r="L20">
        <v>0.94522073470000001</v>
      </c>
      <c r="M20">
        <v>99.8438534</v>
      </c>
      <c r="N20">
        <v>0</v>
      </c>
      <c r="O20">
        <v>0.15614659810000001</v>
      </c>
      <c r="P20">
        <v>0</v>
      </c>
      <c r="U20">
        <f>ABS(Sheet1[[#This Row],[ARC_r]]-Sheet1[[#This Row],[ARC_u]])</f>
        <v>0</v>
      </c>
      <c r="V20">
        <f>ROUND(Sheet1[[#This Row],[wat_bas_n]],0)</f>
        <v>100</v>
      </c>
      <c r="W20">
        <f>ROUND(Sheet1[[#This Row],[wat_bas_r]],0)</f>
        <v>99</v>
      </c>
      <c r="X20">
        <f>ROUND(Sheet1[[#This Row],[wat_bas_u]],0)</f>
        <v>100</v>
      </c>
      <c r="Y20" s="1" t="str">
        <f>IF(AND(COUNTIFS($A:$A,A20)&gt;1, COUNTIFS($A:$A,A20,$E:$E,"&gt;99")=COUNTIFS($A:$A,A20)), "full access", "not full access")</f>
        <v>full access</v>
      </c>
      <c r="Z20" s="1" t="str">
        <f>IF(AND(COUNTIFS($A:$A,A20)&gt;1, COUNTIFS($A:$A,A20,$I:$I,"&gt;99")=COUNTIFS($A:$A,A20)), "full access", "not full access")</f>
        <v>full access</v>
      </c>
      <c r="AA20" s="1" t="str">
        <f t="shared" si="0"/>
        <v>full access</v>
      </c>
    </row>
    <row r="21" spans="1:27" x14ac:dyDescent="0.25">
      <c r="A21" s="1" t="s">
        <v>61</v>
      </c>
      <c r="B21">
        <v>2020</v>
      </c>
      <c r="C21">
        <v>2963.2338869999999</v>
      </c>
      <c r="D21">
        <v>63.312999730000001</v>
      </c>
      <c r="E21">
        <v>99.971180689999997</v>
      </c>
      <c r="F21">
        <v>0</v>
      </c>
      <c r="G21">
        <v>2.8819308009999999E-2</v>
      </c>
      <c r="H21">
        <v>0</v>
      </c>
      <c r="I21">
        <v>100</v>
      </c>
      <c r="J21">
        <v>0</v>
      </c>
      <c r="K21">
        <v>0</v>
      </c>
      <c r="L21">
        <v>0</v>
      </c>
      <c r="M21">
        <v>99.954481220000005</v>
      </c>
      <c r="N21">
        <v>0</v>
      </c>
      <c r="O21">
        <v>4.5518783639999998E-2</v>
      </c>
      <c r="P21">
        <v>0</v>
      </c>
      <c r="Q21">
        <v>5</v>
      </c>
      <c r="R21">
        <v>8.3722797999999446E-2</v>
      </c>
      <c r="S21">
        <v>0.1890441460000005</v>
      </c>
      <c r="T21">
        <v>2.2125564000000961E-2</v>
      </c>
      <c r="U21">
        <f>ABS(Sheet1[[#This Row],[ARC_r]]-Sheet1[[#This Row],[ARC_u]])</f>
        <v>0.16691858199999954</v>
      </c>
      <c r="V21">
        <f>ROUND(Sheet1[[#This Row],[wat_bas_n]],0)</f>
        <v>100</v>
      </c>
      <c r="W21">
        <f>ROUND(Sheet1[[#This Row],[wat_bas_r]],0)</f>
        <v>100</v>
      </c>
      <c r="X21">
        <f>ROUND(Sheet1[[#This Row],[wat_bas_u]],0)</f>
        <v>100</v>
      </c>
      <c r="Y21" s="1" t="str">
        <f>IF(AND(COUNTIFS($A:$A,A21)&gt;1, COUNTIFS($A:$A,A21,$E:$E,"&gt;99")=COUNTIFS($A:$A,A21)), "full access", "not full access")</f>
        <v>full access</v>
      </c>
      <c r="Z21" s="1" t="str">
        <f>IF(AND(COUNTIFS($A:$A,A21)&gt;1, COUNTIFS($A:$A,A21,$I:$I,"&gt;99")=COUNTIFS($A:$A,A21)), "full access", "not full access")</f>
        <v>full access</v>
      </c>
      <c r="AA21" s="1" t="str">
        <f t="shared" si="0"/>
        <v>full access</v>
      </c>
    </row>
    <row r="22" spans="1:27" hidden="1" x14ac:dyDescent="0.25">
      <c r="A22" s="1" t="s">
        <v>119</v>
      </c>
      <c r="B22">
        <v>2015</v>
      </c>
      <c r="C22">
        <v>104.3389969</v>
      </c>
      <c r="D22">
        <v>43.108001710000003</v>
      </c>
      <c r="E22">
        <v>97.869023380000002</v>
      </c>
      <c r="F22">
        <v>0</v>
      </c>
      <c r="G22">
        <v>1.95993621</v>
      </c>
      <c r="H22">
        <v>0.1710404089</v>
      </c>
      <c r="U22">
        <f>ABS(Sheet1[[#This Row],[ARC_r]]-Sheet1[[#This Row],[ARC_u]])</f>
        <v>0</v>
      </c>
      <c r="V22">
        <f>ROUND(Sheet1[[#This Row],[wat_bas_n]],0)</f>
        <v>98</v>
      </c>
      <c r="W22">
        <f>ROUND(Sheet1[[#This Row],[wat_bas_r]],0)</f>
        <v>0</v>
      </c>
      <c r="X22">
        <f>ROUND(Sheet1[[#This Row],[wat_bas_u]],0)</f>
        <v>0</v>
      </c>
      <c r="Y22" s="1" t="str">
        <f>IF(AND(COUNTIFS($A:$A,A22)&gt;1, COUNTIFS($A:$A,A22,$E:$E,"&gt;99")=COUNTIFS($A:$A,A22)), "full access", "not full access")</f>
        <v>not full access</v>
      </c>
      <c r="Z22" s="1" t="str">
        <f>IF(AND(COUNTIFS($A:$A,A22)&gt;1, COUNTIFS($A:$A,A22,$I:$I,"&gt;99")=COUNTIFS($A:$A,A22)), "full access", "not full access")</f>
        <v>not full access</v>
      </c>
      <c r="AA22" s="1" t="str">
        <f t="shared" si="0"/>
        <v>not full access</v>
      </c>
    </row>
    <row r="23" spans="1:27" hidden="1" x14ac:dyDescent="0.25">
      <c r="A23" s="1" t="s">
        <v>119</v>
      </c>
      <c r="B23">
        <v>2016</v>
      </c>
      <c r="C23">
        <v>104.86499790000001</v>
      </c>
      <c r="D23">
        <v>43.191997530000002</v>
      </c>
      <c r="E23">
        <v>97.869023380000002</v>
      </c>
      <c r="F23">
        <v>0</v>
      </c>
      <c r="G23">
        <v>1.95993621</v>
      </c>
      <c r="H23">
        <v>0.1710404089</v>
      </c>
      <c r="Q23">
        <v>1</v>
      </c>
      <c r="R23">
        <v>0</v>
      </c>
      <c r="U23">
        <f>ABS(Sheet1[[#This Row],[ARC_r]]-Sheet1[[#This Row],[ARC_u]])</f>
        <v>0</v>
      </c>
      <c r="V23">
        <f>ROUND(Sheet1[[#This Row],[wat_bas_n]],0)</f>
        <v>98</v>
      </c>
      <c r="W23">
        <f>ROUND(Sheet1[[#This Row],[wat_bas_r]],0)</f>
        <v>0</v>
      </c>
      <c r="X23">
        <f>ROUND(Sheet1[[#This Row],[wat_bas_u]],0)</f>
        <v>0</v>
      </c>
      <c r="Y23" s="1" t="str">
        <f>IF(AND(COUNTIFS($A:$A,A23)&gt;1, COUNTIFS($A:$A,A23,$E:$E,"&gt;99")=COUNTIFS($A:$A,A23)), "full access", "not full access")</f>
        <v>not full access</v>
      </c>
      <c r="Z23" s="1" t="str">
        <f>IF(AND(COUNTIFS($A:$A,A23)&gt;1, COUNTIFS($A:$A,A23,$I:$I,"&gt;99")=COUNTIFS($A:$A,A23)), "full access", "not full access")</f>
        <v>not full access</v>
      </c>
      <c r="AA23" s="1" t="str">
        <f t="shared" si="0"/>
        <v>not full access</v>
      </c>
    </row>
    <row r="24" spans="1:27" x14ac:dyDescent="0.25">
      <c r="A24" s="1" t="s">
        <v>62</v>
      </c>
      <c r="B24">
        <v>2015</v>
      </c>
      <c r="C24">
        <v>23932.498049999998</v>
      </c>
      <c r="D24">
        <v>85.701004030000007</v>
      </c>
      <c r="E24">
        <v>99.970005670000006</v>
      </c>
      <c r="F24">
        <v>0</v>
      </c>
      <c r="G24">
        <v>2.9994330570000002E-2</v>
      </c>
      <c r="H24">
        <v>0</v>
      </c>
      <c r="I24">
        <v>100</v>
      </c>
      <c r="J24">
        <v>0</v>
      </c>
      <c r="K24">
        <v>0</v>
      </c>
      <c r="L24">
        <v>0</v>
      </c>
      <c r="M24">
        <v>99.965000000000003</v>
      </c>
      <c r="N24">
        <v>0</v>
      </c>
      <c r="O24">
        <v>3.5000000000000003E-2</v>
      </c>
      <c r="P24">
        <v>0</v>
      </c>
      <c r="U24">
        <f>ABS(Sheet1[[#This Row],[ARC_r]]-Sheet1[[#This Row],[ARC_u]])</f>
        <v>0</v>
      </c>
      <c r="V24">
        <f>ROUND(Sheet1[[#This Row],[wat_bas_n]],0)</f>
        <v>100</v>
      </c>
      <c r="W24">
        <f>ROUND(Sheet1[[#This Row],[wat_bas_r]],0)</f>
        <v>100</v>
      </c>
      <c r="X24">
        <f>ROUND(Sheet1[[#This Row],[wat_bas_u]],0)</f>
        <v>100</v>
      </c>
      <c r="Y24" s="1" t="str">
        <f>IF(AND(COUNTIFS($A:$A,A24)&gt;1, COUNTIFS($A:$A,A24,$E:$E,"&gt;99")=COUNTIFS($A:$A,A24)), "full access", "not full access")</f>
        <v>full access</v>
      </c>
      <c r="Z24" s="1" t="str">
        <f>IF(AND(COUNTIFS($A:$A,A24)&gt;1, COUNTIFS($A:$A,A24,$I:$I,"&gt;99")=COUNTIFS($A:$A,A24)), "full access", "not full access")</f>
        <v>full access</v>
      </c>
      <c r="AA24" s="1" t="str">
        <f t="shared" si="0"/>
        <v>full access</v>
      </c>
    </row>
    <row r="25" spans="1:27" x14ac:dyDescent="0.25">
      <c r="A25" s="1" t="s">
        <v>62</v>
      </c>
      <c r="B25">
        <v>2020</v>
      </c>
      <c r="C25">
        <v>25499.880860000001</v>
      </c>
      <c r="D25">
        <v>86.240997309999997</v>
      </c>
      <c r="E25">
        <v>99.969811820000004</v>
      </c>
      <c r="F25">
        <v>0</v>
      </c>
      <c r="G25">
        <v>3.0188178730000001E-2</v>
      </c>
      <c r="H25">
        <v>0</v>
      </c>
      <c r="I25">
        <v>100</v>
      </c>
      <c r="J25">
        <v>0</v>
      </c>
      <c r="K25">
        <v>0</v>
      </c>
      <c r="L25">
        <v>0</v>
      </c>
      <c r="M25">
        <v>99.965000000000003</v>
      </c>
      <c r="N25">
        <v>0</v>
      </c>
      <c r="O25">
        <v>3.5000000000000003E-2</v>
      </c>
      <c r="P25">
        <v>0</v>
      </c>
      <c r="Q25">
        <v>5</v>
      </c>
      <c r="R25">
        <v>-3.8770000000454277E-5</v>
      </c>
      <c r="S25">
        <v>0</v>
      </c>
      <c r="T25">
        <v>0</v>
      </c>
      <c r="U25">
        <f>ABS(Sheet1[[#This Row],[ARC_r]]-Sheet1[[#This Row],[ARC_u]])</f>
        <v>0</v>
      </c>
      <c r="V25">
        <f>ROUND(Sheet1[[#This Row],[wat_bas_n]],0)</f>
        <v>100</v>
      </c>
      <c r="W25">
        <f>ROUND(Sheet1[[#This Row],[wat_bas_r]],0)</f>
        <v>100</v>
      </c>
      <c r="X25">
        <f>ROUND(Sheet1[[#This Row],[wat_bas_u]],0)</f>
        <v>100</v>
      </c>
      <c r="Y25" s="1" t="str">
        <f>IF(AND(COUNTIFS($A:$A,A25)&gt;1, COUNTIFS($A:$A,A25,$E:$E,"&gt;99")=COUNTIFS($A:$A,A25)), "full access", "not full access")</f>
        <v>full access</v>
      </c>
      <c r="Z25" s="1" t="str">
        <f>IF(AND(COUNTIFS($A:$A,A25)&gt;1, COUNTIFS($A:$A,A25,$I:$I,"&gt;99")=COUNTIFS($A:$A,A25)), "full access", "not full access")</f>
        <v>full access</v>
      </c>
      <c r="AA25" s="1" t="str">
        <f t="shared" si="0"/>
        <v>full access</v>
      </c>
    </row>
    <row r="26" spans="1:27" x14ac:dyDescent="0.25">
      <c r="A26" s="1" t="s">
        <v>49</v>
      </c>
      <c r="B26">
        <v>2015</v>
      </c>
      <c r="C26">
        <v>8678.6669920000004</v>
      </c>
      <c r="D26">
        <v>57.715000150000002</v>
      </c>
      <c r="E26">
        <v>100</v>
      </c>
      <c r="F26">
        <v>0</v>
      </c>
      <c r="G26">
        <v>0</v>
      </c>
      <c r="H26">
        <v>0</v>
      </c>
      <c r="I26">
        <v>100</v>
      </c>
      <c r="J26">
        <v>0</v>
      </c>
      <c r="K26">
        <v>0</v>
      </c>
      <c r="L26">
        <v>0</v>
      </c>
      <c r="M26">
        <v>100</v>
      </c>
      <c r="N26">
        <v>0</v>
      </c>
      <c r="O26">
        <v>0</v>
      </c>
      <c r="P26">
        <v>0</v>
      </c>
      <c r="U26">
        <f>ABS(Sheet1[[#This Row],[ARC_r]]-Sheet1[[#This Row],[ARC_u]])</f>
        <v>0</v>
      </c>
      <c r="V26">
        <f>ROUND(Sheet1[[#This Row],[wat_bas_n]],0)</f>
        <v>100</v>
      </c>
      <c r="W26">
        <f>ROUND(Sheet1[[#This Row],[wat_bas_r]],0)</f>
        <v>100</v>
      </c>
      <c r="X26">
        <f>ROUND(Sheet1[[#This Row],[wat_bas_u]],0)</f>
        <v>100</v>
      </c>
      <c r="Y26" s="1" t="str">
        <f>IF(AND(COUNTIFS($A:$A,A26)&gt;1, COUNTIFS($A:$A,A26,$E:$E,"&gt;99")=COUNTIFS($A:$A,A26)), "full access", "not full access")</f>
        <v>full access</v>
      </c>
      <c r="Z26" s="1" t="str">
        <f>IF(AND(COUNTIFS($A:$A,A26)&gt;1, COUNTIFS($A:$A,A26,$I:$I,"&gt;99")=COUNTIFS($A:$A,A26)), "full access", "not full access")</f>
        <v>full access</v>
      </c>
      <c r="AA26" s="1" t="str">
        <f t="shared" si="0"/>
        <v>full access</v>
      </c>
    </row>
    <row r="27" spans="1:27" x14ac:dyDescent="0.25">
      <c r="A27" s="1" t="s">
        <v>49</v>
      </c>
      <c r="B27">
        <v>2020</v>
      </c>
      <c r="C27">
        <v>9006.4003909999992</v>
      </c>
      <c r="D27">
        <v>58.748001100000003</v>
      </c>
      <c r="E27">
        <v>100</v>
      </c>
      <c r="F27">
        <v>0</v>
      </c>
      <c r="G27">
        <v>0</v>
      </c>
      <c r="H27">
        <v>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0</v>
      </c>
      <c r="P27">
        <v>0</v>
      </c>
      <c r="Q27">
        <v>5</v>
      </c>
      <c r="R27">
        <v>0</v>
      </c>
      <c r="S27">
        <v>0</v>
      </c>
      <c r="T27">
        <v>0</v>
      </c>
      <c r="U27">
        <f>ABS(Sheet1[[#This Row],[ARC_r]]-Sheet1[[#This Row],[ARC_u]])</f>
        <v>0</v>
      </c>
      <c r="V27">
        <f>ROUND(Sheet1[[#This Row],[wat_bas_n]],0)</f>
        <v>100</v>
      </c>
      <c r="W27">
        <f>ROUND(Sheet1[[#This Row],[wat_bas_r]],0)</f>
        <v>100</v>
      </c>
      <c r="X27">
        <f>ROUND(Sheet1[[#This Row],[wat_bas_u]],0)</f>
        <v>100</v>
      </c>
      <c r="Y27" s="1" t="str">
        <f>IF(AND(COUNTIFS($A:$A,A27)&gt;1, COUNTIFS($A:$A,A27,$E:$E,"&gt;99")=COUNTIFS($A:$A,A27)), "full access", "not full access")</f>
        <v>full access</v>
      </c>
      <c r="Z27" s="1" t="str">
        <f>IF(AND(COUNTIFS($A:$A,A27)&gt;1, COUNTIFS($A:$A,A27,$I:$I,"&gt;99")=COUNTIFS($A:$A,A27)), "full access", "not full access")</f>
        <v>full access</v>
      </c>
      <c r="AA27" s="1" t="str">
        <f t="shared" si="0"/>
        <v>full access</v>
      </c>
    </row>
    <row r="28" spans="1:27" hidden="1" x14ac:dyDescent="0.25">
      <c r="A28" s="1" t="s">
        <v>144</v>
      </c>
      <c r="B28">
        <v>2015</v>
      </c>
      <c r="C28">
        <v>9622.7412110000005</v>
      </c>
      <c r="D28">
        <v>54.7140007</v>
      </c>
      <c r="E28">
        <v>92.420313980000003</v>
      </c>
      <c r="F28">
        <v>1.002242415</v>
      </c>
      <c r="G28">
        <v>4.3650895219999999</v>
      </c>
      <c r="H28">
        <v>2.2123540799999999</v>
      </c>
      <c r="I28">
        <v>84.143213270000004</v>
      </c>
      <c r="J28">
        <v>2.2131397310000001</v>
      </c>
      <c r="K28">
        <v>8.9882060060000004</v>
      </c>
      <c r="L28">
        <v>4.6554409919999999</v>
      </c>
      <c r="M28">
        <v>99.271152029999996</v>
      </c>
      <c r="N28">
        <v>0</v>
      </c>
      <c r="O28">
        <v>0.53860203449999999</v>
      </c>
      <c r="P28">
        <v>0.1902459339</v>
      </c>
      <c r="U28">
        <f>ABS(Sheet1[[#This Row],[ARC_r]]-Sheet1[[#This Row],[ARC_u]])</f>
        <v>0</v>
      </c>
      <c r="V28">
        <f>ROUND(Sheet1[[#This Row],[wat_bas_n]],0)</f>
        <v>92</v>
      </c>
      <c r="W28">
        <f>ROUND(Sheet1[[#This Row],[wat_bas_r]],0)</f>
        <v>84</v>
      </c>
      <c r="X28">
        <f>ROUND(Sheet1[[#This Row],[wat_bas_u]],0)</f>
        <v>99</v>
      </c>
      <c r="Y28" s="1" t="str">
        <f>IF(AND(COUNTIFS($A:$A,A28)&gt;1, COUNTIFS($A:$A,A28,$E:$E,"&gt;99")=COUNTIFS($A:$A,A28)), "full access", "not full access")</f>
        <v>not full access</v>
      </c>
      <c r="Z28" s="1" t="str">
        <f>IF(AND(COUNTIFS($A:$A,A28)&gt;1, COUNTIFS($A:$A,A28,$I:$I,"&gt;99")=COUNTIFS($A:$A,A28)), "full access", "not full access")</f>
        <v>not full access</v>
      </c>
      <c r="AA28" s="1" t="str">
        <f t="shared" si="0"/>
        <v>full access</v>
      </c>
    </row>
    <row r="29" spans="1:27" hidden="1" x14ac:dyDescent="0.25">
      <c r="A29" s="1" t="s">
        <v>144</v>
      </c>
      <c r="B29">
        <v>2020</v>
      </c>
      <c r="C29">
        <v>10139.174800000001</v>
      </c>
      <c r="D29">
        <v>56.397003169999998</v>
      </c>
      <c r="E29">
        <v>96.043376129999999</v>
      </c>
      <c r="F29">
        <v>1.04278118</v>
      </c>
      <c r="G29">
        <v>2.9138426879999999</v>
      </c>
      <c r="H29">
        <v>0</v>
      </c>
      <c r="I29">
        <v>90.925797950000003</v>
      </c>
      <c r="J29">
        <v>2.3915356710000002</v>
      </c>
      <c r="K29">
        <v>6.6826663770000003</v>
      </c>
      <c r="L29">
        <v>0</v>
      </c>
      <c r="M29">
        <v>100</v>
      </c>
      <c r="N29">
        <v>0</v>
      </c>
      <c r="O29">
        <v>0</v>
      </c>
      <c r="P29">
        <v>0</v>
      </c>
      <c r="Q29">
        <v>5</v>
      </c>
      <c r="R29">
        <v>0.72461242999999909</v>
      </c>
      <c r="S29">
        <v>1.356516936</v>
      </c>
      <c r="T29">
        <v>0.14576959400000081</v>
      </c>
      <c r="U29">
        <f>ABS(Sheet1[[#This Row],[ARC_r]]-Sheet1[[#This Row],[ARC_u]])</f>
        <v>1.2107473419999992</v>
      </c>
      <c r="V29">
        <f>ROUND(Sheet1[[#This Row],[wat_bas_n]],0)</f>
        <v>96</v>
      </c>
      <c r="W29">
        <f>ROUND(Sheet1[[#This Row],[wat_bas_r]],0)</f>
        <v>91</v>
      </c>
      <c r="X29">
        <f>ROUND(Sheet1[[#This Row],[wat_bas_u]],0)</f>
        <v>100</v>
      </c>
      <c r="Y29" s="1" t="str">
        <f>IF(AND(COUNTIFS($A:$A,A29)&gt;1, COUNTIFS($A:$A,A29,$E:$E,"&gt;99")=COUNTIFS($A:$A,A29)), "full access", "not full access")</f>
        <v>not full access</v>
      </c>
      <c r="Z29" s="1" t="str">
        <f>IF(AND(COUNTIFS($A:$A,A29)&gt;1, COUNTIFS($A:$A,A29,$I:$I,"&gt;99")=COUNTIFS($A:$A,A29)), "full access", "not full access")</f>
        <v>not full access</v>
      </c>
      <c r="AA29" s="1" t="str">
        <f t="shared" si="0"/>
        <v>full access</v>
      </c>
    </row>
    <row r="30" spans="1:27" hidden="1" x14ac:dyDescent="0.25">
      <c r="A30" s="1" t="s">
        <v>104</v>
      </c>
      <c r="B30">
        <v>2015</v>
      </c>
      <c r="C30">
        <v>374.2000122</v>
      </c>
      <c r="D30">
        <v>82.745994569999993</v>
      </c>
      <c r="E30">
        <v>98.886960500000001</v>
      </c>
      <c r="F30">
        <v>0</v>
      </c>
      <c r="G30">
        <v>1.113039503</v>
      </c>
      <c r="H30">
        <v>0</v>
      </c>
      <c r="U30">
        <f>ABS(Sheet1[[#This Row],[ARC_r]]-Sheet1[[#This Row],[ARC_u]])</f>
        <v>0</v>
      </c>
      <c r="V30">
        <f>ROUND(Sheet1[[#This Row],[wat_bas_n]],0)</f>
        <v>99</v>
      </c>
      <c r="W30">
        <f>ROUND(Sheet1[[#This Row],[wat_bas_r]],0)</f>
        <v>0</v>
      </c>
      <c r="X30">
        <f>ROUND(Sheet1[[#This Row],[wat_bas_u]],0)</f>
        <v>0</v>
      </c>
      <c r="Y30" s="1" t="str">
        <f>IF(AND(COUNTIFS($A:$A,A30)&gt;1, COUNTIFS($A:$A,A30,$E:$E,"&gt;99")=COUNTIFS($A:$A,A30)), "full access", "not full access")</f>
        <v>not full access</v>
      </c>
      <c r="Z30" s="1" t="str">
        <f>IF(AND(COUNTIFS($A:$A,A30)&gt;1, COUNTIFS($A:$A,A30,$I:$I,"&gt;99")=COUNTIFS($A:$A,A30)), "full access", "not full access")</f>
        <v>not full access</v>
      </c>
      <c r="AA30" s="1" t="str">
        <f t="shared" si="0"/>
        <v>not full access</v>
      </c>
    </row>
    <row r="31" spans="1:27" hidden="1" x14ac:dyDescent="0.25">
      <c r="A31" s="1" t="s">
        <v>104</v>
      </c>
      <c r="B31">
        <v>2019</v>
      </c>
      <c r="C31">
        <v>389.48599239999999</v>
      </c>
      <c r="D31">
        <v>83.131996150000006</v>
      </c>
      <c r="E31">
        <v>98.886960500000001</v>
      </c>
      <c r="F31">
        <v>0</v>
      </c>
      <c r="G31">
        <v>1.113039503</v>
      </c>
      <c r="H31">
        <v>0</v>
      </c>
      <c r="Q31">
        <v>4</v>
      </c>
      <c r="R31">
        <v>0</v>
      </c>
      <c r="U31">
        <f>ABS(Sheet1[[#This Row],[ARC_r]]-Sheet1[[#This Row],[ARC_u]])</f>
        <v>0</v>
      </c>
      <c r="V31">
        <f>ROUND(Sheet1[[#This Row],[wat_bas_n]],0)</f>
        <v>99</v>
      </c>
      <c r="W31">
        <f>ROUND(Sheet1[[#This Row],[wat_bas_r]],0)</f>
        <v>0</v>
      </c>
      <c r="X31">
        <f>ROUND(Sheet1[[#This Row],[wat_bas_u]],0)</f>
        <v>0</v>
      </c>
      <c r="Y31" s="1" t="str">
        <f>IF(AND(COUNTIFS($A:$A,A31)&gt;1, COUNTIFS($A:$A,A31,$E:$E,"&gt;99")=COUNTIFS($A:$A,A31)), "full access", "not full access")</f>
        <v>not full access</v>
      </c>
      <c r="Z31" s="1" t="str">
        <f>IF(AND(COUNTIFS($A:$A,A31)&gt;1, COUNTIFS($A:$A,A31,$I:$I,"&gt;99")=COUNTIFS($A:$A,A31)), "full access", "not full access")</f>
        <v>not full access</v>
      </c>
      <c r="AA31" s="1" t="str">
        <f t="shared" si="0"/>
        <v>not full access</v>
      </c>
    </row>
    <row r="32" spans="1:27" x14ac:dyDescent="0.25">
      <c r="A32" s="1" t="s">
        <v>43</v>
      </c>
      <c r="B32">
        <v>2015</v>
      </c>
      <c r="C32">
        <v>1371.8530270000001</v>
      </c>
      <c r="D32">
        <v>88.998992920000006</v>
      </c>
      <c r="E32">
        <v>100</v>
      </c>
      <c r="F32">
        <v>0</v>
      </c>
      <c r="G32">
        <v>0</v>
      </c>
      <c r="H32">
        <v>0</v>
      </c>
      <c r="U32">
        <f>ABS(Sheet1[[#This Row],[ARC_r]]-Sheet1[[#This Row],[ARC_u]])</f>
        <v>0</v>
      </c>
      <c r="V32">
        <f>ROUND(Sheet1[[#This Row],[wat_bas_n]],0)</f>
        <v>100</v>
      </c>
      <c r="W32">
        <f>ROUND(Sheet1[[#This Row],[wat_bas_r]],0)</f>
        <v>0</v>
      </c>
      <c r="X32">
        <f>ROUND(Sheet1[[#This Row],[wat_bas_u]],0)</f>
        <v>0</v>
      </c>
      <c r="Y32" s="1" t="str">
        <f>IF(AND(COUNTIFS($A:$A,A32)&gt;1, COUNTIFS($A:$A,A32,$E:$E,"&gt;99")=COUNTIFS($A:$A,A32)), "full access", "not full access")</f>
        <v>full access</v>
      </c>
      <c r="Z32" s="1" t="str">
        <f>IF(AND(COUNTIFS($A:$A,A32)&gt;1, COUNTIFS($A:$A,A32,$I:$I,"&gt;99")=COUNTIFS($A:$A,A32)), "full access", "not full access")</f>
        <v>not full access</v>
      </c>
      <c r="AA32" s="1" t="str">
        <f t="shared" si="0"/>
        <v>not full access</v>
      </c>
    </row>
    <row r="33" spans="1:27" x14ac:dyDescent="0.25">
      <c r="A33" s="1" t="s">
        <v>43</v>
      </c>
      <c r="B33">
        <v>2020</v>
      </c>
      <c r="C33">
        <v>1701.5830080000001</v>
      </c>
      <c r="D33">
        <v>89.506004329999996</v>
      </c>
      <c r="E33">
        <v>100</v>
      </c>
      <c r="F33">
        <v>0</v>
      </c>
      <c r="G33">
        <v>0</v>
      </c>
      <c r="H33">
        <v>0</v>
      </c>
      <c r="Q33">
        <v>5</v>
      </c>
      <c r="R33">
        <v>0</v>
      </c>
      <c r="U33">
        <f>ABS(Sheet1[[#This Row],[ARC_r]]-Sheet1[[#This Row],[ARC_u]])</f>
        <v>0</v>
      </c>
      <c r="V33">
        <f>ROUND(Sheet1[[#This Row],[wat_bas_n]],0)</f>
        <v>100</v>
      </c>
      <c r="W33">
        <f>ROUND(Sheet1[[#This Row],[wat_bas_r]],0)</f>
        <v>0</v>
      </c>
      <c r="X33">
        <f>ROUND(Sheet1[[#This Row],[wat_bas_u]],0)</f>
        <v>0</v>
      </c>
      <c r="Y33" s="1" t="str">
        <f>IF(AND(COUNTIFS($A:$A,A33)&gt;1, COUNTIFS($A:$A,A33,$E:$E,"&gt;99")=COUNTIFS($A:$A,A33)), "full access", "not full access")</f>
        <v>full access</v>
      </c>
      <c r="Z33" s="1" t="str">
        <f>IF(AND(COUNTIFS($A:$A,A33)&gt;1, COUNTIFS($A:$A,A33,$I:$I,"&gt;99")=COUNTIFS($A:$A,A33)), "full access", "not full access")</f>
        <v>not full access</v>
      </c>
      <c r="AA33" s="1" t="str">
        <f t="shared" si="0"/>
        <v>not full access</v>
      </c>
    </row>
    <row r="34" spans="1:27" hidden="1" x14ac:dyDescent="0.25">
      <c r="A34" s="1" t="s">
        <v>122</v>
      </c>
      <c r="B34">
        <v>2015</v>
      </c>
      <c r="C34">
        <v>156256.2813</v>
      </c>
      <c r="D34">
        <v>34.308002469999998</v>
      </c>
      <c r="E34">
        <v>97.101602470000003</v>
      </c>
      <c r="F34">
        <v>1.087988961</v>
      </c>
      <c r="G34">
        <v>0.72156165819999996</v>
      </c>
      <c r="H34">
        <v>1.08884691</v>
      </c>
      <c r="I34">
        <v>96.773011280000006</v>
      </c>
      <c r="J34">
        <v>1.0462141620000001</v>
      </c>
      <c r="K34">
        <v>0.73174732170000001</v>
      </c>
      <c r="L34">
        <v>1.4490272369999999</v>
      </c>
      <c r="M34">
        <v>97.730779679999998</v>
      </c>
      <c r="N34">
        <v>1.167978177</v>
      </c>
      <c r="O34">
        <v>0.70205843499999998</v>
      </c>
      <c r="P34">
        <v>0.39918370739999998</v>
      </c>
      <c r="U34">
        <f>ABS(Sheet1[[#This Row],[ARC_r]]-Sheet1[[#This Row],[ARC_u]])</f>
        <v>0</v>
      </c>
      <c r="V34">
        <f>ROUND(Sheet1[[#This Row],[wat_bas_n]],0)</f>
        <v>97</v>
      </c>
      <c r="W34">
        <f>ROUND(Sheet1[[#This Row],[wat_bas_r]],0)</f>
        <v>97</v>
      </c>
      <c r="X34">
        <f>ROUND(Sheet1[[#This Row],[wat_bas_u]],0)</f>
        <v>98</v>
      </c>
      <c r="Y34" s="1" t="str">
        <f>IF(AND(COUNTIFS($A:$A,A34)&gt;1, COUNTIFS($A:$A,A34,$E:$E,"&gt;99")=COUNTIFS($A:$A,A34)), "full access", "not full access")</f>
        <v>not full access</v>
      </c>
      <c r="Z34" s="1" t="str">
        <f>IF(AND(COUNTIFS($A:$A,A34)&gt;1, COUNTIFS($A:$A,A34,$I:$I,"&gt;99")=COUNTIFS($A:$A,A34)), "full access", "not full access")</f>
        <v>not full access</v>
      </c>
      <c r="AA34" s="1" t="str">
        <f t="shared" si="0"/>
        <v>not full access</v>
      </c>
    </row>
    <row r="35" spans="1:27" hidden="1" x14ac:dyDescent="0.25">
      <c r="A35" s="1" t="s">
        <v>122</v>
      </c>
      <c r="B35">
        <v>2020</v>
      </c>
      <c r="C35">
        <v>164689.39060000001</v>
      </c>
      <c r="D35">
        <v>38.177001949999998</v>
      </c>
      <c r="E35">
        <v>97.697960249999994</v>
      </c>
      <c r="F35">
        <v>1.1564258780000001</v>
      </c>
      <c r="G35">
        <v>0.46265570020000002</v>
      </c>
      <c r="H35">
        <v>0.68295817349999999</v>
      </c>
      <c r="I35">
        <v>97.88023776</v>
      </c>
      <c r="J35">
        <v>0.85810498040000005</v>
      </c>
      <c r="K35">
        <v>0.31648024139999997</v>
      </c>
      <c r="L35">
        <v>0.94517701509999996</v>
      </c>
      <c r="M35">
        <v>97.402777970000002</v>
      </c>
      <c r="N35">
        <v>1.6395201210000001</v>
      </c>
      <c r="O35">
        <v>0.69937521469999997</v>
      </c>
      <c r="P35">
        <v>0.25832669339999997</v>
      </c>
      <c r="Q35">
        <v>5</v>
      </c>
      <c r="R35">
        <v>0.1192715559999982</v>
      </c>
      <c r="S35">
        <v>0.22144529599999879</v>
      </c>
      <c r="T35">
        <v>-6.5600341999999048E-2</v>
      </c>
      <c r="U35">
        <f>ABS(Sheet1[[#This Row],[ARC_r]]-Sheet1[[#This Row],[ARC_u]])</f>
        <v>0.28704563799999783</v>
      </c>
      <c r="V35">
        <f>ROUND(Sheet1[[#This Row],[wat_bas_n]],0)</f>
        <v>98</v>
      </c>
      <c r="W35">
        <f>ROUND(Sheet1[[#This Row],[wat_bas_r]],0)</f>
        <v>98</v>
      </c>
      <c r="X35">
        <f>ROUND(Sheet1[[#This Row],[wat_bas_u]],0)</f>
        <v>97</v>
      </c>
      <c r="Y35" s="1" t="str">
        <f>IF(AND(COUNTIFS($A:$A,A35)&gt;1, COUNTIFS($A:$A,A35,$E:$E,"&gt;99")=COUNTIFS($A:$A,A35)), "full access", "not full access")</f>
        <v>not full access</v>
      </c>
      <c r="Z35" s="1" t="str">
        <f>IF(AND(COUNTIFS($A:$A,A35)&gt;1, COUNTIFS($A:$A,A35,$I:$I,"&gt;99")=COUNTIFS($A:$A,A35)), "full access", "not full access")</f>
        <v>not full access</v>
      </c>
      <c r="AA35" s="1" t="str">
        <f t="shared" si="0"/>
        <v>not full access</v>
      </c>
    </row>
    <row r="36" spans="1:27" hidden="1" x14ac:dyDescent="0.25">
      <c r="A36" s="1" t="s">
        <v>111</v>
      </c>
      <c r="B36">
        <v>2015</v>
      </c>
      <c r="C36">
        <v>285.32699580000002</v>
      </c>
      <c r="D36">
        <v>31.24899864</v>
      </c>
      <c r="E36">
        <v>98.474444739999996</v>
      </c>
      <c r="F36">
        <v>0.26749190639999998</v>
      </c>
      <c r="G36">
        <v>1.2580633510000001</v>
      </c>
      <c r="H36">
        <v>0</v>
      </c>
      <c r="U36">
        <f>ABS(Sheet1[[#This Row],[ARC_r]]-Sheet1[[#This Row],[ARC_u]])</f>
        <v>0</v>
      </c>
      <c r="V36">
        <f>ROUND(Sheet1[[#This Row],[wat_bas_n]],0)</f>
        <v>98</v>
      </c>
      <c r="W36">
        <f>ROUND(Sheet1[[#This Row],[wat_bas_r]],0)</f>
        <v>0</v>
      </c>
      <c r="X36">
        <f>ROUND(Sheet1[[#This Row],[wat_bas_u]],0)</f>
        <v>0</v>
      </c>
      <c r="Y36" s="1" t="str">
        <f>IF(AND(COUNTIFS($A:$A,A36)&gt;1, COUNTIFS($A:$A,A36,$E:$E,"&gt;99")=COUNTIFS($A:$A,A36)), "full access", "not full access")</f>
        <v>not full access</v>
      </c>
      <c r="Z36" s="1" t="str">
        <f>IF(AND(COUNTIFS($A:$A,A36)&gt;1, COUNTIFS($A:$A,A36,$I:$I,"&gt;99")=COUNTIFS($A:$A,A36)), "full access", "not full access")</f>
        <v>not full access</v>
      </c>
      <c r="AA36" s="1" t="str">
        <f t="shared" si="0"/>
        <v>not full access</v>
      </c>
    </row>
    <row r="37" spans="1:27" hidden="1" x14ac:dyDescent="0.25">
      <c r="A37" s="1" t="s">
        <v>111</v>
      </c>
      <c r="B37">
        <v>2020</v>
      </c>
      <c r="C37">
        <v>287.37100220000002</v>
      </c>
      <c r="D37">
        <v>31.190999980000001</v>
      </c>
      <c r="E37">
        <v>98.514450420000003</v>
      </c>
      <c r="F37">
        <v>0.26760057609999999</v>
      </c>
      <c r="G37">
        <v>1.2179490049999999</v>
      </c>
      <c r="H37">
        <v>0</v>
      </c>
      <c r="Q37">
        <v>5</v>
      </c>
      <c r="R37">
        <v>8.0011360000014527E-3</v>
      </c>
      <c r="U37">
        <f>ABS(Sheet1[[#This Row],[ARC_r]]-Sheet1[[#This Row],[ARC_u]])</f>
        <v>0</v>
      </c>
      <c r="V37">
        <f>ROUND(Sheet1[[#This Row],[wat_bas_n]],0)</f>
        <v>99</v>
      </c>
      <c r="W37">
        <f>ROUND(Sheet1[[#This Row],[wat_bas_r]],0)</f>
        <v>0</v>
      </c>
      <c r="X37">
        <f>ROUND(Sheet1[[#This Row],[wat_bas_u]],0)</f>
        <v>0</v>
      </c>
      <c r="Y37" s="1" t="str">
        <f>IF(AND(COUNTIFS($A:$A,A37)&gt;1, COUNTIFS($A:$A,A37,$E:$E,"&gt;99")=COUNTIFS($A:$A,A37)), "full access", "not full access")</f>
        <v>not full access</v>
      </c>
      <c r="Z37" s="1" t="str">
        <f>IF(AND(COUNTIFS($A:$A,A37)&gt;1, COUNTIFS($A:$A,A37,$I:$I,"&gt;99")=COUNTIFS($A:$A,A37)), "full access", "not full access")</f>
        <v>not full access</v>
      </c>
      <c r="AA37" s="1" t="str">
        <f t="shared" si="0"/>
        <v>not full access</v>
      </c>
    </row>
    <row r="38" spans="1:27" hidden="1" x14ac:dyDescent="0.25">
      <c r="A38" s="1" t="s">
        <v>141</v>
      </c>
      <c r="B38">
        <v>2015</v>
      </c>
      <c r="C38">
        <v>9439.4238280000009</v>
      </c>
      <c r="D38">
        <v>77.180999760000006</v>
      </c>
      <c r="E38">
        <v>96.477067090000006</v>
      </c>
      <c r="F38">
        <v>3.3001301079999998</v>
      </c>
      <c r="G38">
        <v>0.22280279950000001</v>
      </c>
      <c r="H38">
        <v>0</v>
      </c>
      <c r="I38">
        <v>98.330671600000002</v>
      </c>
      <c r="J38">
        <v>0.99323910709999996</v>
      </c>
      <c r="K38">
        <v>0.67608928950000002</v>
      </c>
      <c r="L38">
        <v>0</v>
      </c>
      <c r="M38">
        <v>95.92903518</v>
      </c>
      <c r="N38">
        <v>3.9821753929999999</v>
      </c>
      <c r="O38">
        <v>8.8789423830000005E-2</v>
      </c>
      <c r="P38">
        <v>0</v>
      </c>
      <c r="U38">
        <f>ABS(Sheet1[[#This Row],[ARC_r]]-Sheet1[[#This Row],[ARC_u]])</f>
        <v>0</v>
      </c>
      <c r="V38">
        <f>ROUND(Sheet1[[#This Row],[wat_bas_n]],0)</f>
        <v>96</v>
      </c>
      <c r="W38">
        <f>ROUND(Sheet1[[#This Row],[wat_bas_r]],0)</f>
        <v>98</v>
      </c>
      <c r="X38">
        <f>ROUND(Sheet1[[#This Row],[wat_bas_u]],0)</f>
        <v>96</v>
      </c>
      <c r="Y38" s="1" t="str">
        <f>IF(AND(COUNTIFS($A:$A,A38)&gt;1, COUNTIFS($A:$A,A38,$E:$E,"&gt;99")=COUNTIFS($A:$A,A38)), "full access", "not full access")</f>
        <v>not full access</v>
      </c>
      <c r="Z38" s="1" t="str">
        <f>IF(AND(COUNTIFS($A:$A,A38)&gt;1, COUNTIFS($A:$A,A38,$I:$I,"&gt;99")=COUNTIFS($A:$A,A38)), "full access", "not full access")</f>
        <v>not full access</v>
      </c>
      <c r="AA38" s="1" t="str">
        <f t="shared" si="0"/>
        <v>not full access</v>
      </c>
    </row>
    <row r="39" spans="1:27" hidden="1" x14ac:dyDescent="0.25">
      <c r="A39" s="1" t="s">
        <v>141</v>
      </c>
      <c r="B39">
        <v>2020</v>
      </c>
      <c r="C39">
        <v>9449.3212889999995</v>
      </c>
      <c r="D39">
        <v>79.483001709999996</v>
      </c>
      <c r="E39">
        <v>96.534726079999999</v>
      </c>
      <c r="F39">
        <v>3.3721195499999999</v>
      </c>
      <c r="G39">
        <v>9.3154368370000004E-2</v>
      </c>
      <c r="H39">
        <v>0</v>
      </c>
      <c r="I39">
        <v>98.564122310000002</v>
      </c>
      <c r="J39">
        <v>0.9955971951</v>
      </c>
      <c r="K39">
        <v>0.4402804931</v>
      </c>
      <c r="L39">
        <v>0</v>
      </c>
      <c r="M39">
        <v>96.010873619999998</v>
      </c>
      <c r="N39">
        <v>3.9855726439999999</v>
      </c>
      <c r="O39">
        <v>3.5537319770000001E-3</v>
      </c>
      <c r="P39">
        <v>0</v>
      </c>
      <c r="Q39">
        <v>5</v>
      </c>
      <c r="R39">
        <v>1.153179799999862E-2</v>
      </c>
      <c r="S39">
        <v>4.6690141999999921E-2</v>
      </c>
      <c r="T39">
        <v>1.63676879999997E-2</v>
      </c>
      <c r="U39">
        <f>ABS(Sheet1[[#This Row],[ARC_r]]-Sheet1[[#This Row],[ARC_u]])</f>
        <v>3.0322454000000221E-2</v>
      </c>
      <c r="V39">
        <f>ROUND(Sheet1[[#This Row],[wat_bas_n]],0)</f>
        <v>97</v>
      </c>
      <c r="W39">
        <f>ROUND(Sheet1[[#This Row],[wat_bas_r]],0)</f>
        <v>99</v>
      </c>
      <c r="X39">
        <f>ROUND(Sheet1[[#This Row],[wat_bas_u]],0)</f>
        <v>96</v>
      </c>
      <c r="Y39" s="1" t="str">
        <f>IF(AND(COUNTIFS($A:$A,A39)&gt;1, COUNTIFS($A:$A,A39,$E:$E,"&gt;99")=COUNTIFS($A:$A,A39)), "full access", "not full access")</f>
        <v>not full access</v>
      </c>
      <c r="Z39" s="1" t="str">
        <f>IF(AND(COUNTIFS($A:$A,A39)&gt;1, COUNTIFS($A:$A,A39,$I:$I,"&gt;99")=COUNTIFS($A:$A,A39)), "full access", "not full access")</f>
        <v>not full access</v>
      </c>
      <c r="AA39" s="1" t="str">
        <f t="shared" si="0"/>
        <v>not full access</v>
      </c>
    </row>
    <row r="40" spans="1:27" x14ac:dyDescent="0.25">
      <c r="A40" s="1" t="s">
        <v>56</v>
      </c>
      <c r="B40">
        <v>2015</v>
      </c>
      <c r="C40">
        <v>11287.93066</v>
      </c>
      <c r="D40">
        <v>97.875999449999995</v>
      </c>
      <c r="E40">
        <v>99.999997699999994</v>
      </c>
      <c r="F40">
        <v>0</v>
      </c>
      <c r="G40">
        <v>2.2980245119999998E-6</v>
      </c>
      <c r="H40">
        <v>0</v>
      </c>
      <c r="I40">
        <v>100</v>
      </c>
      <c r="J40">
        <v>0</v>
      </c>
      <c r="K40">
        <v>0</v>
      </c>
      <c r="L40">
        <v>0</v>
      </c>
      <c r="M40">
        <v>100</v>
      </c>
      <c r="N40">
        <v>0</v>
      </c>
      <c r="O40">
        <v>0</v>
      </c>
      <c r="P40">
        <v>0</v>
      </c>
      <c r="U40">
        <f>ABS(Sheet1[[#This Row],[ARC_r]]-Sheet1[[#This Row],[ARC_u]])</f>
        <v>0</v>
      </c>
      <c r="V40">
        <f>ROUND(Sheet1[[#This Row],[wat_bas_n]],0)</f>
        <v>100</v>
      </c>
      <c r="W40">
        <f>ROUND(Sheet1[[#This Row],[wat_bas_r]],0)</f>
        <v>100</v>
      </c>
      <c r="X40">
        <f>ROUND(Sheet1[[#This Row],[wat_bas_u]],0)</f>
        <v>100</v>
      </c>
      <c r="Y40" s="1" t="str">
        <f>IF(AND(COUNTIFS($A:$A,A40)&gt;1, COUNTIFS($A:$A,A40,$E:$E,"&gt;99")=COUNTIFS($A:$A,A40)), "full access", "not full access")</f>
        <v>full access</v>
      </c>
      <c r="Z40" s="1" t="str">
        <f>IF(AND(COUNTIFS($A:$A,A40)&gt;1, COUNTIFS($A:$A,A40,$I:$I,"&gt;99")=COUNTIFS($A:$A,A40)), "full access", "not full access")</f>
        <v>full access</v>
      </c>
      <c r="AA40" s="1" t="str">
        <f t="shared" si="0"/>
        <v>full access</v>
      </c>
    </row>
    <row r="41" spans="1:27" x14ac:dyDescent="0.25">
      <c r="A41" s="1" t="s">
        <v>56</v>
      </c>
      <c r="B41">
        <v>2020</v>
      </c>
      <c r="C41">
        <v>11589.61621</v>
      </c>
      <c r="D41">
        <v>98.078994750000007</v>
      </c>
      <c r="E41">
        <v>99.999996449999998</v>
      </c>
      <c r="F41">
        <v>0</v>
      </c>
      <c r="G41">
        <v>3.5547967910000002E-6</v>
      </c>
      <c r="H41">
        <v>0</v>
      </c>
      <c r="I41">
        <v>100</v>
      </c>
      <c r="J41">
        <v>0</v>
      </c>
      <c r="K41">
        <v>0</v>
      </c>
      <c r="L41">
        <v>0</v>
      </c>
      <c r="M41">
        <v>100</v>
      </c>
      <c r="N41">
        <v>0</v>
      </c>
      <c r="O41">
        <v>0</v>
      </c>
      <c r="P41">
        <v>0</v>
      </c>
      <c r="Q41">
        <v>5</v>
      </c>
      <c r="R41">
        <v>-2.4999999936881068E-7</v>
      </c>
      <c r="S41">
        <v>0</v>
      </c>
      <c r="T41">
        <v>0</v>
      </c>
      <c r="U41">
        <f>ABS(Sheet1[[#This Row],[ARC_r]]-Sheet1[[#This Row],[ARC_u]])</f>
        <v>0</v>
      </c>
      <c r="V41">
        <f>ROUND(Sheet1[[#This Row],[wat_bas_n]],0)</f>
        <v>100</v>
      </c>
      <c r="W41">
        <f>ROUND(Sheet1[[#This Row],[wat_bas_r]],0)</f>
        <v>100</v>
      </c>
      <c r="X41">
        <f>ROUND(Sheet1[[#This Row],[wat_bas_u]],0)</f>
        <v>100</v>
      </c>
      <c r="Y41" s="1" t="str">
        <f>IF(AND(COUNTIFS($A:$A,A41)&gt;1, COUNTIFS($A:$A,A41,$E:$E,"&gt;99")=COUNTIFS($A:$A,A41)), "full access", "not full access")</f>
        <v>full access</v>
      </c>
      <c r="Z41" s="1" t="str">
        <f>IF(AND(COUNTIFS($A:$A,A41)&gt;1, COUNTIFS($A:$A,A41,$I:$I,"&gt;99")=COUNTIFS($A:$A,A41)), "full access", "not full access")</f>
        <v>full access</v>
      </c>
      <c r="AA41" s="1" t="str">
        <f t="shared" si="0"/>
        <v>full access</v>
      </c>
    </row>
    <row r="42" spans="1:27" hidden="1" x14ac:dyDescent="0.25">
      <c r="A42" s="1" t="s">
        <v>112</v>
      </c>
      <c r="B42">
        <v>2015</v>
      </c>
      <c r="C42">
        <v>360.92599489999998</v>
      </c>
      <c r="D42">
        <v>45.405998230000002</v>
      </c>
      <c r="E42">
        <v>97.17559498</v>
      </c>
      <c r="F42">
        <v>1.227940493</v>
      </c>
      <c r="G42">
        <v>1.5682225350000001</v>
      </c>
      <c r="H42">
        <v>2.8241988169999999E-2</v>
      </c>
      <c r="I42">
        <v>95.653832059999999</v>
      </c>
      <c r="J42">
        <v>1.4219190049999999</v>
      </c>
      <c r="K42">
        <v>2.8725179939999999</v>
      </c>
      <c r="L42">
        <v>5.1730935759999999E-2</v>
      </c>
      <c r="M42">
        <v>99.005290000000002</v>
      </c>
      <c r="N42">
        <v>0.99470999999999998</v>
      </c>
      <c r="O42">
        <v>0</v>
      </c>
      <c r="P42">
        <v>0</v>
      </c>
      <c r="U42">
        <f>ABS(Sheet1[[#This Row],[ARC_r]]-Sheet1[[#This Row],[ARC_u]])</f>
        <v>0</v>
      </c>
      <c r="V42">
        <f>ROUND(Sheet1[[#This Row],[wat_bas_n]],0)</f>
        <v>97</v>
      </c>
      <c r="W42">
        <f>ROUND(Sheet1[[#This Row],[wat_bas_r]],0)</f>
        <v>96</v>
      </c>
      <c r="X42">
        <f>ROUND(Sheet1[[#This Row],[wat_bas_u]],0)</f>
        <v>99</v>
      </c>
      <c r="Y42" s="1" t="str">
        <f>IF(AND(COUNTIFS($A:$A,A42)&gt;1, COUNTIFS($A:$A,A42,$E:$E,"&gt;99")=COUNTIFS($A:$A,A42)), "full access", "not full access")</f>
        <v>not full access</v>
      </c>
      <c r="Z42" s="1" t="str">
        <f>IF(AND(COUNTIFS($A:$A,A42)&gt;1, COUNTIFS($A:$A,A42,$I:$I,"&gt;99")=COUNTIFS($A:$A,A42)), "full access", "not full access")</f>
        <v>not full access</v>
      </c>
      <c r="AA42" s="1" t="str">
        <f t="shared" si="0"/>
        <v>not full access</v>
      </c>
    </row>
    <row r="43" spans="1:27" hidden="1" x14ac:dyDescent="0.25">
      <c r="A43" s="1" t="s">
        <v>112</v>
      </c>
      <c r="B43">
        <v>2020</v>
      </c>
      <c r="C43">
        <v>397.62100220000002</v>
      </c>
      <c r="D43">
        <v>46.025001529999997</v>
      </c>
      <c r="E43">
        <v>98.401954630000006</v>
      </c>
      <c r="F43">
        <v>1.249110629</v>
      </c>
      <c r="G43">
        <v>0.3489347411</v>
      </c>
      <c r="H43">
        <v>0</v>
      </c>
      <c r="I43">
        <v>97.995207579999999</v>
      </c>
      <c r="J43">
        <v>1.358317682</v>
      </c>
      <c r="K43">
        <v>0.64647473929999999</v>
      </c>
      <c r="L43">
        <v>0</v>
      </c>
      <c r="M43">
        <v>98.878960000000006</v>
      </c>
      <c r="N43">
        <v>1.12104</v>
      </c>
      <c r="O43">
        <v>0</v>
      </c>
      <c r="P43">
        <v>0</v>
      </c>
      <c r="Q43">
        <v>5</v>
      </c>
      <c r="R43">
        <v>0.24527193000000119</v>
      </c>
      <c r="S43">
        <v>0.46827510399999989</v>
      </c>
      <c r="T43">
        <v>-2.5265999999999171E-2</v>
      </c>
      <c r="U43">
        <f>ABS(Sheet1[[#This Row],[ARC_r]]-Sheet1[[#This Row],[ARC_u]])</f>
        <v>0.49354110399999906</v>
      </c>
      <c r="V43">
        <f>ROUND(Sheet1[[#This Row],[wat_bas_n]],0)</f>
        <v>98</v>
      </c>
      <c r="W43">
        <f>ROUND(Sheet1[[#This Row],[wat_bas_r]],0)</f>
        <v>98</v>
      </c>
      <c r="X43">
        <f>ROUND(Sheet1[[#This Row],[wat_bas_u]],0)</f>
        <v>99</v>
      </c>
      <c r="Y43" s="1" t="str">
        <f>IF(AND(COUNTIFS($A:$A,A43)&gt;1, COUNTIFS($A:$A,A43,$E:$E,"&gt;99")=COUNTIFS($A:$A,A43)), "full access", "not full access")</f>
        <v>not full access</v>
      </c>
      <c r="Z43" s="1" t="str">
        <f>IF(AND(COUNTIFS($A:$A,A43)&gt;1, COUNTIFS($A:$A,A43,$I:$I,"&gt;99")=COUNTIFS($A:$A,A43)), "full access", "not full access")</f>
        <v>not full access</v>
      </c>
      <c r="AA43" s="1" t="str">
        <f t="shared" si="0"/>
        <v>not full access</v>
      </c>
    </row>
    <row r="44" spans="1:27" hidden="1" x14ac:dyDescent="0.25">
      <c r="A44" s="1" t="s">
        <v>220</v>
      </c>
      <c r="B44">
        <v>2015</v>
      </c>
      <c r="C44">
        <v>10575.96191</v>
      </c>
      <c r="D44">
        <v>45.695003509999999</v>
      </c>
      <c r="E44">
        <v>64.786822299999997</v>
      </c>
      <c r="F44">
        <v>8.7154706540000006</v>
      </c>
      <c r="G44">
        <v>21.298464339999999</v>
      </c>
      <c r="H44">
        <v>5.1992427130000003</v>
      </c>
      <c r="I44">
        <v>56.784352470000002</v>
      </c>
      <c r="J44">
        <v>11.70337067</v>
      </c>
      <c r="K44">
        <v>23.774978569999998</v>
      </c>
      <c r="L44">
        <v>7.7372982859999997</v>
      </c>
      <c r="M44">
        <v>74.297142559999998</v>
      </c>
      <c r="N44">
        <v>5.1645811540000004</v>
      </c>
      <c r="O44">
        <v>18.355317530000001</v>
      </c>
      <c r="P44">
        <v>2.1829587560000001</v>
      </c>
      <c r="U44">
        <f>ABS(Sheet1[[#This Row],[ARC_r]]-Sheet1[[#This Row],[ARC_u]])</f>
        <v>0</v>
      </c>
      <c r="V44">
        <f>ROUND(Sheet1[[#This Row],[wat_bas_n]],0)</f>
        <v>65</v>
      </c>
      <c r="W44">
        <f>ROUND(Sheet1[[#This Row],[wat_bas_r]],0)</f>
        <v>57</v>
      </c>
      <c r="X44">
        <f>ROUND(Sheet1[[#This Row],[wat_bas_u]],0)</f>
        <v>74</v>
      </c>
      <c r="Y44" s="1" t="str">
        <f>IF(AND(COUNTIFS($A:$A,A44)&gt;1, COUNTIFS($A:$A,A44,$E:$E,"&gt;99")=COUNTIFS($A:$A,A44)), "full access", "not full access")</f>
        <v>not full access</v>
      </c>
      <c r="Z44" s="1" t="str">
        <f>IF(AND(COUNTIFS($A:$A,A44)&gt;1, COUNTIFS($A:$A,A44,$I:$I,"&gt;99")=COUNTIFS($A:$A,A44)), "full access", "not full access")</f>
        <v>not full access</v>
      </c>
      <c r="AA44" s="1" t="str">
        <f t="shared" si="0"/>
        <v>not full access</v>
      </c>
    </row>
    <row r="45" spans="1:27" hidden="1" x14ac:dyDescent="0.25">
      <c r="A45" s="1" t="s">
        <v>220</v>
      </c>
      <c r="B45">
        <v>2020</v>
      </c>
      <c r="C45">
        <v>12123.19824</v>
      </c>
      <c r="D45">
        <v>48.414997100000001</v>
      </c>
      <c r="E45">
        <v>65.414122989999996</v>
      </c>
      <c r="F45">
        <v>9.317535586</v>
      </c>
      <c r="G45">
        <v>21.97254088</v>
      </c>
      <c r="H45">
        <v>3.2958005469999998</v>
      </c>
      <c r="I45">
        <v>58.052267989999997</v>
      </c>
      <c r="J45">
        <v>12.705205039999999</v>
      </c>
      <c r="K45">
        <v>23.977968329999999</v>
      </c>
      <c r="L45">
        <v>5.2645586340000001</v>
      </c>
      <c r="M45">
        <v>73.258000039999999</v>
      </c>
      <c r="N45">
        <v>5.7080563529999999</v>
      </c>
      <c r="O45">
        <v>19.835806810000001</v>
      </c>
      <c r="P45">
        <v>1.1981367940000001</v>
      </c>
      <c r="Q45">
        <v>5</v>
      </c>
      <c r="R45">
        <v>0.12546013799999969</v>
      </c>
      <c r="S45">
        <v>0.25358310399999912</v>
      </c>
      <c r="T45">
        <v>-0.20782850399999969</v>
      </c>
      <c r="U45">
        <f>ABS(Sheet1[[#This Row],[ARC_r]]-Sheet1[[#This Row],[ARC_u]])</f>
        <v>0.46141160799999881</v>
      </c>
      <c r="V45">
        <f>ROUND(Sheet1[[#This Row],[wat_bas_n]],0)</f>
        <v>65</v>
      </c>
      <c r="W45">
        <f>ROUND(Sheet1[[#This Row],[wat_bas_r]],0)</f>
        <v>58</v>
      </c>
      <c r="X45">
        <f>ROUND(Sheet1[[#This Row],[wat_bas_u]],0)</f>
        <v>73</v>
      </c>
      <c r="Y45" s="1" t="str">
        <f>IF(AND(COUNTIFS($A:$A,A45)&gt;1, COUNTIFS($A:$A,A45,$E:$E,"&gt;99")=COUNTIFS($A:$A,A45)), "full access", "not full access")</f>
        <v>not full access</v>
      </c>
      <c r="Z45" s="1" t="str">
        <f>IF(AND(COUNTIFS($A:$A,A45)&gt;1, COUNTIFS($A:$A,A45,$I:$I,"&gt;99")=COUNTIFS($A:$A,A45)), "full access", "not full access")</f>
        <v>not full access</v>
      </c>
      <c r="AA45" s="1" t="str">
        <f t="shared" si="0"/>
        <v>not full access</v>
      </c>
    </row>
    <row r="46" spans="1:27" x14ac:dyDescent="0.25">
      <c r="A46" s="1" t="s">
        <v>69</v>
      </c>
      <c r="B46">
        <v>2015</v>
      </c>
      <c r="C46">
        <v>63.694999690000003</v>
      </c>
      <c r="D46">
        <v>100</v>
      </c>
      <c r="E46">
        <v>99.903140019999995</v>
      </c>
      <c r="F46">
        <v>0</v>
      </c>
      <c r="G46">
        <v>9.6859982940000006E-2</v>
      </c>
      <c r="H46">
        <v>0</v>
      </c>
      <c r="M46">
        <v>99.903140019999995</v>
      </c>
      <c r="N46">
        <v>0</v>
      </c>
      <c r="O46">
        <v>9.6859982940000006E-2</v>
      </c>
      <c r="P46">
        <v>0</v>
      </c>
      <c r="U46">
        <f>ABS(Sheet1[[#This Row],[ARC_r]]-Sheet1[[#This Row],[ARC_u]])</f>
        <v>0</v>
      </c>
      <c r="V46">
        <f>ROUND(Sheet1[[#This Row],[wat_bas_n]],0)</f>
        <v>100</v>
      </c>
      <c r="W46">
        <f>ROUND(Sheet1[[#This Row],[wat_bas_r]],0)</f>
        <v>0</v>
      </c>
      <c r="X46">
        <f>ROUND(Sheet1[[#This Row],[wat_bas_u]],0)</f>
        <v>100</v>
      </c>
      <c r="Y46" s="1" t="str">
        <f>IF(AND(COUNTIFS($A:$A,A46)&gt;1, COUNTIFS($A:$A,A46,$E:$E,"&gt;99")=COUNTIFS($A:$A,A46)), "full access", "not full access")</f>
        <v>full access</v>
      </c>
      <c r="Z46" s="1" t="str">
        <f>IF(AND(COUNTIFS($A:$A,A46)&gt;1, COUNTIFS($A:$A,A46,$I:$I,"&gt;99")=COUNTIFS($A:$A,A46)), "full access", "not full access")</f>
        <v>not full access</v>
      </c>
      <c r="AA46" s="1" t="str">
        <f t="shared" si="0"/>
        <v>full access</v>
      </c>
    </row>
    <row r="47" spans="1:27" x14ac:dyDescent="0.25">
      <c r="A47" s="1" t="s">
        <v>69</v>
      </c>
      <c r="B47">
        <v>2020</v>
      </c>
      <c r="C47">
        <v>62.272998809999997</v>
      </c>
      <c r="D47">
        <v>100</v>
      </c>
      <c r="E47">
        <v>99.903140019999995</v>
      </c>
      <c r="F47">
        <v>0</v>
      </c>
      <c r="G47">
        <v>9.6859982940000006E-2</v>
      </c>
      <c r="H47">
        <v>0</v>
      </c>
      <c r="M47">
        <v>99.903140019999995</v>
      </c>
      <c r="N47">
        <v>0</v>
      </c>
      <c r="O47">
        <v>9.6859982940000006E-2</v>
      </c>
      <c r="P47">
        <v>0</v>
      </c>
      <c r="Q47">
        <v>5</v>
      </c>
      <c r="R47">
        <v>0</v>
      </c>
      <c r="T47">
        <v>0</v>
      </c>
      <c r="U47">
        <f>ABS(Sheet1[[#This Row],[ARC_r]]-Sheet1[[#This Row],[ARC_u]])</f>
        <v>0</v>
      </c>
      <c r="V47">
        <f>ROUND(Sheet1[[#This Row],[wat_bas_n]],0)</f>
        <v>100</v>
      </c>
      <c r="W47">
        <f>ROUND(Sheet1[[#This Row],[wat_bas_r]],0)</f>
        <v>0</v>
      </c>
      <c r="X47">
        <f>ROUND(Sheet1[[#This Row],[wat_bas_u]],0)</f>
        <v>100</v>
      </c>
      <c r="Y47" s="1" t="str">
        <f>IF(AND(COUNTIFS($A:$A,A47)&gt;1, COUNTIFS($A:$A,A47,$E:$E,"&gt;99")=COUNTIFS($A:$A,A47)), "full access", "not full access")</f>
        <v>full access</v>
      </c>
      <c r="Z47" s="1" t="str">
        <f>IF(AND(COUNTIFS($A:$A,A47)&gt;1, COUNTIFS($A:$A,A47,$I:$I,"&gt;99")=COUNTIFS($A:$A,A47)), "full access", "not full access")</f>
        <v>not full access</v>
      </c>
      <c r="AA47" s="1" t="str">
        <f t="shared" si="0"/>
        <v>full access</v>
      </c>
    </row>
    <row r="48" spans="1:27" hidden="1" x14ac:dyDescent="0.25">
      <c r="A48" s="1" t="s">
        <v>130</v>
      </c>
      <c r="B48">
        <v>2015</v>
      </c>
      <c r="C48">
        <v>727.88500980000003</v>
      </c>
      <c r="D48">
        <v>38.678001399999999</v>
      </c>
      <c r="E48">
        <v>96.221422590000003</v>
      </c>
      <c r="F48">
        <v>2.496596292</v>
      </c>
      <c r="G48">
        <v>0.29618737509999998</v>
      </c>
      <c r="H48">
        <v>0.98579373770000001</v>
      </c>
      <c r="I48">
        <v>95.164362949999997</v>
      </c>
      <c r="J48">
        <v>3.215858941</v>
      </c>
      <c r="K48">
        <v>0.1935987005</v>
      </c>
      <c r="L48">
        <v>1.4261794109999999</v>
      </c>
      <c r="M48">
        <v>97.897336780000003</v>
      </c>
      <c r="N48">
        <v>1.3562420319999999</v>
      </c>
      <c r="O48">
        <v>0.45883648849999997</v>
      </c>
      <c r="P48">
        <v>0.28758470349999998</v>
      </c>
      <c r="U48">
        <f>ABS(Sheet1[[#This Row],[ARC_r]]-Sheet1[[#This Row],[ARC_u]])</f>
        <v>0</v>
      </c>
      <c r="V48">
        <f>ROUND(Sheet1[[#This Row],[wat_bas_n]],0)</f>
        <v>96</v>
      </c>
      <c r="W48">
        <f>ROUND(Sheet1[[#This Row],[wat_bas_r]],0)</f>
        <v>95</v>
      </c>
      <c r="X48">
        <f>ROUND(Sheet1[[#This Row],[wat_bas_u]],0)</f>
        <v>98</v>
      </c>
      <c r="Y48" s="1" t="str">
        <f>IF(AND(COUNTIFS($A:$A,A48)&gt;1, COUNTIFS($A:$A,A48,$E:$E,"&gt;99")=COUNTIFS($A:$A,A48)), "full access", "not full access")</f>
        <v>not full access</v>
      </c>
      <c r="Z48" s="1" t="str">
        <f>IF(AND(COUNTIFS($A:$A,A48)&gt;1, COUNTIFS($A:$A,A48,$I:$I,"&gt;99")=COUNTIFS($A:$A,A48)), "full access", "not full access")</f>
        <v>not full access</v>
      </c>
      <c r="AA48" s="1" t="str">
        <f t="shared" si="0"/>
        <v>not full access</v>
      </c>
    </row>
    <row r="49" spans="1:27" hidden="1" x14ac:dyDescent="0.25">
      <c r="A49" s="1" t="s">
        <v>130</v>
      </c>
      <c r="B49">
        <v>2020</v>
      </c>
      <c r="C49">
        <v>771.61199950000002</v>
      </c>
      <c r="D49">
        <v>42.31599808</v>
      </c>
      <c r="E49">
        <v>97.313222629999999</v>
      </c>
      <c r="F49">
        <v>2.4607126070000001</v>
      </c>
      <c r="G49">
        <v>0.17642421829999999</v>
      </c>
      <c r="H49">
        <v>4.9640541420000003E-2</v>
      </c>
      <c r="I49">
        <v>96.731193649999994</v>
      </c>
      <c r="J49">
        <v>3.2688063509999998</v>
      </c>
      <c r="K49">
        <v>0</v>
      </c>
      <c r="L49">
        <v>0</v>
      </c>
      <c r="M49">
        <v>98.106628490000006</v>
      </c>
      <c r="N49">
        <v>1.3591415</v>
      </c>
      <c r="O49">
        <v>0.41692084750000002</v>
      </c>
      <c r="P49">
        <v>0.1173091586</v>
      </c>
      <c r="Q49">
        <v>5</v>
      </c>
      <c r="R49">
        <v>0.21836000799999911</v>
      </c>
      <c r="S49">
        <v>0.3133661399999994</v>
      </c>
      <c r="T49">
        <v>4.1858342000000451E-2</v>
      </c>
      <c r="U49">
        <f>ABS(Sheet1[[#This Row],[ARC_r]]-Sheet1[[#This Row],[ARC_u]])</f>
        <v>0.27150779799999897</v>
      </c>
      <c r="V49">
        <f>ROUND(Sheet1[[#This Row],[wat_bas_n]],0)</f>
        <v>97</v>
      </c>
      <c r="W49">
        <f>ROUND(Sheet1[[#This Row],[wat_bas_r]],0)</f>
        <v>97</v>
      </c>
      <c r="X49">
        <f>ROUND(Sheet1[[#This Row],[wat_bas_u]],0)</f>
        <v>98</v>
      </c>
      <c r="Y49" s="1" t="str">
        <f>IF(AND(COUNTIFS($A:$A,A49)&gt;1, COUNTIFS($A:$A,A49,$E:$E,"&gt;99")=COUNTIFS($A:$A,A49)), "full access", "not full access")</f>
        <v>not full access</v>
      </c>
      <c r="Z49" s="1" t="str">
        <f>IF(AND(COUNTIFS($A:$A,A49)&gt;1, COUNTIFS($A:$A,A49,$I:$I,"&gt;99")=COUNTIFS($A:$A,A49)), "full access", "not full access")</f>
        <v>not full access</v>
      </c>
      <c r="AA49" s="1" t="str">
        <f t="shared" si="0"/>
        <v>not full access</v>
      </c>
    </row>
    <row r="50" spans="1:27" hidden="1" x14ac:dyDescent="0.25">
      <c r="A50" s="1" t="s">
        <v>170</v>
      </c>
      <c r="B50">
        <v>2015</v>
      </c>
      <c r="C50">
        <v>10869.73242</v>
      </c>
      <c r="D50">
        <v>68.392997739999998</v>
      </c>
      <c r="E50">
        <v>90.462141009999996</v>
      </c>
      <c r="F50">
        <v>0.17289839809999999</v>
      </c>
      <c r="G50">
        <v>2.832457169</v>
      </c>
      <c r="H50">
        <v>6.5325034249999998</v>
      </c>
      <c r="I50">
        <v>73.740180199999998</v>
      </c>
      <c r="J50">
        <v>0.33996878380000001</v>
      </c>
      <c r="K50">
        <v>5.9118005360000003</v>
      </c>
      <c r="L50">
        <v>20.008050480000001</v>
      </c>
      <c r="M50">
        <v>98.189997079999998</v>
      </c>
      <c r="N50">
        <v>9.5688834099999995E-2</v>
      </c>
      <c r="O50">
        <v>1.4093724700000001</v>
      </c>
      <c r="P50">
        <v>0.304941615</v>
      </c>
      <c r="U50">
        <f>ABS(Sheet1[[#This Row],[ARC_r]]-Sheet1[[#This Row],[ARC_u]])</f>
        <v>0</v>
      </c>
      <c r="V50">
        <f>ROUND(Sheet1[[#This Row],[wat_bas_n]],0)</f>
        <v>90</v>
      </c>
      <c r="W50">
        <f>ROUND(Sheet1[[#This Row],[wat_bas_r]],0)</f>
        <v>74</v>
      </c>
      <c r="X50">
        <f>ROUND(Sheet1[[#This Row],[wat_bas_u]],0)</f>
        <v>98</v>
      </c>
      <c r="Y50" s="1" t="str">
        <f>IF(AND(COUNTIFS($A:$A,A50)&gt;1, COUNTIFS($A:$A,A50,$E:$E,"&gt;99")=COUNTIFS($A:$A,A50)), "full access", "not full access")</f>
        <v>not full access</v>
      </c>
      <c r="Z50" s="1" t="str">
        <f>IF(AND(COUNTIFS($A:$A,A50)&gt;1, COUNTIFS($A:$A,A50,$I:$I,"&gt;99")=COUNTIFS($A:$A,A50)), "full access", "not full access")</f>
        <v>not full access</v>
      </c>
      <c r="AA50" s="1" t="str">
        <f t="shared" si="0"/>
        <v>not full access</v>
      </c>
    </row>
    <row r="51" spans="1:27" hidden="1" x14ac:dyDescent="0.25">
      <c r="A51" s="1" t="s">
        <v>170</v>
      </c>
      <c r="B51">
        <v>2020</v>
      </c>
      <c r="C51">
        <v>11673.0293</v>
      </c>
      <c r="D51">
        <v>70.123001099999996</v>
      </c>
      <c r="E51">
        <v>93.390071629999994</v>
      </c>
      <c r="F51">
        <v>0.13659052960000001</v>
      </c>
      <c r="G51">
        <v>1.575010843</v>
      </c>
      <c r="H51">
        <v>4.8983269969999998</v>
      </c>
      <c r="I51">
        <v>79.936642829999997</v>
      </c>
      <c r="J51">
        <v>0.24473640820000001</v>
      </c>
      <c r="K51">
        <v>3.9541336930000002</v>
      </c>
      <c r="L51">
        <v>15.864487069999999</v>
      </c>
      <c r="M51">
        <v>99.122118319999998</v>
      </c>
      <c r="N51">
        <v>9.0513289469999994E-2</v>
      </c>
      <c r="O51">
        <v>0.56134538079999996</v>
      </c>
      <c r="P51">
        <v>0.22602301120000001</v>
      </c>
      <c r="Q51">
        <v>5</v>
      </c>
      <c r="R51">
        <v>0.58558612399999954</v>
      </c>
      <c r="S51">
        <v>1.2392925260000001</v>
      </c>
      <c r="T51">
        <v>0.18642424800000021</v>
      </c>
      <c r="U51">
        <f>ABS(Sheet1[[#This Row],[ARC_r]]-Sheet1[[#This Row],[ARC_u]])</f>
        <v>1.0528682779999998</v>
      </c>
      <c r="V51">
        <f>ROUND(Sheet1[[#This Row],[wat_bas_n]],0)</f>
        <v>93</v>
      </c>
      <c r="W51">
        <f>ROUND(Sheet1[[#This Row],[wat_bas_r]],0)</f>
        <v>80</v>
      </c>
      <c r="X51">
        <f>ROUND(Sheet1[[#This Row],[wat_bas_u]],0)</f>
        <v>99</v>
      </c>
      <c r="Y51" s="1" t="str">
        <f>IF(AND(COUNTIFS($A:$A,A51)&gt;1, COUNTIFS($A:$A,A51,$E:$E,"&gt;99")=COUNTIFS($A:$A,A51)), "full access", "not full access")</f>
        <v>not full access</v>
      </c>
      <c r="Z51" s="1" t="str">
        <f>IF(AND(COUNTIFS($A:$A,A51)&gt;1, COUNTIFS($A:$A,A51,$I:$I,"&gt;99")=COUNTIFS($A:$A,A51)), "full access", "not full access")</f>
        <v>not full access</v>
      </c>
      <c r="AA51" s="1" t="str">
        <f t="shared" si="0"/>
        <v>not full access</v>
      </c>
    </row>
    <row r="52" spans="1:27" hidden="1" x14ac:dyDescent="0.25">
      <c r="A52" s="1" t="s">
        <v>142</v>
      </c>
      <c r="B52">
        <v>2015</v>
      </c>
      <c r="C52">
        <v>3429.3620609999998</v>
      </c>
      <c r="D52">
        <v>47.172996519999998</v>
      </c>
      <c r="E52">
        <v>96.159844179999993</v>
      </c>
      <c r="F52">
        <v>3.780069975</v>
      </c>
      <c r="G52">
        <v>6.0085848570000003E-2</v>
      </c>
      <c r="H52">
        <v>0</v>
      </c>
      <c r="I52">
        <v>97.333333330000002</v>
      </c>
      <c r="J52">
        <v>2.6666666669999999</v>
      </c>
      <c r="K52">
        <v>0</v>
      </c>
      <c r="L52">
        <v>0</v>
      </c>
      <c r="M52">
        <v>94.845704400000002</v>
      </c>
      <c r="N52">
        <v>5.0269222060000001</v>
      </c>
      <c r="O52">
        <v>0.12737339280000001</v>
      </c>
      <c r="P52">
        <v>0</v>
      </c>
      <c r="U52">
        <f>ABS(Sheet1[[#This Row],[ARC_r]]-Sheet1[[#This Row],[ARC_u]])</f>
        <v>0</v>
      </c>
      <c r="V52">
        <f>ROUND(Sheet1[[#This Row],[wat_bas_n]],0)</f>
        <v>96</v>
      </c>
      <c r="W52">
        <f>ROUND(Sheet1[[#This Row],[wat_bas_r]],0)</f>
        <v>97</v>
      </c>
      <c r="X52">
        <f>ROUND(Sheet1[[#This Row],[wat_bas_u]],0)</f>
        <v>95</v>
      </c>
      <c r="Y52" s="1" t="str">
        <f>IF(AND(COUNTIFS($A:$A,A52)&gt;1, COUNTIFS($A:$A,A52,$E:$E,"&gt;99")=COUNTIFS($A:$A,A52)), "full access", "not full access")</f>
        <v>not full access</v>
      </c>
      <c r="Z52" s="1" t="str">
        <f>IF(AND(COUNTIFS($A:$A,A52)&gt;1, COUNTIFS($A:$A,A52,$I:$I,"&gt;99")=COUNTIFS($A:$A,A52)), "full access", "not full access")</f>
        <v>not full access</v>
      </c>
      <c r="AA52" s="1" t="str">
        <f t="shared" si="0"/>
        <v>not full access</v>
      </c>
    </row>
    <row r="53" spans="1:27" hidden="1" x14ac:dyDescent="0.25">
      <c r="A53" s="1" t="s">
        <v>142</v>
      </c>
      <c r="B53">
        <v>2020</v>
      </c>
      <c r="C53">
        <v>3280.8149410000001</v>
      </c>
      <c r="D53">
        <v>49.020000459999999</v>
      </c>
      <c r="E53">
        <v>96.113897620000003</v>
      </c>
      <c r="F53">
        <v>3.8236639380000002</v>
      </c>
      <c r="G53">
        <v>6.2438437520000001E-2</v>
      </c>
      <c r="H53">
        <v>0</v>
      </c>
      <c r="I53">
        <v>97.333333330000002</v>
      </c>
      <c r="J53">
        <v>2.6666666669999999</v>
      </c>
      <c r="K53">
        <v>0</v>
      </c>
      <c r="L53">
        <v>0</v>
      </c>
      <c r="M53">
        <v>94.845704400000002</v>
      </c>
      <c r="N53">
        <v>5.0269222060000001</v>
      </c>
      <c r="O53">
        <v>0.12737339280000001</v>
      </c>
      <c r="P53">
        <v>0</v>
      </c>
      <c r="Q53">
        <v>5</v>
      </c>
      <c r="R53">
        <v>-9.1893119999980396E-3</v>
      </c>
      <c r="S53">
        <v>0</v>
      </c>
      <c r="T53">
        <v>0</v>
      </c>
      <c r="U53">
        <f>ABS(Sheet1[[#This Row],[ARC_r]]-Sheet1[[#This Row],[ARC_u]])</f>
        <v>0</v>
      </c>
      <c r="V53">
        <f>ROUND(Sheet1[[#This Row],[wat_bas_n]],0)</f>
        <v>96</v>
      </c>
      <c r="W53">
        <f>ROUND(Sheet1[[#This Row],[wat_bas_r]],0)</f>
        <v>97</v>
      </c>
      <c r="X53">
        <f>ROUND(Sheet1[[#This Row],[wat_bas_u]],0)</f>
        <v>95</v>
      </c>
      <c r="Y53" s="1" t="str">
        <f>IF(AND(COUNTIFS($A:$A,A53)&gt;1, COUNTIFS($A:$A,A53,$E:$E,"&gt;99")=COUNTIFS($A:$A,A53)), "full access", "not full access")</f>
        <v>not full access</v>
      </c>
      <c r="Z53" s="1" t="str">
        <f>IF(AND(COUNTIFS($A:$A,A53)&gt;1, COUNTIFS($A:$A,A53,$I:$I,"&gt;99")=COUNTIFS($A:$A,A53)), "full access", "not full access")</f>
        <v>not full access</v>
      </c>
      <c r="AA53" s="1" t="str">
        <f t="shared" si="0"/>
        <v>not full access</v>
      </c>
    </row>
    <row r="54" spans="1:27" hidden="1" x14ac:dyDescent="0.25">
      <c r="A54" s="1" t="s">
        <v>175</v>
      </c>
      <c r="B54">
        <v>2015</v>
      </c>
      <c r="C54">
        <v>2120.7160640000002</v>
      </c>
      <c r="D54">
        <v>67.15499878</v>
      </c>
      <c r="E54">
        <v>88.446289530000001</v>
      </c>
      <c r="F54">
        <v>8.4106141599999997</v>
      </c>
      <c r="G54">
        <v>1.578349601</v>
      </c>
      <c r="H54">
        <v>1.5647467079999999</v>
      </c>
      <c r="I54">
        <v>71.892533830000005</v>
      </c>
      <c r="J54">
        <v>21.789327549999999</v>
      </c>
      <c r="K54">
        <v>1.854197906</v>
      </c>
      <c r="L54">
        <v>4.4639407090000001</v>
      </c>
      <c r="M54">
        <v>96.542602579999993</v>
      </c>
      <c r="N54">
        <v>1.867186166</v>
      </c>
      <c r="O54">
        <v>1.443438497</v>
      </c>
      <c r="P54">
        <v>0.1467727616</v>
      </c>
      <c r="U54">
        <f>ABS(Sheet1[[#This Row],[ARC_r]]-Sheet1[[#This Row],[ARC_u]])</f>
        <v>0</v>
      </c>
      <c r="V54">
        <f>ROUND(Sheet1[[#This Row],[wat_bas_n]],0)</f>
        <v>88</v>
      </c>
      <c r="W54">
        <f>ROUND(Sheet1[[#This Row],[wat_bas_r]],0)</f>
        <v>72</v>
      </c>
      <c r="X54">
        <f>ROUND(Sheet1[[#This Row],[wat_bas_u]],0)</f>
        <v>97</v>
      </c>
      <c r="Y54" s="1" t="str">
        <f>IF(AND(COUNTIFS($A:$A,A54)&gt;1, COUNTIFS($A:$A,A54,$E:$E,"&gt;99")=COUNTIFS($A:$A,A54)), "full access", "not full access")</f>
        <v>not full access</v>
      </c>
      <c r="Z54" s="1" t="str">
        <f>IF(AND(COUNTIFS($A:$A,A54)&gt;1, COUNTIFS($A:$A,A54,$I:$I,"&gt;99")=COUNTIFS($A:$A,A54)), "full access", "not full access")</f>
        <v>not full access</v>
      </c>
      <c r="AA54" s="1" t="str">
        <f t="shared" si="0"/>
        <v>not full access</v>
      </c>
    </row>
    <row r="55" spans="1:27" hidden="1" x14ac:dyDescent="0.25">
      <c r="A55" s="1" t="s">
        <v>175</v>
      </c>
      <c r="B55">
        <v>2020</v>
      </c>
      <c r="C55">
        <v>2351.625</v>
      </c>
      <c r="D55">
        <v>70.876998900000004</v>
      </c>
      <c r="E55">
        <v>92.213563070000006</v>
      </c>
      <c r="F55">
        <v>4.7230389700000002</v>
      </c>
      <c r="G55">
        <v>1.7325264760000001</v>
      </c>
      <c r="H55">
        <v>1.330871481</v>
      </c>
      <c r="I55">
        <v>79.04372386</v>
      </c>
      <c r="J55">
        <v>15.154947180000001</v>
      </c>
      <c r="K55">
        <v>1.5961191560000001</v>
      </c>
      <c r="L55">
        <v>4.2052098100000004</v>
      </c>
      <c r="M55">
        <v>97.624980579999999</v>
      </c>
      <c r="N55">
        <v>0.43662003220000001</v>
      </c>
      <c r="O55">
        <v>1.788579159</v>
      </c>
      <c r="P55">
        <v>0.14982022810000001</v>
      </c>
      <c r="Q55">
        <v>5</v>
      </c>
      <c r="R55">
        <v>0.75345470800000103</v>
      </c>
      <c r="S55">
        <v>1.4302380059999991</v>
      </c>
      <c r="T55">
        <v>0.2164756000000011</v>
      </c>
      <c r="U55">
        <f>ABS(Sheet1[[#This Row],[ARC_r]]-Sheet1[[#This Row],[ARC_u]])</f>
        <v>1.2137624059999981</v>
      </c>
      <c r="V55">
        <f>ROUND(Sheet1[[#This Row],[wat_bas_n]],0)</f>
        <v>92</v>
      </c>
      <c r="W55">
        <f>ROUND(Sheet1[[#This Row],[wat_bas_r]],0)</f>
        <v>79</v>
      </c>
      <c r="X55">
        <f>ROUND(Sheet1[[#This Row],[wat_bas_u]],0)</f>
        <v>98</v>
      </c>
      <c r="Y55" s="1" t="str">
        <f>IF(AND(COUNTIFS($A:$A,A55)&gt;1, COUNTIFS($A:$A,A55,$E:$E,"&gt;99")=COUNTIFS($A:$A,A55)), "full access", "not full access")</f>
        <v>not full access</v>
      </c>
      <c r="Z55" s="1" t="str">
        <f>IF(AND(COUNTIFS($A:$A,A55)&gt;1, COUNTIFS($A:$A,A55,$I:$I,"&gt;99")=COUNTIFS($A:$A,A55)), "full access", "not full access")</f>
        <v>not full access</v>
      </c>
      <c r="AA55" s="1" t="str">
        <f t="shared" si="0"/>
        <v>not full access</v>
      </c>
    </row>
    <row r="56" spans="1:27" hidden="1" x14ac:dyDescent="0.25">
      <c r="A56" s="1" t="s">
        <v>96</v>
      </c>
      <c r="B56">
        <v>2015</v>
      </c>
      <c r="C56">
        <v>204471.76560000001</v>
      </c>
      <c r="D56">
        <v>85.770004270000001</v>
      </c>
      <c r="E56">
        <v>97.80356759</v>
      </c>
      <c r="F56">
        <v>0.57950002290000002</v>
      </c>
      <c r="G56">
        <v>0.47496570910000002</v>
      </c>
      <c r="H56">
        <v>1.141966676</v>
      </c>
      <c r="I56">
        <v>88.756028180000001</v>
      </c>
      <c r="J56">
        <v>2.8537735780000002</v>
      </c>
      <c r="K56">
        <v>0.36513423810000001</v>
      </c>
      <c r="L56">
        <v>8.0250640079999993</v>
      </c>
      <c r="M56">
        <v>99.304631020000002</v>
      </c>
      <c r="N56">
        <v>0.20217793440000001</v>
      </c>
      <c r="O56">
        <v>0.49319104540000003</v>
      </c>
      <c r="P56">
        <v>0</v>
      </c>
      <c r="U56">
        <f>ABS(Sheet1[[#This Row],[ARC_r]]-Sheet1[[#This Row],[ARC_u]])</f>
        <v>0</v>
      </c>
      <c r="V56">
        <f>ROUND(Sheet1[[#This Row],[wat_bas_n]],0)</f>
        <v>98</v>
      </c>
      <c r="W56">
        <f>ROUND(Sheet1[[#This Row],[wat_bas_r]],0)</f>
        <v>89</v>
      </c>
      <c r="X56">
        <f>ROUND(Sheet1[[#This Row],[wat_bas_u]],0)</f>
        <v>99</v>
      </c>
      <c r="Y56" s="1" t="str">
        <f>IF(AND(COUNTIFS($A:$A,A56)&gt;1, COUNTIFS($A:$A,A56,$E:$E,"&gt;99")=COUNTIFS($A:$A,A56)), "full access", "not full access")</f>
        <v>not full access</v>
      </c>
      <c r="Z56" s="1" t="str">
        <f>IF(AND(COUNTIFS($A:$A,A56)&gt;1, COUNTIFS($A:$A,A56,$I:$I,"&gt;99")=COUNTIFS($A:$A,A56)), "full access", "not full access")</f>
        <v>not full access</v>
      </c>
      <c r="AA56" s="1" t="str">
        <f t="shared" si="0"/>
        <v>full access</v>
      </c>
    </row>
    <row r="57" spans="1:27" hidden="1" x14ac:dyDescent="0.25">
      <c r="A57" s="1" t="s">
        <v>96</v>
      </c>
      <c r="B57">
        <v>2020</v>
      </c>
      <c r="C57">
        <v>212559.4063</v>
      </c>
      <c r="D57">
        <v>87.072998049999995</v>
      </c>
      <c r="E57">
        <v>99.320852990000006</v>
      </c>
      <c r="F57">
        <v>0.12654900390000001</v>
      </c>
      <c r="G57">
        <v>0.55259800989999996</v>
      </c>
      <c r="I57">
        <v>95.945259530000001</v>
      </c>
      <c r="J57">
        <v>0.97895091540000001</v>
      </c>
      <c r="K57">
        <v>3.0757895510000002</v>
      </c>
      <c r="M57">
        <v>99.822001310000005</v>
      </c>
      <c r="N57">
        <v>0</v>
      </c>
      <c r="O57">
        <v>0.1779986949</v>
      </c>
      <c r="P57">
        <v>0</v>
      </c>
      <c r="Q57">
        <v>5</v>
      </c>
      <c r="R57">
        <v>0.30345708000000121</v>
      </c>
      <c r="S57">
        <v>1.4378462700000001</v>
      </c>
      <c r="T57">
        <v>0.10347405800000049</v>
      </c>
      <c r="U57">
        <f>ABS(Sheet1[[#This Row],[ARC_r]]-Sheet1[[#This Row],[ARC_u]])</f>
        <v>1.3343722119999997</v>
      </c>
      <c r="V57">
        <f>ROUND(Sheet1[[#This Row],[wat_bas_n]],0)</f>
        <v>99</v>
      </c>
      <c r="W57">
        <f>ROUND(Sheet1[[#This Row],[wat_bas_r]],0)</f>
        <v>96</v>
      </c>
      <c r="X57">
        <f>ROUND(Sheet1[[#This Row],[wat_bas_u]],0)</f>
        <v>100</v>
      </c>
      <c r="Y57" s="1" t="str">
        <f>IF(AND(COUNTIFS($A:$A,A57)&gt;1, COUNTIFS($A:$A,A57,$E:$E,"&gt;99")=COUNTIFS($A:$A,A57)), "full access", "not full access")</f>
        <v>not full access</v>
      </c>
      <c r="Z57" s="1" t="str">
        <f>IF(AND(COUNTIFS($A:$A,A57)&gt;1, COUNTIFS($A:$A,A57,$I:$I,"&gt;99")=COUNTIFS($A:$A,A57)), "full access", "not full access")</f>
        <v>not full access</v>
      </c>
      <c r="AA57" s="1" t="str">
        <f t="shared" si="0"/>
        <v>full access</v>
      </c>
    </row>
    <row r="58" spans="1:27" x14ac:dyDescent="0.25">
      <c r="A58" s="1" t="s">
        <v>75</v>
      </c>
      <c r="B58">
        <v>2015</v>
      </c>
      <c r="C58">
        <v>29.148000719999999</v>
      </c>
      <c r="D58">
        <v>46.583000179999999</v>
      </c>
      <c r="E58">
        <v>99.864383559999993</v>
      </c>
      <c r="F58">
        <v>0</v>
      </c>
      <c r="G58">
        <v>0.13561643840000001</v>
      </c>
      <c r="H58">
        <v>0</v>
      </c>
      <c r="U58">
        <f>ABS(Sheet1[[#This Row],[ARC_r]]-Sheet1[[#This Row],[ARC_u]])</f>
        <v>0</v>
      </c>
      <c r="V58">
        <f>ROUND(Sheet1[[#This Row],[wat_bas_n]],0)</f>
        <v>100</v>
      </c>
      <c r="W58">
        <f>ROUND(Sheet1[[#This Row],[wat_bas_r]],0)</f>
        <v>0</v>
      </c>
      <c r="X58">
        <f>ROUND(Sheet1[[#This Row],[wat_bas_u]],0)</f>
        <v>0</v>
      </c>
      <c r="Y58" s="1" t="str">
        <f>IF(AND(COUNTIFS($A:$A,A58)&gt;1, COUNTIFS($A:$A,A58,$E:$E,"&gt;99")=COUNTIFS($A:$A,A58)), "full access", "not full access")</f>
        <v>full access</v>
      </c>
      <c r="Z58" s="1" t="str">
        <f>IF(AND(COUNTIFS($A:$A,A58)&gt;1, COUNTIFS($A:$A,A58,$I:$I,"&gt;99")=COUNTIFS($A:$A,A58)), "full access", "not full access")</f>
        <v>not full access</v>
      </c>
      <c r="AA58" s="1" t="str">
        <f t="shared" si="0"/>
        <v>not full access</v>
      </c>
    </row>
    <row r="59" spans="1:27" x14ac:dyDescent="0.25">
      <c r="A59" s="1" t="s">
        <v>75</v>
      </c>
      <c r="B59">
        <v>2020</v>
      </c>
      <c r="C59">
        <v>30.23699951</v>
      </c>
      <c r="D59">
        <v>48.51499939</v>
      </c>
      <c r="E59">
        <v>99.864383559999993</v>
      </c>
      <c r="F59">
        <v>0</v>
      </c>
      <c r="G59">
        <v>0.13561643840000001</v>
      </c>
      <c r="H59">
        <v>0</v>
      </c>
      <c r="Q59">
        <v>5</v>
      </c>
      <c r="R59">
        <v>0</v>
      </c>
      <c r="U59">
        <f>ABS(Sheet1[[#This Row],[ARC_r]]-Sheet1[[#This Row],[ARC_u]])</f>
        <v>0</v>
      </c>
      <c r="V59">
        <f>ROUND(Sheet1[[#This Row],[wat_bas_n]],0)</f>
        <v>100</v>
      </c>
      <c r="W59">
        <f>ROUND(Sheet1[[#This Row],[wat_bas_r]],0)</f>
        <v>0</v>
      </c>
      <c r="X59">
        <f>ROUND(Sheet1[[#This Row],[wat_bas_u]],0)</f>
        <v>0</v>
      </c>
      <c r="Y59" s="1" t="str">
        <f>IF(AND(COUNTIFS($A:$A,A59)&gt;1, COUNTIFS($A:$A,A59,$E:$E,"&gt;99")=COUNTIFS($A:$A,A59)), "full access", "not full access")</f>
        <v>full access</v>
      </c>
      <c r="Z59" s="1" t="str">
        <f>IF(AND(COUNTIFS($A:$A,A59)&gt;1, COUNTIFS($A:$A,A59,$I:$I,"&gt;99")=COUNTIFS($A:$A,A59)), "full access", "not full access")</f>
        <v>not full access</v>
      </c>
      <c r="AA59" s="1" t="str">
        <f t="shared" si="0"/>
        <v>not full access</v>
      </c>
    </row>
    <row r="60" spans="1:27" x14ac:dyDescent="0.25">
      <c r="A60" s="1" t="s">
        <v>70</v>
      </c>
      <c r="B60">
        <v>2015</v>
      </c>
      <c r="C60">
        <v>414.91400149999998</v>
      </c>
      <c r="D60">
        <v>76.662994380000001</v>
      </c>
      <c r="E60">
        <v>99.509976159999994</v>
      </c>
      <c r="F60">
        <v>0</v>
      </c>
      <c r="G60">
        <v>0.39667583379999999</v>
      </c>
      <c r="H60">
        <v>9.3348002949999995E-2</v>
      </c>
      <c r="I60">
        <v>99.05</v>
      </c>
      <c r="J60">
        <v>0</v>
      </c>
      <c r="K60">
        <v>0.55000000000000004</v>
      </c>
      <c r="L60">
        <v>0.4</v>
      </c>
      <c r="M60">
        <v>99.65</v>
      </c>
      <c r="N60">
        <v>0</v>
      </c>
      <c r="O60">
        <v>0.35</v>
      </c>
      <c r="P60">
        <v>0</v>
      </c>
      <c r="U60">
        <f>ABS(Sheet1[[#This Row],[ARC_r]]-Sheet1[[#This Row],[ARC_u]])</f>
        <v>0</v>
      </c>
      <c r="V60">
        <f>ROUND(Sheet1[[#This Row],[wat_bas_n]],0)</f>
        <v>100</v>
      </c>
      <c r="W60">
        <f>ROUND(Sheet1[[#This Row],[wat_bas_r]],0)</f>
        <v>99</v>
      </c>
      <c r="X60">
        <f>ROUND(Sheet1[[#This Row],[wat_bas_u]],0)</f>
        <v>100</v>
      </c>
      <c r="Y60" s="1" t="str">
        <f>IF(AND(COUNTIFS($A:$A,A60)&gt;1, COUNTIFS($A:$A,A60,$E:$E,"&gt;99")=COUNTIFS($A:$A,A60)), "full access", "not full access")</f>
        <v>full access</v>
      </c>
      <c r="Z60" s="1" t="str">
        <f>IF(AND(COUNTIFS($A:$A,A60)&gt;1, COUNTIFS($A:$A,A60,$I:$I,"&gt;99")=COUNTIFS($A:$A,A60)), "full access", "not full access")</f>
        <v>not full access</v>
      </c>
      <c r="AA60" s="1" t="str">
        <f t="shared" si="0"/>
        <v>full access</v>
      </c>
    </row>
    <row r="61" spans="1:27" x14ac:dyDescent="0.25">
      <c r="A61" s="1" t="s">
        <v>70</v>
      </c>
      <c r="B61">
        <v>2020</v>
      </c>
      <c r="C61">
        <v>437.48300169999999</v>
      </c>
      <c r="D61">
        <v>78.250007629999999</v>
      </c>
      <c r="E61">
        <v>99.900036799999995</v>
      </c>
      <c r="F61">
        <v>0</v>
      </c>
      <c r="G61">
        <v>9.9963200360000004E-2</v>
      </c>
      <c r="H61">
        <v>0</v>
      </c>
      <c r="M61">
        <v>99.65</v>
      </c>
      <c r="N61">
        <v>0</v>
      </c>
      <c r="O61">
        <v>0.35</v>
      </c>
      <c r="P61">
        <v>0</v>
      </c>
      <c r="Q61">
        <v>5</v>
      </c>
      <c r="R61">
        <v>7.8012128000000305E-2</v>
      </c>
      <c r="T61">
        <v>0</v>
      </c>
      <c r="U61">
        <f>ABS(Sheet1[[#This Row],[ARC_r]]-Sheet1[[#This Row],[ARC_u]])</f>
        <v>0</v>
      </c>
      <c r="V61">
        <f>ROUND(Sheet1[[#This Row],[wat_bas_n]],0)</f>
        <v>100</v>
      </c>
      <c r="W61">
        <f>ROUND(Sheet1[[#This Row],[wat_bas_r]],0)</f>
        <v>0</v>
      </c>
      <c r="X61">
        <f>ROUND(Sheet1[[#This Row],[wat_bas_u]],0)</f>
        <v>100</v>
      </c>
      <c r="Y61" s="1" t="str">
        <f>IF(AND(COUNTIFS($A:$A,A61)&gt;1, COUNTIFS($A:$A,A61,$E:$E,"&gt;99")=COUNTIFS($A:$A,A61)), "full access", "not full access")</f>
        <v>full access</v>
      </c>
      <c r="Z61" s="1" t="str">
        <f>IF(AND(COUNTIFS($A:$A,A61)&gt;1, COUNTIFS($A:$A,A61,$I:$I,"&gt;99")=COUNTIFS($A:$A,A61)), "full access", "not full access")</f>
        <v>not full access</v>
      </c>
      <c r="AA61" s="1" t="str">
        <f t="shared" si="0"/>
        <v>full access</v>
      </c>
    </row>
    <row r="62" spans="1:27" x14ac:dyDescent="0.25">
      <c r="A62" s="1" t="s">
        <v>99</v>
      </c>
      <c r="B62">
        <v>2015</v>
      </c>
      <c r="C62">
        <v>7199.7387699999999</v>
      </c>
      <c r="D62">
        <v>73.989997860000003</v>
      </c>
      <c r="E62">
        <v>99.196327310000001</v>
      </c>
      <c r="F62">
        <v>0</v>
      </c>
      <c r="G62">
        <v>0.80367269050000001</v>
      </c>
      <c r="H62">
        <v>0</v>
      </c>
      <c r="I62">
        <v>98.016140340000007</v>
      </c>
      <c r="J62">
        <v>0</v>
      </c>
      <c r="K62">
        <v>1.98385966</v>
      </c>
      <c r="L62">
        <v>0</v>
      </c>
      <c r="M62">
        <v>99.611207719999996</v>
      </c>
      <c r="N62">
        <v>0</v>
      </c>
      <c r="O62">
        <v>0.3887922761</v>
      </c>
      <c r="P62">
        <v>0</v>
      </c>
      <c r="U62">
        <f>ABS(Sheet1[[#This Row],[ARC_r]]-Sheet1[[#This Row],[ARC_u]])</f>
        <v>0</v>
      </c>
      <c r="V62">
        <f>ROUND(Sheet1[[#This Row],[wat_bas_n]],0)</f>
        <v>99</v>
      </c>
      <c r="W62">
        <f>ROUND(Sheet1[[#This Row],[wat_bas_r]],0)</f>
        <v>98</v>
      </c>
      <c r="X62">
        <f>ROUND(Sheet1[[#This Row],[wat_bas_u]],0)</f>
        <v>100</v>
      </c>
      <c r="Y62" s="1" t="str">
        <f>IF(AND(COUNTIFS($A:$A,A62)&gt;1, COUNTIFS($A:$A,A62,$E:$E,"&gt;99")=COUNTIFS($A:$A,A62)), "full access", "not full access")</f>
        <v>full access</v>
      </c>
      <c r="Z62" s="1" t="str">
        <f>IF(AND(COUNTIFS($A:$A,A62)&gt;1, COUNTIFS($A:$A,A62,$I:$I,"&gt;99")=COUNTIFS($A:$A,A62)), "full access", "not full access")</f>
        <v>not full access</v>
      </c>
      <c r="AA62" s="1" t="str">
        <f t="shared" si="0"/>
        <v>full access</v>
      </c>
    </row>
    <row r="63" spans="1:27" x14ac:dyDescent="0.25">
      <c r="A63" s="1" t="s">
        <v>99</v>
      </c>
      <c r="B63">
        <v>2020</v>
      </c>
      <c r="C63">
        <v>6948.4448240000002</v>
      </c>
      <c r="D63">
        <v>75.685997009999994</v>
      </c>
      <c r="E63">
        <v>99.011416940000004</v>
      </c>
      <c r="F63">
        <v>0</v>
      </c>
      <c r="G63">
        <v>0.98858306070000002</v>
      </c>
      <c r="H63">
        <v>0</v>
      </c>
      <c r="I63">
        <v>97.401287969999998</v>
      </c>
      <c r="J63">
        <v>0</v>
      </c>
      <c r="K63">
        <v>2.5987120309999998</v>
      </c>
      <c r="L63">
        <v>0</v>
      </c>
      <c r="M63">
        <v>99.528670399999996</v>
      </c>
      <c r="N63">
        <v>0</v>
      </c>
      <c r="O63">
        <v>0.47132960070000002</v>
      </c>
      <c r="P63">
        <v>0</v>
      </c>
      <c r="Q63">
        <v>5</v>
      </c>
      <c r="R63">
        <v>-3.6982073999999442E-2</v>
      </c>
      <c r="S63">
        <v>-0.1229704740000017</v>
      </c>
      <c r="T63">
        <v>-1.6507464000000031E-2</v>
      </c>
      <c r="U63">
        <f>ABS(Sheet1[[#This Row],[ARC_r]]-Sheet1[[#This Row],[ARC_u]])</f>
        <v>0.10646301000000168</v>
      </c>
      <c r="V63">
        <f>ROUND(Sheet1[[#This Row],[wat_bas_n]],0)</f>
        <v>99</v>
      </c>
      <c r="W63">
        <f>ROUND(Sheet1[[#This Row],[wat_bas_r]],0)</f>
        <v>97</v>
      </c>
      <c r="X63">
        <f>ROUND(Sheet1[[#This Row],[wat_bas_u]],0)</f>
        <v>100</v>
      </c>
      <c r="Y63" s="1" t="str">
        <f>IF(AND(COUNTIFS($A:$A,A63)&gt;1, COUNTIFS($A:$A,A63,$E:$E,"&gt;99")=COUNTIFS($A:$A,A63)), "full access", "not full access")</f>
        <v>full access</v>
      </c>
      <c r="Z63" s="1" t="str">
        <f>IF(AND(COUNTIFS($A:$A,A63)&gt;1, COUNTIFS($A:$A,A63,$I:$I,"&gt;99")=COUNTIFS($A:$A,A63)), "full access", "not full access")</f>
        <v>not full access</v>
      </c>
      <c r="AA63" s="1" t="str">
        <f t="shared" si="0"/>
        <v>full access</v>
      </c>
    </row>
    <row r="64" spans="1:27" hidden="1" x14ac:dyDescent="0.25">
      <c r="A64" s="1" t="s">
        <v>239</v>
      </c>
      <c r="B64">
        <v>2015</v>
      </c>
      <c r="C64">
        <v>18110.615229999999</v>
      </c>
      <c r="D64">
        <v>27.530000690000001</v>
      </c>
      <c r="E64">
        <v>50.137131089999997</v>
      </c>
      <c r="F64">
        <v>25.67354095</v>
      </c>
      <c r="G64">
        <v>22.430178909999999</v>
      </c>
      <c r="H64">
        <v>1.7591490430000001</v>
      </c>
      <c r="I64">
        <v>38.855163699999999</v>
      </c>
      <c r="J64">
        <v>30.202184890000002</v>
      </c>
      <c r="K64">
        <v>28.648694299999999</v>
      </c>
      <c r="L64">
        <v>2.2939571060000001</v>
      </c>
      <c r="M64">
        <v>79.835792159999997</v>
      </c>
      <c r="N64">
        <v>13.75233459</v>
      </c>
      <c r="O64">
        <v>6.0605534319999999</v>
      </c>
      <c r="P64">
        <v>0.35131981779999999</v>
      </c>
      <c r="U64">
        <f>ABS(Sheet1[[#This Row],[ARC_r]]-Sheet1[[#This Row],[ARC_u]])</f>
        <v>0</v>
      </c>
      <c r="V64">
        <f>ROUND(Sheet1[[#This Row],[wat_bas_n]],0)</f>
        <v>50</v>
      </c>
      <c r="W64">
        <f>ROUND(Sheet1[[#This Row],[wat_bas_r]],0)</f>
        <v>39</v>
      </c>
      <c r="X64">
        <f>ROUND(Sheet1[[#This Row],[wat_bas_u]],0)</f>
        <v>80</v>
      </c>
      <c r="Y64" s="1" t="str">
        <f>IF(AND(COUNTIFS($A:$A,A64)&gt;1, COUNTIFS($A:$A,A64,$E:$E,"&gt;99")=COUNTIFS($A:$A,A64)), "full access", "not full access")</f>
        <v>not full access</v>
      </c>
      <c r="Z64" s="1" t="str">
        <f>IF(AND(COUNTIFS($A:$A,A64)&gt;1, COUNTIFS($A:$A,A64,$I:$I,"&gt;99")=COUNTIFS($A:$A,A64)), "full access", "not full access")</f>
        <v>not full access</v>
      </c>
      <c r="AA64" s="1" t="str">
        <f t="shared" si="0"/>
        <v>not full access</v>
      </c>
    </row>
    <row r="65" spans="1:27" hidden="1" x14ac:dyDescent="0.25">
      <c r="A65" s="1" t="s">
        <v>239</v>
      </c>
      <c r="B65">
        <v>2020</v>
      </c>
      <c r="C65">
        <v>20903.277340000001</v>
      </c>
      <c r="D65">
        <v>30.60700035</v>
      </c>
      <c r="E65">
        <v>47.214854459999998</v>
      </c>
      <c r="F65">
        <v>31.2730034</v>
      </c>
      <c r="G65">
        <v>21.15863263</v>
      </c>
      <c r="H65">
        <v>0.35350950240000001</v>
      </c>
      <c r="I65">
        <v>32.718258900000002</v>
      </c>
      <c r="J65">
        <v>38.626902540000003</v>
      </c>
      <c r="K65">
        <v>28.3404457</v>
      </c>
      <c r="L65">
        <v>0.31439286259999999</v>
      </c>
      <c r="M65">
        <v>80.081918540000004</v>
      </c>
      <c r="N65">
        <v>14.60004919</v>
      </c>
      <c r="O65">
        <v>4.8758364869999999</v>
      </c>
      <c r="P65">
        <v>0.44219578050000002</v>
      </c>
      <c r="Q65">
        <v>5</v>
      </c>
      <c r="R65">
        <v>-0.58445532599999983</v>
      </c>
      <c r="S65">
        <v>-1.227380959999999</v>
      </c>
      <c r="T65">
        <v>4.9225276000001372E-2</v>
      </c>
      <c r="U65">
        <f>ABS(Sheet1[[#This Row],[ARC_r]]-Sheet1[[#This Row],[ARC_u]])</f>
        <v>1.2766062360000003</v>
      </c>
      <c r="V65">
        <f>ROUND(Sheet1[[#This Row],[wat_bas_n]],0)</f>
        <v>47</v>
      </c>
      <c r="W65">
        <f>ROUND(Sheet1[[#This Row],[wat_bas_r]],0)</f>
        <v>33</v>
      </c>
      <c r="X65">
        <f>ROUND(Sheet1[[#This Row],[wat_bas_u]],0)</f>
        <v>80</v>
      </c>
      <c r="Y65" s="1" t="str">
        <f>IF(AND(COUNTIFS($A:$A,A65)&gt;1, COUNTIFS($A:$A,A65,$E:$E,"&gt;99")=COUNTIFS($A:$A,A65)), "full access", "not full access")</f>
        <v>not full access</v>
      </c>
      <c r="Z65" s="1" t="str">
        <f>IF(AND(COUNTIFS($A:$A,A65)&gt;1, COUNTIFS($A:$A,A65,$I:$I,"&gt;99")=COUNTIFS($A:$A,A65)), "full access", "not full access")</f>
        <v>not full access</v>
      </c>
      <c r="AA65" s="1" t="str">
        <f t="shared" si="0"/>
        <v>not full access</v>
      </c>
    </row>
    <row r="66" spans="1:27" hidden="1" x14ac:dyDescent="0.25">
      <c r="A66" s="1" t="s">
        <v>227</v>
      </c>
      <c r="B66">
        <v>2015</v>
      </c>
      <c r="C66">
        <v>10160.034180000001</v>
      </c>
      <c r="D66">
        <v>12.07800007</v>
      </c>
      <c r="E66">
        <v>59.581469249999998</v>
      </c>
      <c r="F66">
        <v>19.538891840000002</v>
      </c>
      <c r="G66">
        <v>14.864992579999999</v>
      </c>
      <c r="H66">
        <v>6.0146463399999996</v>
      </c>
      <c r="I66">
        <v>55.55826691</v>
      </c>
      <c r="J66">
        <v>21.166795570000001</v>
      </c>
      <c r="K66">
        <v>16.594144570000001</v>
      </c>
      <c r="L66">
        <v>6.6807929509999999</v>
      </c>
      <c r="M66">
        <v>88.868437589999999</v>
      </c>
      <c r="N66">
        <v>7.6885395340000002</v>
      </c>
      <c r="O66">
        <v>2.2776018659999999</v>
      </c>
      <c r="P66">
        <v>1.1654210119999999</v>
      </c>
      <c r="U66">
        <f>ABS(Sheet1[[#This Row],[ARC_r]]-Sheet1[[#This Row],[ARC_u]])</f>
        <v>0</v>
      </c>
      <c r="V66">
        <f>ROUND(Sheet1[[#This Row],[wat_bas_n]],0)</f>
        <v>60</v>
      </c>
      <c r="W66">
        <f>ROUND(Sheet1[[#This Row],[wat_bas_r]],0)</f>
        <v>56</v>
      </c>
      <c r="X66">
        <f>ROUND(Sheet1[[#This Row],[wat_bas_u]],0)</f>
        <v>89</v>
      </c>
      <c r="Y66" s="1" t="str">
        <f t="shared" ref="Y66:Y129" si="1">IF(AND(COUNTIFS($A:$A,A66)&gt;1, COUNTIFS($A:$A,A66,$E:$E,"&gt;99")=COUNTIFS($A:$A,A66)), "full access", "not full access")</f>
        <v>not full access</v>
      </c>
      <c r="Z66" s="1" t="str">
        <f t="shared" ref="Z66:Z129" si="2">IF(AND(COUNTIFS($A:$A,A66)&gt;1, COUNTIFS($A:$A,A66,$I:$I,"&gt;99")=COUNTIFS($A:$A,A66)), "full access", "not full access")</f>
        <v>not full access</v>
      </c>
      <c r="AA66" s="1" t="str">
        <f t="shared" ref="AA66:AA129" si="3">IF(AND(COUNTIFS($A:$A,A66)&gt;1, COUNTIFS($A:$A,A66,$M:$M,"&gt;99")=COUNTIFS($A:$A,A66)), "full access", "not full access")</f>
        <v>not full access</v>
      </c>
    </row>
    <row r="67" spans="1:27" hidden="1" x14ac:dyDescent="0.25">
      <c r="A67" s="1" t="s">
        <v>227</v>
      </c>
      <c r="B67">
        <v>2020</v>
      </c>
      <c r="C67">
        <v>11890.78125</v>
      </c>
      <c r="D67">
        <v>13.708000180000001</v>
      </c>
      <c r="E67">
        <v>62.207122249999998</v>
      </c>
      <c r="F67">
        <v>19.439693139999999</v>
      </c>
      <c r="G67">
        <v>14.758259689999999</v>
      </c>
      <c r="H67">
        <v>3.5949249129999998</v>
      </c>
      <c r="I67">
        <v>57.685765269999997</v>
      </c>
      <c r="J67">
        <v>21.251482129999999</v>
      </c>
      <c r="K67">
        <v>16.896752379999999</v>
      </c>
      <c r="L67">
        <v>4.1660002189999998</v>
      </c>
      <c r="M67">
        <v>90.669110860000004</v>
      </c>
      <c r="N67">
        <v>8.0344628690000004</v>
      </c>
      <c r="O67">
        <v>1.2964262689999999</v>
      </c>
      <c r="P67">
        <v>0</v>
      </c>
      <c r="Q67">
        <v>5</v>
      </c>
      <c r="R67">
        <v>0.5251306</v>
      </c>
      <c r="S67">
        <v>0.42549967199999938</v>
      </c>
      <c r="T67">
        <v>0.36013465400000089</v>
      </c>
      <c r="U67">
        <f>ABS(Sheet1[[#This Row],[ARC_r]]-Sheet1[[#This Row],[ARC_u]])</f>
        <v>6.5365017999998498E-2</v>
      </c>
      <c r="V67">
        <f>ROUND(Sheet1[[#This Row],[wat_bas_n]],0)</f>
        <v>62</v>
      </c>
      <c r="W67">
        <f>ROUND(Sheet1[[#This Row],[wat_bas_r]],0)</f>
        <v>58</v>
      </c>
      <c r="X67">
        <f>ROUND(Sheet1[[#This Row],[wat_bas_u]],0)</f>
        <v>91</v>
      </c>
      <c r="Y67" s="1" t="str">
        <f t="shared" si="1"/>
        <v>not full access</v>
      </c>
      <c r="Z67" s="1" t="str">
        <f t="shared" si="2"/>
        <v>not full access</v>
      </c>
      <c r="AA67" s="1" t="str">
        <f t="shared" si="3"/>
        <v>not full access</v>
      </c>
    </row>
    <row r="68" spans="1:27" hidden="1" x14ac:dyDescent="0.25">
      <c r="A68" s="1" t="s">
        <v>187</v>
      </c>
      <c r="B68">
        <v>2015</v>
      </c>
      <c r="C68">
        <v>524.73999019999997</v>
      </c>
      <c r="D68">
        <v>64.299995420000002</v>
      </c>
      <c r="E68">
        <v>85.443342369999996</v>
      </c>
      <c r="F68">
        <v>10.253077619999999</v>
      </c>
      <c r="G68">
        <v>4.1519483189999997</v>
      </c>
      <c r="H68">
        <v>0.15163169109999999</v>
      </c>
      <c r="I68">
        <v>72.832314109999999</v>
      </c>
      <c r="J68">
        <v>16.379794579999999</v>
      </c>
      <c r="K68">
        <v>10.436760769999999</v>
      </c>
      <c r="L68">
        <v>0.35113053970000002</v>
      </c>
      <c r="M68">
        <v>92.445114509999996</v>
      </c>
      <c r="N68">
        <v>6.8514639109999997</v>
      </c>
      <c r="O68">
        <v>0.66255362809999996</v>
      </c>
      <c r="P68">
        <v>4.0867953800000002E-2</v>
      </c>
      <c r="U68">
        <f>ABS(Sheet1[[#This Row],[ARC_r]]-Sheet1[[#This Row],[ARC_u]])</f>
        <v>0</v>
      </c>
      <c r="V68">
        <f>ROUND(Sheet1[[#This Row],[wat_bas_n]],0)</f>
        <v>85</v>
      </c>
      <c r="W68">
        <f>ROUND(Sheet1[[#This Row],[wat_bas_r]],0)</f>
        <v>73</v>
      </c>
      <c r="X68">
        <f>ROUND(Sheet1[[#This Row],[wat_bas_u]],0)</f>
        <v>92</v>
      </c>
      <c r="Y68" s="1" t="str">
        <f t="shared" si="1"/>
        <v>not full access</v>
      </c>
      <c r="Z68" s="1" t="str">
        <f t="shared" si="2"/>
        <v>not full access</v>
      </c>
      <c r="AA68" s="1" t="str">
        <f t="shared" si="3"/>
        <v>not full access</v>
      </c>
    </row>
    <row r="69" spans="1:27" hidden="1" x14ac:dyDescent="0.25">
      <c r="A69" s="1" t="s">
        <v>187</v>
      </c>
      <c r="B69">
        <v>2020</v>
      </c>
      <c r="C69">
        <v>555.98797609999997</v>
      </c>
      <c r="D69">
        <v>66.652000430000001</v>
      </c>
      <c r="E69">
        <v>88.769606420000002</v>
      </c>
      <c r="F69">
        <v>7.9041508460000003</v>
      </c>
      <c r="G69">
        <v>3.2091477159999999</v>
      </c>
      <c r="H69">
        <v>0.1170950144</v>
      </c>
      <c r="I69">
        <v>80.114525439999994</v>
      </c>
      <c r="J69">
        <v>9.9111270220000005</v>
      </c>
      <c r="K69">
        <v>9.6232170030000006</v>
      </c>
      <c r="L69">
        <v>0.35113053970000002</v>
      </c>
      <c r="M69">
        <v>93.1</v>
      </c>
      <c r="N69">
        <v>6.9</v>
      </c>
      <c r="O69">
        <v>0</v>
      </c>
      <c r="P69">
        <v>0</v>
      </c>
      <c r="Q69">
        <v>5</v>
      </c>
      <c r="R69">
        <v>0.66525281000000125</v>
      </c>
      <c r="S69">
        <v>1.4564422659999989</v>
      </c>
      <c r="T69">
        <v>0.1309770979999996</v>
      </c>
      <c r="U69">
        <f>ABS(Sheet1[[#This Row],[ARC_r]]-Sheet1[[#This Row],[ARC_u]])</f>
        <v>1.3254651679999994</v>
      </c>
      <c r="V69">
        <f>ROUND(Sheet1[[#This Row],[wat_bas_n]],0)</f>
        <v>89</v>
      </c>
      <c r="W69">
        <f>ROUND(Sheet1[[#This Row],[wat_bas_r]],0)</f>
        <v>80</v>
      </c>
      <c r="X69">
        <f>ROUND(Sheet1[[#This Row],[wat_bas_u]],0)</f>
        <v>93</v>
      </c>
      <c r="Y69" s="1" t="str">
        <f t="shared" si="1"/>
        <v>not full access</v>
      </c>
      <c r="Z69" s="1" t="str">
        <f t="shared" si="2"/>
        <v>not full access</v>
      </c>
      <c r="AA69" s="1" t="str">
        <f t="shared" si="3"/>
        <v>not full access</v>
      </c>
    </row>
    <row r="70" spans="1:27" hidden="1" x14ac:dyDescent="0.25">
      <c r="A70" s="1" t="s">
        <v>212</v>
      </c>
      <c r="B70">
        <v>2015</v>
      </c>
      <c r="C70">
        <v>15521.434569999999</v>
      </c>
      <c r="D70">
        <v>22.187999730000001</v>
      </c>
      <c r="E70">
        <v>68.443848959999997</v>
      </c>
      <c r="F70">
        <v>8.6032481930000007</v>
      </c>
      <c r="G70">
        <v>9.6029948170000008</v>
      </c>
      <c r="H70">
        <v>13.34990803</v>
      </c>
      <c r="I70">
        <v>62.711116680000003</v>
      </c>
      <c r="J70">
        <v>9.432045638</v>
      </c>
      <c r="K70">
        <v>11.750895959999999</v>
      </c>
      <c r="L70">
        <v>16.105941720000001</v>
      </c>
      <c r="M70">
        <v>88.548191439999997</v>
      </c>
      <c r="N70">
        <v>5.6967034720000003</v>
      </c>
      <c r="O70">
        <v>2.0704456869999999</v>
      </c>
      <c r="P70">
        <v>3.6846594000000001</v>
      </c>
      <c r="U70">
        <f>ABS(Sheet1[[#This Row],[ARC_r]]-Sheet1[[#This Row],[ARC_u]])</f>
        <v>0</v>
      </c>
      <c r="V70">
        <f>ROUND(Sheet1[[#This Row],[wat_bas_n]],0)</f>
        <v>68</v>
      </c>
      <c r="W70">
        <f>ROUND(Sheet1[[#This Row],[wat_bas_r]],0)</f>
        <v>63</v>
      </c>
      <c r="X70">
        <f>ROUND(Sheet1[[#This Row],[wat_bas_u]],0)</f>
        <v>89</v>
      </c>
      <c r="Y70" s="1" t="str">
        <f t="shared" si="1"/>
        <v>not full access</v>
      </c>
      <c r="Z70" s="1" t="str">
        <f t="shared" si="2"/>
        <v>not full access</v>
      </c>
      <c r="AA70" s="1" t="str">
        <f t="shared" si="3"/>
        <v>not full access</v>
      </c>
    </row>
    <row r="71" spans="1:27" hidden="1" x14ac:dyDescent="0.25">
      <c r="A71" s="1" t="s">
        <v>212</v>
      </c>
      <c r="B71">
        <v>2020</v>
      </c>
      <c r="C71">
        <v>16718.970700000002</v>
      </c>
      <c r="D71">
        <v>24.23200035</v>
      </c>
      <c r="E71">
        <v>71.219884969999995</v>
      </c>
      <c r="F71">
        <v>13.90222204</v>
      </c>
      <c r="G71">
        <v>5.6772185579999999</v>
      </c>
      <c r="H71">
        <v>9.2006744339999997</v>
      </c>
      <c r="I71">
        <v>65.067155830000004</v>
      </c>
      <c r="J71">
        <v>15.51772278</v>
      </c>
      <c r="K71">
        <v>7.4928993070000001</v>
      </c>
      <c r="L71">
        <v>11.92222209</v>
      </c>
      <c r="M71">
        <v>90.458077169999996</v>
      </c>
      <c r="N71">
        <v>8.8509147200000005</v>
      </c>
      <c r="O71">
        <v>0</v>
      </c>
      <c r="P71">
        <v>0.69100811439999998</v>
      </c>
      <c r="Q71">
        <v>5</v>
      </c>
      <c r="R71">
        <v>0.55520720199999973</v>
      </c>
      <c r="S71">
        <v>0.47120783000000022</v>
      </c>
      <c r="T71">
        <v>0.38197714599999982</v>
      </c>
      <c r="U71">
        <f>ABS(Sheet1[[#This Row],[ARC_r]]-Sheet1[[#This Row],[ARC_u]])</f>
        <v>8.9230684000000393E-2</v>
      </c>
      <c r="V71">
        <f>ROUND(Sheet1[[#This Row],[wat_bas_n]],0)</f>
        <v>71</v>
      </c>
      <c r="W71">
        <f>ROUND(Sheet1[[#This Row],[wat_bas_r]],0)</f>
        <v>65</v>
      </c>
      <c r="X71">
        <f>ROUND(Sheet1[[#This Row],[wat_bas_u]],0)</f>
        <v>90</v>
      </c>
      <c r="Y71" s="1" t="str">
        <f t="shared" si="1"/>
        <v>not full access</v>
      </c>
      <c r="Z71" s="1" t="str">
        <f t="shared" si="2"/>
        <v>not full access</v>
      </c>
      <c r="AA71" s="1" t="str">
        <f t="shared" si="3"/>
        <v>not full access</v>
      </c>
    </row>
    <row r="72" spans="1:27" hidden="1" x14ac:dyDescent="0.25">
      <c r="A72" s="1" t="s">
        <v>219</v>
      </c>
      <c r="B72">
        <v>2015</v>
      </c>
      <c r="C72">
        <v>23298.376950000002</v>
      </c>
      <c r="D72">
        <v>54.57799911</v>
      </c>
      <c r="E72">
        <v>63.973990120000003</v>
      </c>
      <c r="F72">
        <v>11.23827056</v>
      </c>
      <c r="G72">
        <v>17.651358330000001</v>
      </c>
      <c r="H72">
        <v>7.1363809839999996</v>
      </c>
      <c r="I72">
        <v>42.005669210000001</v>
      </c>
      <c r="J72">
        <v>11.073386409999999</v>
      </c>
      <c r="K72">
        <v>32.39404459</v>
      </c>
      <c r="L72">
        <v>14.52689979</v>
      </c>
      <c r="M72">
        <v>82.256907909999995</v>
      </c>
      <c r="N72">
        <v>11.37549377</v>
      </c>
      <c r="O72">
        <v>5.3819035130000001</v>
      </c>
      <c r="P72">
        <v>0.98569480279999999</v>
      </c>
      <c r="U72">
        <f>ABS(Sheet1[[#This Row],[ARC_r]]-Sheet1[[#This Row],[ARC_u]])</f>
        <v>0</v>
      </c>
      <c r="V72">
        <f>ROUND(Sheet1[[#This Row],[wat_bas_n]],0)</f>
        <v>64</v>
      </c>
      <c r="W72">
        <f>ROUND(Sheet1[[#This Row],[wat_bas_r]],0)</f>
        <v>42</v>
      </c>
      <c r="X72">
        <f>ROUND(Sheet1[[#This Row],[wat_bas_u]],0)</f>
        <v>82</v>
      </c>
      <c r="Y72" s="1" t="str">
        <f t="shared" si="1"/>
        <v>not full access</v>
      </c>
      <c r="Z72" s="1" t="str">
        <f t="shared" si="2"/>
        <v>not full access</v>
      </c>
      <c r="AA72" s="1" t="str">
        <f t="shared" si="3"/>
        <v>not full access</v>
      </c>
    </row>
    <row r="73" spans="1:27" hidden="1" x14ac:dyDescent="0.25">
      <c r="A73" s="1" t="s">
        <v>219</v>
      </c>
      <c r="B73">
        <v>2020</v>
      </c>
      <c r="C73">
        <v>26545.863280000001</v>
      </c>
      <c r="D73">
        <v>57.560005189999998</v>
      </c>
      <c r="E73">
        <v>65.720418179999996</v>
      </c>
      <c r="F73">
        <v>12.874748629999999</v>
      </c>
      <c r="G73">
        <v>15.00100626</v>
      </c>
      <c r="H73">
        <v>6.4038269269999999</v>
      </c>
      <c r="I73">
        <v>43.527581120000001</v>
      </c>
      <c r="J73">
        <v>12.67259943</v>
      </c>
      <c r="K73">
        <v>30.12380645</v>
      </c>
      <c r="L73">
        <v>13.676012999999999</v>
      </c>
      <c r="M73">
        <v>82.083584860000002</v>
      </c>
      <c r="N73">
        <v>13.023796770000001</v>
      </c>
      <c r="O73">
        <v>3.8507013510000001</v>
      </c>
      <c r="P73">
        <v>1.041917019</v>
      </c>
      <c r="Q73">
        <v>5</v>
      </c>
      <c r="R73">
        <v>0.34928561199999852</v>
      </c>
      <c r="S73">
        <v>0.30438238200000001</v>
      </c>
      <c r="T73">
        <v>-3.4664609999998673E-2</v>
      </c>
      <c r="U73">
        <f>ABS(Sheet1[[#This Row],[ARC_r]]-Sheet1[[#This Row],[ARC_u]])</f>
        <v>0.33904699199999866</v>
      </c>
      <c r="V73">
        <f>ROUND(Sheet1[[#This Row],[wat_bas_n]],0)</f>
        <v>66</v>
      </c>
      <c r="W73">
        <f>ROUND(Sheet1[[#This Row],[wat_bas_r]],0)</f>
        <v>44</v>
      </c>
      <c r="X73">
        <f>ROUND(Sheet1[[#This Row],[wat_bas_u]],0)</f>
        <v>82</v>
      </c>
      <c r="Y73" s="1" t="str">
        <f t="shared" si="1"/>
        <v>not full access</v>
      </c>
      <c r="Z73" s="1" t="str">
        <f t="shared" si="2"/>
        <v>not full access</v>
      </c>
      <c r="AA73" s="1" t="str">
        <f t="shared" si="3"/>
        <v>not full access</v>
      </c>
    </row>
    <row r="74" spans="1:27" x14ac:dyDescent="0.25">
      <c r="A74" s="1" t="s">
        <v>98</v>
      </c>
      <c r="B74">
        <v>2015</v>
      </c>
      <c r="C74">
        <v>36026.667970000002</v>
      </c>
      <c r="D74">
        <v>81.259002690000003</v>
      </c>
      <c r="E74">
        <v>99.229221390000006</v>
      </c>
      <c r="F74">
        <v>0</v>
      </c>
      <c r="G74">
        <v>0.77077860909999996</v>
      </c>
      <c r="H74">
        <v>0</v>
      </c>
      <c r="I74">
        <v>98.81619508</v>
      </c>
      <c r="J74">
        <v>0</v>
      </c>
      <c r="K74">
        <v>1.183804922</v>
      </c>
      <c r="L74">
        <v>0</v>
      </c>
      <c r="M74">
        <v>99.324478850000006</v>
      </c>
      <c r="N74">
        <v>0</v>
      </c>
      <c r="O74">
        <v>0.67552114730000001</v>
      </c>
      <c r="P74">
        <v>0</v>
      </c>
      <c r="U74">
        <f>ABS(Sheet1[[#This Row],[ARC_r]]-Sheet1[[#This Row],[ARC_u]])</f>
        <v>0</v>
      </c>
      <c r="V74">
        <f>ROUND(Sheet1[[#This Row],[wat_bas_n]],0)</f>
        <v>99</v>
      </c>
      <c r="W74">
        <f>ROUND(Sheet1[[#This Row],[wat_bas_r]],0)</f>
        <v>99</v>
      </c>
      <c r="X74">
        <f>ROUND(Sheet1[[#This Row],[wat_bas_u]],0)</f>
        <v>99</v>
      </c>
      <c r="Y74" s="1" t="str">
        <f t="shared" si="1"/>
        <v>full access</v>
      </c>
      <c r="Z74" s="1" t="str">
        <f t="shared" si="2"/>
        <v>not full access</v>
      </c>
      <c r="AA74" s="1" t="str">
        <f t="shared" si="3"/>
        <v>full access</v>
      </c>
    </row>
    <row r="75" spans="1:27" x14ac:dyDescent="0.25">
      <c r="A75" s="1" t="s">
        <v>98</v>
      </c>
      <c r="B75">
        <v>2020</v>
      </c>
      <c r="C75">
        <v>37742.15625</v>
      </c>
      <c r="D75">
        <v>81.562004090000002</v>
      </c>
      <c r="E75">
        <v>99.221810660000003</v>
      </c>
      <c r="F75">
        <v>0</v>
      </c>
      <c r="G75">
        <v>0.77818933690000003</v>
      </c>
      <c r="H75">
        <v>0</v>
      </c>
      <c r="I75">
        <v>99.060495900000006</v>
      </c>
      <c r="J75">
        <v>0</v>
      </c>
      <c r="K75">
        <v>0.9395041006</v>
      </c>
      <c r="L75">
        <v>0</v>
      </c>
      <c r="M75">
        <v>99.258277660000005</v>
      </c>
      <c r="N75">
        <v>0</v>
      </c>
      <c r="O75">
        <v>0.74172233710000002</v>
      </c>
      <c r="P75">
        <v>0</v>
      </c>
      <c r="Q75">
        <v>5</v>
      </c>
      <c r="R75">
        <v>-1.4821460000007389E-3</v>
      </c>
      <c r="S75">
        <v>4.8860164000001302E-2</v>
      </c>
      <c r="T75">
        <v>-1.3240238000000199E-2</v>
      </c>
      <c r="U75">
        <f>ABS(Sheet1[[#This Row],[ARC_r]]-Sheet1[[#This Row],[ARC_u]])</f>
        <v>6.2100402000001498E-2</v>
      </c>
      <c r="V75">
        <f>ROUND(Sheet1[[#This Row],[wat_bas_n]],0)</f>
        <v>99</v>
      </c>
      <c r="W75">
        <f>ROUND(Sheet1[[#This Row],[wat_bas_r]],0)</f>
        <v>99</v>
      </c>
      <c r="X75">
        <f>ROUND(Sheet1[[#This Row],[wat_bas_u]],0)</f>
        <v>99</v>
      </c>
      <c r="Y75" s="1" t="str">
        <f t="shared" si="1"/>
        <v>full access</v>
      </c>
      <c r="Z75" s="1" t="str">
        <f t="shared" si="2"/>
        <v>not full access</v>
      </c>
      <c r="AA75" s="1" t="str">
        <f t="shared" si="3"/>
        <v>full access</v>
      </c>
    </row>
    <row r="76" spans="1:27" hidden="1" x14ac:dyDescent="0.25">
      <c r="A76" s="1" t="s">
        <v>143</v>
      </c>
      <c r="B76">
        <v>2015</v>
      </c>
      <c r="C76">
        <v>61.721000670000002</v>
      </c>
      <c r="D76">
        <v>100</v>
      </c>
      <c r="E76">
        <v>96.125</v>
      </c>
      <c r="F76">
        <v>0</v>
      </c>
      <c r="G76">
        <v>3.875</v>
      </c>
      <c r="H76">
        <v>0</v>
      </c>
      <c r="M76">
        <v>96.125</v>
      </c>
      <c r="N76">
        <v>0</v>
      </c>
      <c r="O76">
        <v>3.875</v>
      </c>
      <c r="P76">
        <v>0</v>
      </c>
      <c r="U76">
        <f>ABS(Sheet1[[#This Row],[ARC_r]]-Sheet1[[#This Row],[ARC_u]])</f>
        <v>0</v>
      </c>
      <c r="V76">
        <f>ROUND(Sheet1[[#This Row],[wat_bas_n]],0)</f>
        <v>96</v>
      </c>
      <c r="W76">
        <f>ROUND(Sheet1[[#This Row],[wat_bas_r]],0)</f>
        <v>0</v>
      </c>
      <c r="X76">
        <f>ROUND(Sheet1[[#This Row],[wat_bas_u]],0)</f>
        <v>96</v>
      </c>
      <c r="Y76" s="1" t="str">
        <f t="shared" si="1"/>
        <v>not full access</v>
      </c>
      <c r="Z76" s="1" t="str">
        <f t="shared" si="2"/>
        <v>not full access</v>
      </c>
      <c r="AA76" s="1" t="str">
        <f t="shared" si="3"/>
        <v>not full access</v>
      </c>
    </row>
    <row r="77" spans="1:27" hidden="1" x14ac:dyDescent="0.25">
      <c r="A77" s="1" t="s">
        <v>143</v>
      </c>
      <c r="B77">
        <v>2016</v>
      </c>
      <c r="C77">
        <v>62.563999180000003</v>
      </c>
      <c r="D77">
        <v>100</v>
      </c>
      <c r="E77">
        <v>96.125</v>
      </c>
      <c r="F77">
        <v>0</v>
      </c>
      <c r="G77">
        <v>3.875</v>
      </c>
      <c r="H77">
        <v>0</v>
      </c>
      <c r="M77">
        <v>96.125</v>
      </c>
      <c r="N77">
        <v>0</v>
      </c>
      <c r="O77">
        <v>3.875</v>
      </c>
      <c r="P77">
        <v>0</v>
      </c>
      <c r="Q77">
        <v>1</v>
      </c>
      <c r="R77">
        <v>0</v>
      </c>
      <c r="T77">
        <v>0</v>
      </c>
      <c r="U77">
        <f>ABS(Sheet1[[#This Row],[ARC_r]]-Sheet1[[#This Row],[ARC_u]])</f>
        <v>0</v>
      </c>
      <c r="V77">
        <f>ROUND(Sheet1[[#This Row],[wat_bas_n]],0)</f>
        <v>96</v>
      </c>
      <c r="W77">
        <f>ROUND(Sheet1[[#This Row],[wat_bas_r]],0)</f>
        <v>0</v>
      </c>
      <c r="X77">
        <f>ROUND(Sheet1[[#This Row],[wat_bas_u]],0)</f>
        <v>96</v>
      </c>
      <c r="Y77" s="1" t="str">
        <f t="shared" si="1"/>
        <v>not full access</v>
      </c>
      <c r="Z77" s="1" t="str">
        <f t="shared" si="2"/>
        <v>not full access</v>
      </c>
      <c r="AA77" s="1" t="str">
        <f t="shared" si="3"/>
        <v>not full access</v>
      </c>
    </row>
    <row r="78" spans="1:27" hidden="1" x14ac:dyDescent="0.25">
      <c r="A78" s="1" t="s">
        <v>245</v>
      </c>
      <c r="B78">
        <v>2015</v>
      </c>
      <c r="C78">
        <v>4493.1708980000003</v>
      </c>
      <c r="D78">
        <v>40.277000430000001</v>
      </c>
      <c r="E78">
        <v>42.311345420000002</v>
      </c>
      <c r="F78">
        <v>21.343997179999999</v>
      </c>
      <c r="G78">
        <v>32.010174079999999</v>
      </c>
      <c r="H78">
        <v>4.3344833180000002</v>
      </c>
      <c r="I78">
        <v>31.891407789999999</v>
      </c>
      <c r="J78">
        <v>17.35785358</v>
      </c>
      <c r="K78">
        <v>43.702609250000002</v>
      </c>
      <c r="L78">
        <v>7.0481293919999999</v>
      </c>
      <c r="M78">
        <v>57.76209901</v>
      </c>
      <c r="N78">
        <v>27.25467806</v>
      </c>
      <c r="O78">
        <v>14.67255123</v>
      </c>
      <c r="P78">
        <v>0.31067170900000002</v>
      </c>
      <c r="U78">
        <f>ABS(Sheet1[[#This Row],[ARC_r]]-Sheet1[[#This Row],[ARC_u]])</f>
        <v>0</v>
      </c>
      <c r="V78">
        <f>ROUND(Sheet1[[#This Row],[wat_bas_n]],0)</f>
        <v>42</v>
      </c>
      <c r="W78">
        <f>ROUND(Sheet1[[#This Row],[wat_bas_r]],0)</f>
        <v>32</v>
      </c>
      <c r="X78">
        <f>ROUND(Sheet1[[#This Row],[wat_bas_u]],0)</f>
        <v>58</v>
      </c>
      <c r="Y78" s="1" t="str">
        <f t="shared" si="1"/>
        <v>not full access</v>
      </c>
      <c r="Z78" s="1" t="str">
        <f t="shared" si="2"/>
        <v>not full access</v>
      </c>
      <c r="AA78" s="1" t="str">
        <f t="shared" si="3"/>
        <v>not full access</v>
      </c>
    </row>
    <row r="79" spans="1:27" hidden="1" x14ac:dyDescent="0.25">
      <c r="A79" s="1" t="s">
        <v>245</v>
      </c>
      <c r="B79">
        <v>2020</v>
      </c>
      <c r="C79">
        <v>4829.7641599999997</v>
      </c>
      <c r="D79">
        <v>42.197998050000002</v>
      </c>
      <c r="E79">
        <v>37.202402050000003</v>
      </c>
      <c r="F79">
        <v>25.682373479999999</v>
      </c>
      <c r="G79">
        <v>33.53911377</v>
      </c>
      <c r="H79">
        <v>3.5761107079999999</v>
      </c>
      <c r="I79">
        <v>28.106594149999999</v>
      </c>
      <c r="J79">
        <v>19.405889899999998</v>
      </c>
      <c r="K79">
        <v>46.373073009999999</v>
      </c>
      <c r="L79">
        <v>6.1144429440000003</v>
      </c>
      <c r="M79">
        <v>49.661664950000002</v>
      </c>
      <c r="N79">
        <v>34.279780090000003</v>
      </c>
      <c r="O79">
        <v>15.95940214</v>
      </c>
      <c r="P79">
        <v>9.915281712E-2</v>
      </c>
      <c r="Q79">
        <v>5</v>
      </c>
      <c r="R79">
        <v>-1.021788674</v>
      </c>
      <c r="S79">
        <v>-0.75696272799999986</v>
      </c>
      <c r="T79">
        <v>-1.620086812</v>
      </c>
      <c r="U79">
        <f>ABS(Sheet1[[#This Row],[ARC_r]]-Sheet1[[#This Row],[ARC_u]])</f>
        <v>0.86312408400000018</v>
      </c>
      <c r="V79">
        <f>ROUND(Sheet1[[#This Row],[wat_bas_n]],0)</f>
        <v>37</v>
      </c>
      <c r="W79">
        <f>ROUND(Sheet1[[#This Row],[wat_bas_r]],0)</f>
        <v>28</v>
      </c>
      <c r="X79">
        <f>ROUND(Sheet1[[#This Row],[wat_bas_u]],0)</f>
        <v>50</v>
      </c>
      <c r="Y79" s="1" t="str">
        <f t="shared" si="1"/>
        <v>not full access</v>
      </c>
      <c r="Z79" s="1" t="str">
        <f t="shared" si="2"/>
        <v>not full access</v>
      </c>
      <c r="AA79" s="1" t="str">
        <f t="shared" si="3"/>
        <v>not full access</v>
      </c>
    </row>
    <row r="80" spans="1:27" hidden="1" x14ac:dyDescent="0.25">
      <c r="A80" s="1" t="s">
        <v>242</v>
      </c>
      <c r="B80">
        <v>2015</v>
      </c>
      <c r="C80">
        <v>14110.9707</v>
      </c>
      <c r="D80">
        <v>22.515001300000002</v>
      </c>
      <c r="E80">
        <v>44.399096970000002</v>
      </c>
      <c r="F80">
        <v>13.51638311</v>
      </c>
      <c r="G80">
        <v>34.702739940000001</v>
      </c>
      <c r="H80">
        <v>7.3817799820000003</v>
      </c>
      <c r="I80">
        <v>35.578900740000002</v>
      </c>
      <c r="J80">
        <v>13.876413980000001</v>
      </c>
      <c r="K80">
        <v>41.266156469999999</v>
      </c>
      <c r="L80">
        <v>9.2785288060000006</v>
      </c>
      <c r="M80">
        <v>74.753651779999998</v>
      </c>
      <c r="N80">
        <v>12.27734182</v>
      </c>
      <c r="O80">
        <v>12.11485643</v>
      </c>
      <c r="P80">
        <v>0.85414997150000005</v>
      </c>
      <c r="U80">
        <f>ABS(Sheet1[[#This Row],[ARC_r]]-Sheet1[[#This Row],[ARC_u]])</f>
        <v>0</v>
      </c>
      <c r="V80">
        <f>ROUND(Sheet1[[#This Row],[wat_bas_n]],0)</f>
        <v>44</v>
      </c>
      <c r="W80">
        <f>ROUND(Sheet1[[#This Row],[wat_bas_r]],0)</f>
        <v>36</v>
      </c>
      <c r="X80">
        <f>ROUND(Sheet1[[#This Row],[wat_bas_u]],0)</f>
        <v>75</v>
      </c>
      <c r="Y80" s="1" t="str">
        <f t="shared" si="1"/>
        <v>not full access</v>
      </c>
      <c r="Z80" s="1" t="str">
        <f t="shared" si="2"/>
        <v>not full access</v>
      </c>
      <c r="AA80" s="1" t="str">
        <f t="shared" si="3"/>
        <v>not full access</v>
      </c>
    </row>
    <row r="81" spans="1:27" hidden="1" x14ac:dyDescent="0.25">
      <c r="A81" s="1" t="s">
        <v>242</v>
      </c>
      <c r="B81">
        <v>2020</v>
      </c>
      <c r="C81">
        <v>16425.859380000002</v>
      </c>
      <c r="D81">
        <v>23.520000459999999</v>
      </c>
      <c r="E81">
        <v>46.187534790000001</v>
      </c>
      <c r="F81">
        <v>14.74028929</v>
      </c>
      <c r="G81">
        <v>31.562457139999999</v>
      </c>
      <c r="H81">
        <v>7.5097187840000004</v>
      </c>
      <c r="I81">
        <v>37.575215249999999</v>
      </c>
      <c r="J81">
        <v>14.35396111</v>
      </c>
      <c r="K81">
        <v>38.524967609999997</v>
      </c>
      <c r="L81">
        <v>9.5458560269999992</v>
      </c>
      <c r="M81">
        <v>74.192223089999999</v>
      </c>
      <c r="N81">
        <v>15.99651381</v>
      </c>
      <c r="O81">
        <v>8.9224527210000009</v>
      </c>
      <c r="P81">
        <v>0.88881038430000003</v>
      </c>
      <c r="Q81">
        <v>5</v>
      </c>
      <c r="R81">
        <v>0.35768756399999968</v>
      </c>
      <c r="S81">
        <v>0.39926290199999948</v>
      </c>
      <c r="T81">
        <v>-0.1122857379999999</v>
      </c>
      <c r="U81">
        <f>ABS(Sheet1[[#This Row],[ARC_r]]-Sheet1[[#This Row],[ARC_u]])</f>
        <v>0.51154863999999933</v>
      </c>
      <c r="V81">
        <f>ROUND(Sheet1[[#This Row],[wat_bas_n]],0)</f>
        <v>46</v>
      </c>
      <c r="W81">
        <f>ROUND(Sheet1[[#This Row],[wat_bas_r]],0)</f>
        <v>38</v>
      </c>
      <c r="X81">
        <f>ROUND(Sheet1[[#This Row],[wat_bas_u]],0)</f>
        <v>74</v>
      </c>
      <c r="Y81" s="1" t="str">
        <f t="shared" si="1"/>
        <v>not full access</v>
      </c>
      <c r="Z81" s="1" t="str">
        <f t="shared" si="2"/>
        <v>not full access</v>
      </c>
      <c r="AA81" s="1" t="str">
        <f t="shared" si="3"/>
        <v>not full access</v>
      </c>
    </row>
    <row r="82" spans="1:27" hidden="1" x14ac:dyDescent="0.25">
      <c r="A82" s="1" t="s">
        <v>163</v>
      </c>
      <c r="B82">
        <v>2015</v>
      </c>
      <c r="C82">
        <v>165.38699339999999</v>
      </c>
      <c r="D82">
        <v>30.96199799</v>
      </c>
      <c r="E82">
        <v>94.15</v>
      </c>
      <c r="F82">
        <v>0</v>
      </c>
      <c r="G82">
        <v>5.85</v>
      </c>
      <c r="H82">
        <v>0</v>
      </c>
      <c r="U82">
        <f>ABS(Sheet1[[#This Row],[ARC_r]]-Sheet1[[#This Row],[ARC_u]])</f>
        <v>0</v>
      </c>
      <c r="V82">
        <f>ROUND(Sheet1[[#This Row],[wat_bas_n]],0)</f>
        <v>94</v>
      </c>
      <c r="W82">
        <f>ROUND(Sheet1[[#This Row],[wat_bas_r]],0)</f>
        <v>0</v>
      </c>
      <c r="X82">
        <f>ROUND(Sheet1[[#This Row],[wat_bas_u]],0)</f>
        <v>0</v>
      </c>
      <c r="Y82" s="1" t="str">
        <f t="shared" si="1"/>
        <v>not full access</v>
      </c>
      <c r="Z82" s="1" t="str">
        <f t="shared" si="2"/>
        <v>not full access</v>
      </c>
      <c r="AA82" s="1" t="str">
        <f t="shared" si="3"/>
        <v>not full access</v>
      </c>
    </row>
    <row r="83" spans="1:27" hidden="1" x14ac:dyDescent="0.25">
      <c r="A83" s="1" t="s">
        <v>163</v>
      </c>
      <c r="B83">
        <v>2017</v>
      </c>
      <c r="C83">
        <v>168.6660004</v>
      </c>
      <c r="D83">
        <v>30.913999560000001</v>
      </c>
      <c r="E83">
        <v>94.15</v>
      </c>
      <c r="F83">
        <v>0</v>
      </c>
      <c r="G83">
        <v>5.85</v>
      </c>
      <c r="H83">
        <v>0</v>
      </c>
      <c r="Q83">
        <v>2</v>
      </c>
      <c r="R83">
        <v>0</v>
      </c>
      <c r="U83">
        <f>ABS(Sheet1[[#This Row],[ARC_r]]-Sheet1[[#This Row],[ARC_u]])</f>
        <v>0</v>
      </c>
      <c r="V83">
        <f>ROUND(Sheet1[[#This Row],[wat_bas_n]],0)</f>
        <v>94</v>
      </c>
      <c r="W83">
        <f>ROUND(Sheet1[[#This Row],[wat_bas_r]],0)</f>
        <v>0</v>
      </c>
      <c r="X83">
        <f>ROUND(Sheet1[[#This Row],[wat_bas_u]],0)</f>
        <v>0</v>
      </c>
      <c r="Y83" s="1" t="str">
        <f t="shared" si="1"/>
        <v>not full access</v>
      </c>
      <c r="Z83" s="1" t="str">
        <f t="shared" si="2"/>
        <v>not full access</v>
      </c>
      <c r="AA83" s="1" t="str">
        <f t="shared" si="3"/>
        <v>not full access</v>
      </c>
    </row>
    <row r="84" spans="1:27" x14ac:dyDescent="0.25">
      <c r="A84" s="1" t="s">
        <v>55</v>
      </c>
      <c r="B84">
        <v>2015</v>
      </c>
      <c r="C84">
        <v>17969.355469999999</v>
      </c>
      <c r="D84">
        <v>87.36000061</v>
      </c>
      <c r="E84">
        <v>99.506492719999997</v>
      </c>
      <c r="F84">
        <v>0</v>
      </c>
      <c r="G84">
        <v>0.49350727579999998</v>
      </c>
      <c r="H84">
        <v>0</v>
      </c>
      <c r="I84">
        <v>97.067698500000006</v>
      </c>
      <c r="J84">
        <v>0</v>
      </c>
      <c r="K84">
        <v>2.9323014980000002</v>
      </c>
      <c r="L84">
        <v>0</v>
      </c>
      <c r="M84">
        <v>99.859356980000001</v>
      </c>
      <c r="N84">
        <v>0</v>
      </c>
      <c r="O84">
        <v>0.1406430186</v>
      </c>
      <c r="P84">
        <v>0</v>
      </c>
      <c r="U84">
        <f>ABS(Sheet1[[#This Row],[ARC_r]]-Sheet1[[#This Row],[ARC_u]])</f>
        <v>0</v>
      </c>
      <c r="V84">
        <f>ROUND(Sheet1[[#This Row],[wat_bas_n]],0)</f>
        <v>100</v>
      </c>
      <c r="W84">
        <f>ROUND(Sheet1[[#This Row],[wat_bas_r]],0)</f>
        <v>97</v>
      </c>
      <c r="X84">
        <f>ROUND(Sheet1[[#This Row],[wat_bas_u]],0)</f>
        <v>100</v>
      </c>
      <c r="Y84" s="1" t="str">
        <f t="shared" si="1"/>
        <v>full access</v>
      </c>
      <c r="Z84" s="1" t="str">
        <f t="shared" si="2"/>
        <v>not full access</v>
      </c>
      <c r="AA84" s="1" t="str">
        <f t="shared" si="3"/>
        <v>full access</v>
      </c>
    </row>
    <row r="85" spans="1:27" x14ac:dyDescent="0.25">
      <c r="A85" s="1" t="s">
        <v>55</v>
      </c>
      <c r="B85">
        <v>2020</v>
      </c>
      <c r="C85">
        <v>19116.208979999999</v>
      </c>
      <c r="D85">
        <v>87.72699738</v>
      </c>
      <c r="E85">
        <v>99.999998719999994</v>
      </c>
      <c r="F85">
        <v>0</v>
      </c>
      <c r="G85">
        <v>1.2771393330000001E-6</v>
      </c>
      <c r="H85">
        <v>0</v>
      </c>
      <c r="I85">
        <v>100</v>
      </c>
      <c r="J85">
        <v>0</v>
      </c>
      <c r="K85">
        <v>0</v>
      </c>
      <c r="L85">
        <v>0</v>
      </c>
      <c r="M85">
        <v>100</v>
      </c>
      <c r="N85">
        <v>0</v>
      </c>
      <c r="O85">
        <v>0</v>
      </c>
      <c r="P85">
        <v>0</v>
      </c>
      <c r="Q85">
        <v>5</v>
      </c>
      <c r="R85">
        <v>9.8701199999999295E-2</v>
      </c>
      <c r="S85">
        <v>0.58646029999999882</v>
      </c>
      <c r="T85">
        <v>2.8128603999999769E-2</v>
      </c>
      <c r="U85">
        <f>ABS(Sheet1[[#This Row],[ARC_r]]-Sheet1[[#This Row],[ARC_u]])</f>
        <v>0.5583316959999991</v>
      </c>
      <c r="V85">
        <f>ROUND(Sheet1[[#This Row],[wat_bas_n]],0)</f>
        <v>100</v>
      </c>
      <c r="W85">
        <f>ROUND(Sheet1[[#This Row],[wat_bas_r]],0)</f>
        <v>100</v>
      </c>
      <c r="X85">
        <f>ROUND(Sheet1[[#This Row],[wat_bas_u]],0)</f>
        <v>100</v>
      </c>
      <c r="Y85" s="1" t="str">
        <f t="shared" si="1"/>
        <v>full access</v>
      </c>
      <c r="Z85" s="1" t="str">
        <f t="shared" si="2"/>
        <v>not full access</v>
      </c>
      <c r="AA85" s="1" t="str">
        <f t="shared" si="3"/>
        <v>full access</v>
      </c>
    </row>
    <row r="86" spans="1:27" hidden="1" x14ac:dyDescent="0.25">
      <c r="A86" s="1" t="s">
        <v>162</v>
      </c>
      <c r="B86">
        <v>2015</v>
      </c>
      <c r="C86">
        <v>1430405.375</v>
      </c>
      <c r="D86">
        <v>55.852706910000002</v>
      </c>
      <c r="E86">
        <v>91.76264123</v>
      </c>
      <c r="F86">
        <v>0.81876266180000001</v>
      </c>
      <c r="G86">
        <v>6.7820774070000001</v>
      </c>
      <c r="H86">
        <v>0.63651870079999995</v>
      </c>
      <c r="I86">
        <v>84.479187920000001</v>
      </c>
      <c r="J86">
        <v>1.51186307</v>
      </c>
      <c r="K86">
        <v>12.952949009999999</v>
      </c>
      <c r="L86">
        <v>1.056</v>
      </c>
      <c r="M86">
        <v>97.519653969999993</v>
      </c>
      <c r="N86">
        <v>0.27091980389999998</v>
      </c>
      <c r="O86">
        <v>1.9044754100000001</v>
      </c>
      <c r="P86">
        <v>0.30495081969999999</v>
      </c>
      <c r="U86">
        <f>ABS(Sheet1[[#This Row],[ARC_r]]-Sheet1[[#This Row],[ARC_u]])</f>
        <v>0</v>
      </c>
      <c r="V86">
        <f>ROUND(Sheet1[[#This Row],[wat_bas_n]],0)</f>
        <v>92</v>
      </c>
      <c r="W86">
        <f>ROUND(Sheet1[[#This Row],[wat_bas_r]],0)</f>
        <v>84</v>
      </c>
      <c r="X86">
        <f>ROUND(Sheet1[[#This Row],[wat_bas_u]],0)</f>
        <v>98</v>
      </c>
      <c r="Y86" s="1" t="str">
        <f t="shared" si="1"/>
        <v>not full access</v>
      </c>
      <c r="Z86" s="1" t="str">
        <f t="shared" si="2"/>
        <v>not full access</v>
      </c>
      <c r="AA86" s="1" t="str">
        <f t="shared" si="3"/>
        <v>not full access</v>
      </c>
    </row>
    <row r="87" spans="1:27" hidden="1" x14ac:dyDescent="0.25">
      <c r="A87" s="1" t="s">
        <v>162</v>
      </c>
      <c r="B87">
        <v>2020</v>
      </c>
      <c r="C87">
        <v>1463140.5</v>
      </c>
      <c r="D87">
        <v>61.713088990000003</v>
      </c>
      <c r="E87">
        <v>94.261110590000001</v>
      </c>
      <c r="F87">
        <v>0.8147213297</v>
      </c>
      <c r="G87">
        <v>4.725451938</v>
      </c>
      <c r="H87">
        <v>0.19871614409999999</v>
      </c>
      <c r="I87">
        <v>89.661233510000002</v>
      </c>
      <c r="J87">
        <v>1.832679086</v>
      </c>
      <c r="K87">
        <v>8.5060874089999992</v>
      </c>
      <c r="L87">
        <v>0</v>
      </c>
      <c r="M87">
        <v>97.11488267</v>
      </c>
      <c r="N87">
        <v>0.1831784927</v>
      </c>
      <c r="O87">
        <v>2.3799388399999999</v>
      </c>
      <c r="P87">
        <v>0.32200000000000001</v>
      </c>
      <c r="Q87">
        <v>5</v>
      </c>
      <c r="R87">
        <v>0.49969387200000032</v>
      </c>
      <c r="S87">
        <v>1.0364091179999999</v>
      </c>
      <c r="T87">
        <v>-8.0954259999998612E-2</v>
      </c>
      <c r="U87">
        <f>ABS(Sheet1[[#This Row],[ARC_r]]-Sheet1[[#This Row],[ARC_u]])</f>
        <v>1.1173633779999985</v>
      </c>
      <c r="V87">
        <f>ROUND(Sheet1[[#This Row],[wat_bas_n]],0)</f>
        <v>94</v>
      </c>
      <c r="W87">
        <f>ROUND(Sheet1[[#This Row],[wat_bas_r]],0)</f>
        <v>90</v>
      </c>
      <c r="X87">
        <f>ROUND(Sheet1[[#This Row],[wat_bas_u]],0)</f>
        <v>97</v>
      </c>
      <c r="Y87" s="1" t="str">
        <f t="shared" si="1"/>
        <v>not full access</v>
      </c>
      <c r="Z87" s="1" t="str">
        <f t="shared" si="2"/>
        <v>not full access</v>
      </c>
      <c r="AA87" s="1" t="str">
        <f t="shared" si="3"/>
        <v>not full access</v>
      </c>
    </row>
    <row r="88" spans="1:27" x14ac:dyDescent="0.25">
      <c r="A88" s="1" t="s">
        <v>48</v>
      </c>
      <c r="B88">
        <v>2015</v>
      </c>
      <c r="C88">
        <v>7185.9921880000002</v>
      </c>
      <c r="D88">
        <v>100</v>
      </c>
      <c r="E88">
        <v>100</v>
      </c>
      <c r="F88">
        <v>0</v>
      </c>
      <c r="G88">
        <v>0</v>
      </c>
      <c r="H88">
        <v>0</v>
      </c>
      <c r="M88">
        <v>100</v>
      </c>
      <c r="N88">
        <v>0</v>
      </c>
      <c r="O88">
        <v>0</v>
      </c>
      <c r="P88">
        <v>0</v>
      </c>
      <c r="U88">
        <f>ABS(Sheet1[[#This Row],[ARC_r]]-Sheet1[[#This Row],[ARC_u]])</f>
        <v>0</v>
      </c>
      <c r="V88">
        <f>ROUND(Sheet1[[#This Row],[wat_bas_n]],0)</f>
        <v>100</v>
      </c>
      <c r="W88">
        <f>ROUND(Sheet1[[#This Row],[wat_bas_r]],0)</f>
        <v>0</v>
      </c>
      <c r="X88">
        <f>ROUND(Sheet1[[#This Row],[wat_bas_u]],0)</f>
        <v>100</v>
      </c>
      <c r="Y88" s="1" t="str">
        <f t="shared" si="1"/>
        <v>full access</v>
      </c>
      <c r="Z88" s="1" t="str">
        <f t="shared" si="2"/>
        <v>not full access</v>
      </c>
      <c r="AA88" s="1" t="str">
        <f t="shared" si="3"/>
        <v>full access</v>
      </c>
    </row>
    <row r="89" spans="1:27" x14ac:dyDescent="0.25">
      <c r="A89" s="1" t="s">
        <v>48</v>
      </c>
      <c r="B89">
        <v>2020</v>
      </c>
      <c r="C89">
        <v>7496.9877930000002</v>
      </c>
      <c r="D89">
        <v>100</v>
      </c>
      <c r="E89">
        <v>100</v>
      </c>
      <c r="F89">
        <v>0</v>
      </c>
      <c r="G89">
        <v>0</v>
      </c>
      <c r="H89">
        <v>0</v>
      </c>
      <c r="M89">
        <v>100</v>
      </c>
      <c r="N89">
        <v>0</v>
      </c>
      <c r="O89">
        <v>0</v>
      </c>
      <c r="P89">
        <v>0</v>
      </c>
      <c r="Q89">
        <v>5</v>
      </c>
      <c r="R89">
        <v>0</v>
      </c>
      <c r="T89">
        <v>0</v>
      </c>
      <c r="U89">
        <f>ABS(Sheet1[[#This Row],[ARC_r]]-Sheet1[[#This Row],[ARC_u]])</f>
        <v>0</v>
      </c>
      <c r="V89">
        <f>ROUND(Sheet1[[#This Row],[wat_bas_n]],0)</f>
        <v>100</v>
      </c>
      <c r="W89">
        <f>ROUND(Sheet1[[#This Row],[wat_bas_r]],0)</f>
        <v>0</v>
      </c>
      <c r="X89">
        <f>ROUND(Sheet1[[#This Row],[wat_bas_u]],0)</f>
        <v>100</v>
      </c>
      <c r="Y89" s="1" t="str">
        <f t="shared" si="1"/>
        <v>full access</v>
      </c>
      <c r="Z89" s="1" t="str">
        <f t="shared" si="2"/>
        <v>not full access</v>
      </c>
      <c r="AA89" s="1" t="str">
        <f t="shared" si="3"/>
        <v>full access</v>
      </c>
    </row>
    <row r="90" spans="1:27" x14ac:dyDescent="0.25">
      <c r="A90" s="1" t="s">
        <v>41</v>
      </c>
      <c r="B90">
        <v>2015</v>
      </c>
      <c r="C90">
        <v>602.09301760000005</v>
      </c>
      <c r="D90">
        <v>100</v>
      </c>
      <c r="E90">
        <v>100</v>
      </c>
      <c r="F90">
        <v>0</v>
      </c>
      <c r="G90">
        <v>0</v>
      </c>
      <c r="H90">
        <v>0</v>
      </c>
      <c r="M90">
        <v>100</v>
      </c>
      <c r="N90">
        <v>0</v>
      </c>
      <c r="O90">
        <v>0</v>
      </c>
      <c r="P90">
        <v>0</v>
      </c>
      <c r="U90">
        <f>ABS(Sheet1[[#This Row],[ARC_r]]-Sheet1[[#This Row],[ARC_u]])</f>
        <v>0</v>
      </c>
      <c r="V90">
        <f>ROUND(Sheet1[[#This Row],[wat_bas_n]],0)</f>
        <v>100</v>
      </c>
      <c r="W90">
        <f>ROUND(Sheet1[[#This Row],[wat_bas_r]],0)</f>
        <v>0</v>
      </c>
      <c r="X90">
        <f>ROUND(Sheet1[[#This Row],[wat_bas_u]],0)</f>
        <v>100</v>
      </c>
      <c r="Y90" s="1" t="str">
        <f t="shared" si="1"/>
        <v>full access</v>
      </c>
      <c r="Z90" s="1" t="str">
        <f t="shared" si="2"/>
        <v>not full access</v>
      </c>
      <c r="AA90" s="1" t="str">
        <f t="shared" si="3"/>
        <v>full access</v>
      </c>
    </row>
    <row r="91" spans="1:27" x14ac:dyDescent="0.25">
      <c r="A91" s="1" t="s">
        <v>41</v>
      </c>
      <c r="B91">
        <v>2020</v>
      </c>
      <c r="C91">
        <v>649.34198000000004</v>
      </c>
      <c r="D91">
        <v>100</v>
      </c>
      <c r="E91">
        <v>100</v>
      </c>
      <c r="F91">
        <v>0</v>
      </c>
      <c r="G91">
        <v>0</v>
      </c>
      <c r="H91">
        <v>0</v>
      </c>
      <c r="M91">
        <v>100</v>
      </c>
      <c r="N91">
        <v>0</v>
      </c>
      <c r="O91">
        <v>0</v>
      </c>
      <c r="P91">
        <v>0</v>
      </c>
      <c r="Q91">
        <v>5</v>
      </c>
      <c r="R91">
        <v>0</v>
      </c>
      <c r="T91">
        <v>0</v>
      </c>
      <c r="U91">
        <f>ABS(Sheet1[[#This Row],[ARC_r]]-Sheet1[[#This Row],[ARC_u]])</f>
        <v>0</v>
      </c>
      <c r="V91">
        <f>ROUND(Sheet1[[#This Row],[wat_bas_n]],0)</f>
        <v>100</v>
      </c>
      <c r="W91">
        <f>ROUND(Sheet1[[#This Row],[wat_bas_r]],0)</f>
        <v>0</v>
      </c>
      <c r="X91">
        <f>ROUND(Sheet1[[#This Row],[wat_bas_u]],0)</f>
        <v>100</v>
      </c>
      <c r="Y91" s="1" t="str">
        <f t="shared" si="1"/>
        <v>full access</v>
      </c>
      <c r="Z91" s="1" t="str">
        <f t="shared" si="2"/>
        <v>not full access</v>
      </c>
      <c r="AA91" s="1" t="str">
        <f t="shared" si="3"/>
        <v>full access</v>
      </c>
    </row>
    <row r="92" spans="1:27" hidden="1" x14ac:dyDescent="0.25">
      <c r="A92" s="1" t="s">
        <v>125</v>
      </c>
      <c r="B92">
        <v>2015</v>
      </c>
      <c r="C92">
        <v>47520.667970000002</v>
      </c>
      <c r="D92">
        <v>79.763999940000005</v>
      </c>
      <c r="E92">
        <v>96.335868120000001</v>
      </c>
      <c r="F92">
        <v>0.1840519904</v>
      </c>
      <c r="G92">
        <v>1.7034450619999999</v>
      </c>
      <c r="H92">
        <v>1.7766348270000001</v>
      </c>
      <c r="I92">
        <v>83.273725850000005</v>
      </c>
      <c r="J92">
        <v>0.68766562610000004</v>
      </c>
      <c r="K92">
        <v>7.2590323550000004</v>
      </c>
      <c r="L92">
        <v>8.7795761720000005</v>
      </c>
      <c r="M92">
        <v>99.649712370000003</v>
      </c>
      <c r="N92">
        <v>5.6286030219999998E-2</v>
      </c>
      <c r="O92">
        <v>0.29400160289999999</v>
      </c>
      <c r="P92">
        <v>0</v>
      </c>
      <c r="U92">
        <f>ABS(Sheet1[[#This Row],[ARC_r]]-Sheet1[[#This Row],[ARC_u]])</f>
        <v>0</v>
      </c>
      <c r="V92">
        <f>ROUND(Sheet1[[#This Row],[wat_bas_n]],0)</f>
        <v>96</v>
      </c>
      <c r="W92">
        <f>ROUND(Sheet1[[#This Row],[wat_bas_r]],0)</f>
        <v>83</v>
      </c>
      <c r="X92">
        <f>ROUND(Sheet1[[#This Row],[wat_bas_u]],0)</f>
        <v>100</v>
      </c>
      <c r="Y92" s="1" t="str">
        <f t="shared" si="1"/>
        <v>not full access</v>
      </c>
      <c r="Z92" s="1" t="str">
        <f t="shared" si="2"/>
        <v>not full access</v>
      </c>
      <c r="AA92" s="1" t="str">
        <f t="shared" si="3"/>
        <v>full access</v>
      </c>
    </row>
    <row r="93" spans="1:27" hidden="1" x14ac:dyDescent="0.25">
      <c r="A93" s="1" t="s">
        <v>125</v>
      </c>
      <c r="B93">
        <v>2020</v>
      </c>
      <c r="C93">
        <v>50882.882810000003</v>
      </c>
      <c r="D93">
        <v>81.424995420000002</v>
      </c>
      <c r="E93">
        <v>97.491657110000006</v>
      </c>
      <c r="F93">
        <v>0.18615215909999999</v>
      </c>
      <c r="G93">
        <v>0.95361622280000002</v>
      </c>
      <c r="H93">
        <v>1.3685745119999999</v>
      </c>
      <c r="I93">
        <v>86.767072819999996</v>
      </c>
      <c r="J93">
        <v>0.73122820160000002</v>
      </c>
      <c r="K93">
        <v>5.13386897</v>
      </c>
      <c r="L93">
        <v>7.3678300050000001</v>
      </c>
      <c r="M93">
        <v>99.938192799999996</v>
      </c>
      <c r="N93">
        <v>6.18072E-2</v>
      </c>
      <c r="O93">
        <v>0</v>
      </c>
      <c r="P93">
        <v>0</v>
      </c>
      <c r="Q93">
        <v>5</v>
      </c>
      <c r="R93">
        <v>0.231157798000001</v>
      </c>
      <c r="S93">
        <v>0.69866939399999806</v>
      </c>
      <c r="T93">
        <v>5.7696085999998557E-2</v>
      </c>
      <c r="U93">
        <f>ABS(Sheet1[[#This Row],[ARC_r]]-Sheet1[[#This Row],[ARC_u]])</f>
        <v>0.64097330799999952</v>
      </c>
      <c r="V93">
        <f>ROUND(Sheet1[[#This Row],[wat_bas_n]],0)</f>
        <v>97</v>
      </c>
      <c r="W93">
        <f>ROUND(Sheet1[[#This Row],[wat_bas_r]],0)</f>
        <v>87</v>
      </c>
      <c r="X93">
        <f>ROUND(Sheet1[[#This Row],[wat_bas_u]],0)</f>
        <v>100</v>
      </c>
      <c r="Y93" s="1" t="str">
        <f t="shared" si="1"/>
        <v>not full access</v>
      </c>
      <c r="Z93" s="1" t="str">
        <f t="shared" si="2"/>
        <v>not full access</v>
      </c>
      <c r="AA93" s="1" t="str">
        <f t="shared" si="3"/>
        <v>full access</v>
      </c>
    </row>
    <row r="94" spans="1:27" hidden="1" x14ac:dyDescent="0.25">
      <c r="A94" s="1" t="s">
        <v>202</v>
      </c>
      <c r="B94">
        <v>2015</v>
      </c>
      <c r="C94">
        <v>777.43499759999997</v>
      </c>
      <c r="D94">
        <v>28.47000122</v>
      </c>
      <c r="E94">
        <v>80.132000079999997</v>
      </c>
      <c r="F94">
        <v>10.877265</v>
      </c>
      <c r="G94">
        <v>8.3951934319999992</v>
      </c>
      <c r="H94">
        <v>0.59554149119999999</v>
      </c>
      <c r="I94">
        <v>76.911723449999997</v>
      </c>
      <c r="J94">
        <v>11.568647240000001</v>
      </c>
      <c r="K94">
        <v>10.82245445</v>
      </c>
      <c r="L94">
        <v>0.69717485830000003</v>
      </c>
      <c r="M94">
        <v>88.222845579999998</v>
      </c>
      <c r="N94">
        <v>9.1401884950000003</v>
      </c>
      <c r="O94">
        <v>2.2967751299999999</v>
      </c>
      <c r="P94">
        <v>0.34019079699999999</v>
      </c>
      <c r="U94">
        <f>ABS(Sheet1[[#This Row],[ARC_r]]-Sheet1[[#This Row],[ARC_u]])</f>
        <v>0</v>
      </c>
      <c r="V94">
        <f>ROUND(Sheet1[[#This Row],[wat_bas_n]],0)</f>
        <v>80</v>
      </c>
      <c r="W94">
        <f>ROUND(Sheet1[[#This Row],[wat_bas_r]],0)</f>
        <v>77</v>
      </c>
      <c r="X94">
        <f>ROUND(Sheet1[[#This Row],[wat_bas_u]],0)</f>
        <v>88</v>
      </c>
      <c r="Y94" s="1" t="str">
        <f t="shared" si="1"/>
        <v>not full access</v>
      </c>
      <c r="Z94" s="1" t="str">
        <f t="shared" si="2"/>
        <v>not full access</v>
      </c>
      <c r="AA94" s="1" t="str">
        <f t="shared" si="3"/>
        <v>not full access</v>
      </c>
    </row>
    <row r="95" spans="1:27" hidden="1" x14ac:dyDescent="0.25">
      <c r="A95" s="1" t="s">
        <v>202</v>
      </c>
      <c r="B95">
        <v>2019</v>
      </c>
      <c r="C95">
        <v>850.89099120000003</v>
      </c>
      <c r="D95">
        <v>29.164001460000001</v>
      </c>
      <c r="E95">
        <v>80.210497810000007</v>
      </c>
      <c r="F95">
        <v>10.86041131</v>
      </c>
      <c r="G95">
        <v>8.9290908879999993</v>
      </c>
      <c r="I95">
        <v>76.911723449999997</v>
      </c>
      <c r="J95">
        <v>11.568647240000001</v>
      </c>
      <c r="K95">
        <v>11.519629309999999</v>
      </c>
      <c r="M95">
        <v>88.222845579999998</v>
      </c>
      <c r="N95">
        <v>9.1401884950000003</v>
      </c>
      <c r="O95">
        <v>2.2967751299999999</v>
      </c>
      <c r="P95">
        <v>0.34019079699999999</v>
      </c>
      <c r="Q95">
        <v>4</v>
      </c>
      <c r="R95">
        <v>1.9624432500002339E-2</v>
      </c>
      <c r="S95">
        <v>0</v>
      </c>
      <c r="T95">
        <v>0</v>
      </c>
      <c r="U95">
        <f>ABS(Sheet1[[#This Row],[ARC_r]]-Sheet1[[#This Row],[ARC_u]])</f>
        <v>0</v>
      </c>
      <c r="V95">
        <f>ROUND(Sheet1[[#This Row],[wat_bas_n]],0)</f>
        <v>80</v>
      </c>
      <c r="W95">
        <f>ROUND(Sheet1[[#This Row],[wat_bas_r]],0)</f>
        <v>77</v>
      </c>
      <c r="X95">
        <f>ROUND(Sheet1[[#This Row],[wat_bas_u]],0)</f>
        <v>88</v>
      </c>
      <c r="Y95" s="1" t="str">
        <f t="shared" si="1"/>
        <v>not full access</v>
      </c>
      <c r="Z95" s="1" t="str">
        <f t="shared" si="2"/>
        <v>not full access</v>
      </c>
      <c r="AA95" s="1" t="str">
        <f t="shared" si="3"/>
        <v>not full access</v>
      </c>
    </row>
    <row r="96" spans="1:27" hidden="1" x14ac:dyDescent="0.25">
      <c r="A96" s="1" t="s">
        <v>209</v>
      </c>
      <c r="B96">
        <v>2015</v>
      </c>
      <c r="C96">
        <v>4856.0927730000003</v>
      </c>
      <c r="D96">
        <v>65.542999269999996</v>
      </c>
      <c r="E96">
        <v>71.149581769999998</v>
      </c>
      <c r="F96">
        <v>10.510526049999999</v>
      </c>
      <c r="G96">
        <v>11.662046309999999</v>
      </c>
      <c r="H96">
        <v>6.6778458760000001</v>
      </c>
      <c r="I96">
        <v>41.39183594</v>
      </c>
      <c r="J96">
        <v>10.739572649999999</v>
      </c>
      <c r="K96">
        <v>28.501848710000001</v>
      </c>
      <c r="L96">
        <v>19.366742689999999</v>
      </c>
      <c r="M96">
        <v>86.793705160000002</v>
      </c>
      <c r="N96">
        <v>10.390112999999999</v>
      </c>
      <c r="O96">
        <v>2.809090742</v>
      </c>
      <c r="P96">
        <v>7.0910958900000003E-3</v>
      </c>
      <c r="U96">
        <f>ABS(Sheet1[[#This Row],[ARC_r]]-Sheet1[[#This Row],[ARC_u]])</f>
        <v>0</v>
      </c>
      <c r="V96">
        <f>ROUND(Sheet1[[#This Row],[wat_bas_n]],0)</f>
        <v>71</v>
      </c>
      <c r="W96">
        <f>ROUND(Sheet1[[#This Row],[wat_bas_r]],0)</f>
        <v>41</v>
      </c>
      <c r="X96">
        <f>ROUND(Sheet1[[#This Row],[wat_bas_u]],0)</f>
        <v>87</v>
      </c>
      <c r="Y96" s="1" t="str">
        <f t="shared" si="1"/>
        <v>not full access</v>
      </c>
      <c r="Z96" s="1" t="str">
        <f t="shared" si="2"/>
        <v>not full access</v>
      </c>
      <c r="AA96" s="1" t="str">
        <f t="shared" si="3"/>
        <v>not full access</v>
      </c>
    </row>
    <row r="97" spans="1:27" hidden="1" x14ac:dyDescent="0.25">
      <c r="A97" s="1" t="s">
        <v>209</v>
      </c>
      <c r="B97">
        <v>2020</v>
      </c>
      <c r="C97">
        <v>5518.091797</v>
      </c>
      <c r="D97">
        <v>67.829002380000006</v>
      </c>
      <c r="E97">
        <v>73.78451158</v>
      </c>
      <c r="F97">
        <v>10.46117203</v>
      </c>
      <c r="G97">
        <v>9.5591807220000007</v>
      </c>
      <c r="H97">
        <v>6.1951356640000004</v>
      </c>
      <c r="I97">
        <v>45.724413179999999</v>
      </c>
      <c r="J97">
        <v>10.6323901</v>
      </c>
      <c r="K97">
        <v>24.405169730000001</v>
      </c>
      <c r="L97">
        <v>19.238026990000002</v>
      </c>
      <c r="M97">
        <v>87.093296159999994</v>
      </c>
      <c r="N97">
        <v>10.37996439</v>
      </c>
      <c r="O97">
        <v>2.5177899969999999</v>
      </c>
      <c r="P97">
        <v>8.9494520549999994E-3</v>
      </c>
      <c r="Q97">
        <v>5</v>
      </c>
      <c r="R97">
        <v>0.52698596200000059</v>
      </c>
      <c r="S97">
        <v>0.8665154479999998</v>
      </c>
      <c r="T97">
        <v>5.9918199999998478E-2</v>
      </c>
      <c r="U97">
        <f>ABS(Sheet1[[#This Row],[ARC_r]]-Sheet1[[#This Row],[ARC_u]])</f>
        <v>0.80659724800000132</v>
      </c>
      <c r="V97">
        <f>ROUND(Sheet1[[#This Row],[wat_bas_n]],0)</f>
        <v>74</v>
      </c>
      <c r="W97">
        <f>ROUND(Sheet1[[#This Row],[wat_bas_r]],0)</f>
        <v>46</v>
      </c>
      <c r="X97">
        <f>ROUND(Sheet1[[#This Row],[wat_bas_u]],0)</f>
        <v>87</v>
      </c>
      <c r="Y97" s="1" t="str">
        <f t="shared" si="1"/>
        <v>not full access</v>
      </c>
      <c r="Z97" s="1" t="str">
        <f t="shared" si="2"/>
        <v>not full access</v>
      </c>
      <c r="AA97" s="1" t="str">
        <f t="shared" si="3"/>
        <v>not full access</v>
      </c>
    </row>
    <row r="98" spans="1:27" x14ac:dyDescent="0.25">
      <c r="A98" s="1" t="s">
        <v>59</v>
      </c>
      <c r="B98">
        <v>2015</v>
      </c>
      <c r="C98">
        <v>17.580999370000001</v>
      </c>
      <c r="D98">
        <v>74.403999330000005</v>
      </c>
      <c r="E98">
        <v>99.953671020000002</v>
      </c>
      <c r="F98">
        <v>0</v>
      </c>
      <c r="G98">
        <v>4.6328976289999997E-2</v>
      </c>
      <c r="H98">
        <v>0</v>
      </c>
      <c r="U98">
        <f>ABS(Sheet1[[#This Row],[ARC_r]]-Sheet1[[#This Row],[ARC_u]])</f>
        <v>0</v>
      </c>
      <c r="V98">
        <f>ROUND(Sheet1[[#This Row],[wat_bas_n]],0)</f>
        <v>100</v>
      </c>
      <c r="W98">
        <f>ROUND(Sheet1[[#This Row],[wat_bas_r]],0)</f>
        <v>0</v>
      </c>
      <c r="X98">
        <f>ROUND(Sheet1[[#This Row],[wat_bas_u]],0)</f>
        <v>0</v>
      </c>
      <c r="Y98" s="1" t="str">
        <f t="shared" si="1"/>
        <v>full access</v>
      </c>
      <c r="Z98" s="1" t="str">
        <f t="shared" si="2"/>
        <v>not full access</v>
      </c>
      <c r="AA98" s="1" t="str">
        <f t="shared" si="3"/>
        <v>not full access</v>
      </c>
    </row>
    <row r="99" spans="1:27" x14ac:dyDescent="0.25">
      <c r="A99" s="1" t="s">
        <v>59</v>
      </c>
      <c r="B99">
        <v>2020</v>
      </c>
      <c r="C99">
        <v>17.56399918</v>
      </c>
      <c r="D99">
        <v>75.495002749999998</v>
      </c>
      <c r="E99">
        <v>99.971610220000002</v>
      </c>
      <c r="F99">
        <v>0</v>
      </c>
      <c r="G99">
        <v>2.8389782700000001E-2</v>
      </c>
      <c r="H99">
        <v>0</v>
      </c>
      <c r="Q99">
        <v>5</v>
      </c>
      <c r="R99">
        <v>3.5878400000001419E-3</v>
      </c>
      <c r="U99">
        <f>ABS(Sheet1[[#This Row],[ARC_r]]-Sheet1[[#This Row],[ARC_u]])</f>
        <v>0</v>
      </c>
      <c r="V99">
        <f>ROUND(Sheet1[[#This Row],[wat_bas_n]],0)</f>
        <v>100</v>
      </c>
      <c r="W99">
        <f>ROUND(Sheet1[[#This Row],[wat_bas_r]],0)</f>
        <v>0</v>
      </c>
      <c r="X99">
        <f>ROUND(Sheet1[[#This Row],[wat_bas_u]],0)</f>
        <v>0</v>
      </c>
      <c r="Y99" s="1" t="str">
        <f t="shared" si="1"/>
        <v>full access</v>
      </c>
      <c r="Z99" s="1" t="str">
        <f t="shared" si="2"/>
        <v>not full access</v>
      </c>
      <c r="AA99" s="1" t="str">
        <f t="shared" si="3"/>
        <v>not full access</v>
      </c>
    </row>
    <row r="100" spans="1:27" x14ac:dyDescent="0.25">
      <c r="A100" s="1" t="s">
        <v>78</v>
      </c>
      <c r="B100">
        <v>2015</v>
      </c>
      <c r="C100">
        <v>4847.8051759999998</v>
      </c>
      <c r="D100">
        <v>76.861999510000004</v>
      </c>
      <c r="E100">
        <v>99.378686819999999</v>
      </c>
      <c r="F100">
        <v>0.25413037840000002</v>
      </c>
      <c r="G100">
        <v>0.21133501860000001</v>
      </c>
      <c r="H100">
        <v>0.15584778429999999</v>
      </c>
      <c r="I100">
        <v>98.186032490000002</v>
      </c>
      <c r="J100">
        <v>0.4100611535</v>
      </c>
      <c r="K100">
        <v>0.73034857679999998</v>
      </c>
      <c r="L100">
        <v>0.67355777780000003</v>
      </c>
      <c r="M100">
        <v>99.737715109999996</v>
      </c>
      <c r="N100">
        <v>0.20719007179999999</v>
      </c>
      <c r="O100">
        <v>5.5094818300000001E-2</v>
      </c>
      <c r="P100">
        <v>0</v>
      </c>
      <c r="U100">
        <f>ABS(Sheet1[[#This Row],[ARC_r]]-Sheet1[[#This Row],[ARC_u]])</f>
        <v>0</v>
      </c>
      <c r="V100">
        <f>ROUND(Sheet1[[#This Row],[wat_bas_n]],0)</f>
        <v>99</v>
      </c>
      <c r="W100">
        <f>ROUND(Sheet1[[#This Row],[wat_bas_r]],0)</f>
        <v>98</v>
      </c>
      <c r="X100">
        <f>ROUND(Sheet1[[#This Row],[wat_bas_u]],0)</f>
        <v>100</v>
      </c>
      <c r="Y100" s="1" t="str">
        <f t="shared" si="1"/>
        <v>full access</v>
      </c>
      <c r="Z100" s="1" t="str">
        <f t="shared" si="2"/>
        <v>not full access</v>
      </c>
      <c r="AA100" s="1" t="str">
        <f t="shared" si="3"/>
        <v>full access</v>
      </c>
    </row>
    <row r="101" spans="1:27" x14ac:dyDescent="0.25">
      <c r="A101" s="1" t="s">
        <v>78</v>
      </c>
      <c r="B101">
        <v>2020</v>
      </c>
      <c r="C101">
        <v>5094.1137699999999</v>
      </c>
      <c r="D101">
        <v>80.770996089999997</v>
      </c>
      <c r="E101">
        <v>99.810536929999998</v>
      </c>
      <c r="F101">
        <v>0.18945947460000001</v>
      </c>
      <c r="G101">
        <v>3.5944518969999999E-6</v>
      </c>
      <c r="H101">
        <v>0</v>
      </c>
      <c r="I101">
        <v>99.646249999999995</v>
      </c>
      <c r="J101">
        <v>0.35375000000000001</v>
      </c>
      <c r="K101">
        <v>0</v>
      </c>
      <c r="L101">
        <v>0</v>
      </c>
      <c r="M101">
        <v>99.849652860000006</v>
      </c>
      <c r="N101">
        <v>0.15034714290000001</v>
      </c>
      <c r="O101">
        <v>0</v>
      </c>
      <c r="P101">
        <v>0</v>
      </c>
      <c r="Q101">
        <v>5</v>
      </c>
      <c r="R101">
        <v>8.6370021999999838E-2</v>
      </c>
      <c r="S101">
        <v>0.29204350199999851</v>
      </c>
      <c r="T101">
        <v>2.238755000000197E-2</v>
      </c>
      <c r="U101">
        <f>ABS(Sheet1[[#This Row],[ARC_r]]-Sheet1[[#This Row],[ARC_u]])</f>
        <v>0.26965595199999653</v>
      </c>
      <c r="V101">
        <f>ROUND(Sheet1[[#This Row],[wat_bas_n]],0)</f>
        <v>100</v>
      </c>
      <c r="W101">
        <f>ROUND(Sheet1[[#This Row],[wat_bas_r]],0)</f>
        <v>100</v>
      </c>
      <c r="X101">
        <f>ROUND(Sheet1[[#This Row],[wat_bas_u]],0)</f>
        <v>100</v>
      </c>
      <c r="Y101" s="1" t="str">
        <f t="shared" si="1"/>
        <v>full access</v>
      </c>
      <c r="Z101" s="1" t="str">
        <f t="shared" si="2"/>
        <v>not full access</v>
      </c>
      <c r="AA101" s="1" t="str">
        <f t="shared" si="3"/>
        <v>full access</v>
      </c>
    </row>
    <row r="102" spans="1:27" hidden="1" x14ac:dyDescent="0.25">
      <c r="A102" s="1" t="s">
        <v>16</v>
      </c>
      <c r="B102">
        <v>2015</v>
      </c>
      <c r="C102">
        <v>4232.8740230000003</v>
      </c>
      <c r="D102">
        <v>56.155002590000002</v>
      </c>
      <c r="M102">
        <v>100</v>
      </c>
      <c r="N102">
        <v>0</v>
      </c>
      <c r="O102">
        <v>0</v>
      </c>
      <c r="P102">
        <v>0</v>
      </c>
      <c r="U102">
        <f>ABS(Sheet1[[#This Row],[ARC_r]]-Sheet1[[#This Row],[ARC_u]])</f>
        <v>0</v>
      </c>
      <c r="V102">
        <f>ROUND(Sheet1[[#This Row],[wat_bas_n]],0)</f>
        <v>0</v>
      </c>
      <c r="W102">
        <f>ROUND(Sheet1[[#This Row],[wat_bas_r]],0)</f>
        <v>0</v>
      </c>
      <c r="X102">
        <f>ROUND(Sheet1[[#This Row],[wat_bas_u]],0)</f>
        <v>100</v>
      </c>
      <c r="Y102" s="1" t="str">
        <f t="shared" si="1"/>
        <v>not full access</v>
      </c>
      <c r="Z102" s="1" t="str">
        <f t="shared" si="2"/>
        <v>not full access</v>
      </c>
      <c r="AA102" s="1" t="str">
        <f t="shared" si="3"/>
        <v>full access</v>
      </c>
    </row>
    <row r="103" spans="1:27" hidden="1" x14ac:dyDescent="0.25">
      <c r="A103" s="1" t="s">
        <v>16</v>
      </c>
      <c r="B103">
        <v>2020</v>
      </c>
      <c r="C103">
        <v>4105.2680659999996</v>
      </c>
      <c r="D103">
        <v>57.552997589999997</v>
      </c>
      <c r="M103">
        <v>100</v>
      </c>
      <c r="N103">
        <v>0</v>
      </c>
      <c r="O103">
        <v>0</v>
      </c>
      <c r="P103">
        <v>0</v>
      </c>
      <c r="Q103">
        <v>5</v>
      </c>
      <c r="T103">
        <v>0</v>
      </c>
      <c r="U103">
        <f>ABS(Sheet1[[#This Row],[ARC_r]]-Sheet1[[#This Row],[ARC_u]])</f>
        <v>0</v>
      </c>
      <c r="V103">
        <f>ROUND(Sheet1[[#This Row],[wat_bas_n]],0)</f>
        <v>0</v>
      </c>
      <c r="W103">
        <f>ROUND(Sheet1[[#This Row],[wat_bas_r]],0)</f>
        <v>0</v>
      </c>
      <c r="X103">
        <f>ROUND(Sheet1[[#This Row],[wat_bas_u]],0)</f>
        <v>100</v>
      </c>
      <c r="Y103" s="1" t="str">
        <f t="shared" si="1"/>
        <v>not full access</v>
      </c>
      <c r="Z103" s="1" t="str">
        <f t="shared" si="2"/>
        <v>not full access</v>
      </c>
      <c r="AA103" s="1" t="str">
        <f t="shared" si="3"/>
        <v>full access</v>
      </c>
    </row>
    <row r="104" spans="1:27" hidden="1" x14ac:dyDescent="0.25">
      <c r="A104" s="1" t="s">
        <v>133</v>
      </c>
      <c r="B104">
        <v>2015</v>
      </c>
      <c r="C104">
        <v>11324.777340000001</v>
      </c>
      <c r="D104">
        <v>76.896003719999996</v>
      </c>
      <c r="E104">
        <v>95.871796470000007</v>
      </c>
      <c r="F104">
        <v>1.7502537890000001</v>
      </c>
      <c r="G104">
        <v>1.99464</v>
      </c>
      <c r="H104">
        <v>0.38330973619999997</v>
      </c>
      <c r="I104">
        <v>90.445060659999996</v>
      </c>
      <c r="J104">
        <v>3.3621971309999998</v>
      </c>
      <c r="K104">
        <v>4.747322467</v>
      </c>
      <c r="L104">
        <v>1.445419738</v>
      </c>
      <c r="M104">
        <v>97.502301369999998</v>
      </c>
      <c r="N104">
        <v>1.2659328999999999</v>
      </c>
      <c r="O104">
        <v>1.167575187</v>
      </c>
      <c r="P104">
        <v>6.4190542059999994E-2</v>
      </c>
      <c r="U104">
        <f>ABS(Sheet1[[#This Row],[ARC_r]]-Sheet1[[#This Row],[ARC_u]])</f>
        <v>0</v>
      </c>
      <c r="V104">
        <f>ROUND(Sheet1[[#This Row],[wat_bas_n]],0)</f>
        <v>96</v>
      </c>
      <c r="W104">
        <f>ROUND(Sheet1[[#This Row],[wat_bas_r]],0)</f>
        <v>90</v>
      </c>
      <c r="X104">
        <f>ROUND(Sheet1[[#This Row],[wat_bas_u]],0)</f>
        <v>98</v>
      </c>
      <c r="Y104" s="1" t="str">
        <f t="shared" si="1"/>
        <v>not full access</v>
      </c>
      <c r="Z104" s="1" t="str">
        <f t="shared" si="2"/>
        <v>not full access</v>
      </c>
      <c r="AA104" s="1" t="str">
        <f t="shared" si="3"/>
        <v>not full access</v>
      </c>
    </row>
    <row r="105" spans="1:27" hidden="1" x14ac:dyDescent="0.25">
      <c r="A105" s="1" t="s">
        <v>133</v>
      </c>
      <c r="B105">
        <v>2020</v>
      </c>
      <c r="C105">
        <v>11326.61621</v>
      </c>
      <c r="D105">
        <v>77.194000239999994</v>
      </c>
      <c r="E105">
        <v>97.002696159999999</v>
      </c>
      <c r="F105">
        <v>1.471384542</v>
      </c>
      <c r="G105">
        <v>1.252811506</v>
      </c>
      <c r="H105">
        <v>0.27310779629999998</v>
      </c>
      <c r="I105">
        <v>94.386651139999998</v>
      </c>
      <c r="J105">
        <v>2.591752445</v>
      </c>
      <c r="K105">
        <v>1.9059729350000001</v>
      </c>
      <c r="L105">
        <v>1.115623477</v>
      </c>
      <c r="M105">
        <v>97.775576639999997</v>
      </c>
      <c r="N105">
        <v>1.1403859000000001</v>
      </c>
      <c r="O105">
        <v>1.059840374</v>
      </c>
      <c r="P105">
        <v>2.4197084109999999E-2</v>
      </c>
      <c r="Q105">
        <v>5</v>
      </c>
      <c r="R105">
        <v>0.2261799379999985</v>
      </c>
      <c r="S105">
        <v>0.78831809600000047</v>
      </c>
      <c r="T105">
        <v>5.4655053999999828E-2</v>
      </c>
      <c r="U105">
        <f>ABS(Sheet1[[#This Row],[ARC_r]]-Sheet1[[#This Row],[ARC_u]])</f>
        <v>0.73366304200000065</v>
      </c>
      <c r="V105">
        <f>ROUND(Sheet1[[#This Row],[wat_bas_n]],0)</f>
        <v>97</v>
      </c>
      <c r="W105">
        <f>ROUND(Sheet1[[#This Row],[wat_bas_r]],0)</f>
        <v>94</v>
      </c>
      <c r="X105">
        <f>ROUND(Sheet1[[#This Row],[wat_bas_u]],0)</f>
        <v>98</v>
      </c>
      <c r="Y105" s="1" t="str">
        <f t="shared" si="1"/>
        <v>not full access</v>
      </c>
      <c r="Z105" s="1" t="str">
        <f t="shared" si="2"/>
        <v>not full access</v>
      </c>
      <c r="AA105" s="1" t="str">
        <f t="shared" si="3"/>
        <v>not full access</v>
      </c>
    </row>
    <row r="106" spans="1:27" x14ac:dyDescent="0.25">
      <c r="A106" s="1" t="s">
        <v>92</v>
      </c>
      <c r="B106">
        <v>2015</v>
      </c>
      <c r="C106">
        <v>159.8500061</v>
      </c>
      <c r="D106">
        <v>89.35199738</v>
      </c>
      <c r="E106">
        <v>99.49775185</v>
      </c>
      <c r="F106">
        <v>0</v>
      </c>
      <c r="G106">
        <v>0.50224815249999999</v>
      </c>
      <c r="H106">
        <v>0</v>
      </c>
      <c r="U106">
        <f>ABS(Sheet1[[#This Row],[ARC_r]]-Sheet1[[#This Row],[ARC_u]])</f>
        <v>0</v>
      </c>
      <c r="V106">
        <f>ROUND(Sheet1[[#This Row],[wat_bas_n]],0)</f>
        <v>99</v>
      </c>
      <c r="W106">
        <f>ROUND(Sheet1[[#This Row],[wat_bas_r]],0)</f>
        <v>0</v>
      </c>
      <c r="X106">
        <f>ROUND(Sheet1[[#This Row],[wat_bas_u]],0)</f>
        <v>0</v>
      </c>
      <c r="Y106" s="1" t="str">
        <f t="shared" si="1"/>
        <v>full access</v>
      </c>
      <c r="Z106" s="1" t="str">
        <f t="shared" si="2"/>
        <v>not full access</v>
      </c>
      <c r="AA106" s="1" t="str">
        <f t="shared" si="3"/>
        <v>not full access</v>
      </c>
    </row>
    <row r="107" spans="1:27" x14ac:dyDescent="0.25">
      <c r="A107" s="1" t="s">
        <v>92</v>
      </c>
      <c r="B107">
        <v>2017</v>
      </c>
      <c r="C107">
        <v>161.98599239999999</v>
      </c>
      <c r="D107">
        <v>89.203002929999997</v>
      </c>
      <c r="E107">
        <v>99.49775185</v>
      </c>
      <c r="F107">
        <v>0</v>
      </c>
      <c r="G107">
        <v>0.50224815249999999</v>
      </c>
      <c r="H107">
        <v>0</v>
      </c>
      <c r="Q107">
        <v>2</v>
      </c>
      <c r="R107">
        <v>0</v>
      </c>
      <c r="U107">
        <f>ABS(Sheet1[[#This Row],[ARC_r]]-Sheet1[[#This Row],[ARC_u]])</f>
        <v>0</v>
      </c>
      <c r="V107">
        <f>ROUND(Sheet1[[#This Row],[wat_bas_n]],0)</f>
        <v>99</v>
      </c>
      <c r="W107">
        <f>ROUND(Sheet1[[#This Row],[wat_bas_r]],0)</f>
        <v>0</v>
      </c>
      <c r="X107">
        <f>ROUND(Sheet1[[#This Row],[wat_bas_u]],0)</f>
        <v>0</v>
      </c>
      <c r="Y107" s="1" t="str">
        <f t="shared" si="1"/>
        <v>full access</v>
      </c>
      <c r="Z107" s="1" t="str">
        <f t="shared" si="2"/>
        <v>not full access</v>
      </c>
      <c r="AA107" s="1" t="str">
        <f t="shared" si="3"/>
        <v>not full access</v>
      </c>
    </row>
    <row r="108" spans="1:27" x14ac:dyDescent="0.25">
      <c r="A108" s="1" t="s">
        <v>80</v>
      </c>
      <c r="B108">
        <v>2015</v>
      </c>
      <c r="C108">
        <v>1160.987061</v>
      </c>
      <c r="D108">
        <v>66.945999150000006</v>
      </c>
      <c r="E108">
        <v>99.788517569999996</v>
      </c>
      <c r="F108">
        <v>0</v>
      </c>
      <c r="G108">
        <v>0.21148243489999999</v>
      </c>
      <c r="H108">
        <v>0</v>
      </c>
      <c r="I108">
        <v>99.861185539999994</v>
      </c>
      <c r="J108">
        <v>0</v>
      </c>
      <c r="K108">
        <v>0.1388144553</v>
      </c>
      <c r="L108">
        <v>0</v>
      </c>
      <c r="M108">
        <v>99.752642309999999</v>
      </c>
      <c r="N108">
        <v>0</v>
      </c>
      <c r="O108">
        <v>0.24735769430000001</v>
      </c>
      <c r="P108">
        <v>0</v>
      </c>
      <c r="U108">
        <f>ABS(Sheet1[[#This Row],[ARC_r]]-Sheet1[[#This Row],[ARC_u]])</f>
        <v>0</v>
      </c>
      <c r="V108">
        <f>ROUND(Sheet1[[#This Row],[wat_bas_n]],0)</f>
        <v>100</v>
      </c>
      <c r="W108">
        <f>ROUND(Sheet1[[#This Row],[wat_bas_r]],0)</f>
        <v>100</v>
      </c>
      <c r="X108">
        <f>ROUND(Sheet1[[#This Row],[wat_bas_u]],0)</f>
        <v>100</v>
      </c>
      <c r="Y108" s="1" t="str">
        <f t="shared" si="1"/>
        <v>full access</v>
      </c>
      <c r="Z108" s="1" t="str">
        <f t="shared" si="2"/>
        <v>full access</v>
      </c>
      <c r="AA108" s="1" t="str">
        <f t="shared" si="3"/>
        <v>full access</v>
      </c>
    </row>
    <row r="109" spans="1:27" x14ac:dyDescent="0.25">
      <c r="A109" s="1" t="s">
        <v>80</v>
      </c>
      <c r="B109">
        <v>2020</v>
      </c>
      <c r="C109">
        <v>1207.360962</v>
      </c>
      <c r="D109">
        <v>66.820999150000006</v>
      </c>
      <c r="E109">
        <v>99.765173180000005</v>
      </c>
      <c r="F109">
        <v>0</v>
      </c>
      <c r="G109">
        <v>0.2348268167</v>
      </c>
      <c r="H109">
        <v>0</v>
      </c>
      <c r="I109">
        <v>99.845761719999999</v>
      </c>
      <c r="J109">
        <v>0</v>
      </c>
      <c r="K109">
        <v>0.1542382836</v>
      </c>
      <c r="L109">
        <v>0</v>
      </c>
      <c r="M109">
        <v>99.725158120000003</v>
      </c>
      <c r="N109">
        <v>0</v>
      </c>
      <c r="O109">
        <v>0.27484188250000002</v>
      </c>
      <c r="P109">
        <v>0</v>
      </c>
      <c r="Q109">
        <v>5</v>
      </c>
      <c r="R109">
        <v>-4.668877999998244E-3</v>
      </c>
      <c r="S109">
        <v>-3.084763999999041E-3</v>
      </c>
      <c r="T109">
        <v>-5.4968379999991157E-3</v>
      </c>
      <c r="U109">
        <f>ABS(Sheet1[[#This Row],[ARC_r]]-Sheet1[[#This Row],[ARC_u]])</f>
        <v>2.4120740000000748E-3</v>
      </c>
      <c r="V109">
        <f>ROUND(Sheet1[[#This Row],[wat_bas_n]],0)</f>
        <v>100</v>
      </c>
      <c r="W109">
        <f>ROUND(Sheet1[[#This Row],[wat_bas_r]],0)</f>
        <v>100</v>
      </c>
      <c r="X109">
        <f>ROUND(Sheet1[[#This Row],[wat_bas_u]],0)</f>
        <v>100</v>
      </c>
      <c r="Y109" s="1" t="str">
        <f t="shared" si="1"/>
        <v>full access</v>
      </c>
      <c r="Z109" s="1" t="str">
        <f t="shared" si="2"/>
        <v>full access</v>
      </c>
      <c r="AA109" s="1" t="str">
        <f t="shared" si="3"/>
        <v>full access</v>
      </c>
    </row>
    <row r="110" spans="1:27" x14ac:dyDescent="0.25">
      <c r="A110" s="1" t="s">
        <v>73</v>
      </c>
      <c r="B110">
        <v>2015</v>
      </c>
      <c r="C110">
        <v>10601.389649999999</v>
      </c>
      <c r="D110">
        <v>73.47699738</v>
      </c>
      <c r="E110">
        <v>99.880092689999998</v>
      </c>
      <c r="F110">
        <v>0</v>
      </c>
      <c r="G110">
        <v>0.11990731189999999</v>
      </c>
      <c r="H110">
        <v>0</v>
      </c>
      <c r="I110">
        <v>99.817599299999998</v>
      </c>
      <c r="J110">
        <v>0</v>
      </c>
      <c r="K110">
        <v>0.18240069649999999</v>
      </c>
      <c r="L110">
        <v>0</v>
      </c>
      <c r="M110">
        <v>99.902650929999993</v>
      </c>
      <c r="N110">
        <v>0</v>
      </c>
      <c r="O110">
        <v>9.7349067900000003E-2</v>
      </c>
      <c r="P110">
        <v>0</v>
      </c>
      <c r="U110">
        <f>ABS(Sheet1[[#This Row],[ARC_r]]-Sheet1[[#This Row],[ARC_u]])</f>
        <v>0</v>
      </c>
      <c r="V110">
        <f>ROUND(Sheet1[[#This Row],[wat_bas_n]],0)</f>
        <v>100</v>
      </c>
      <c r="W110">
        <f>ROUND(Sheet1[[#This Row],[wat_bas_r]],0)</f>
        <v>100</v>
      </c>
      <c r="X110">
        <f>ROUND(Sheet1[[#This Row],[wat_bas_u]],0)</f>
        <v>100</v>
      </c>
      <c r="Y110" s="1" t="str">
        <f t="shared" si="1"/>
        <v>full access</v>
      </c>
      <c r="Z110" s="1" t="str">
        <f t="shared" si="2"/>
        <v>full access</v>
      </c>
      <c r="AA110" s="1" t="str">
        <f t="shared" si="3"/>
        <v>full access</v>
      </c>
    </row>
    <row r="111" spans="1:27" x14ac:dyDescent="0.25">
      <c r="A111" s="1" t="s">
        <v>73</v>
      </c>
      <c r="B111">
        <v>2020</v>
      </c>
      <c r="C111">
        <v>10708.98242</v>
      </c>
      <c r="D111">
        <v>74.061004639999993</v>
      </c>
      <c r="E111">
        <v>99.880591670000001</v>
      </c>
      <c r="F111">
        <v>0</v>
      </c>
      <c r="G111">
        <v>0.11940833250000001</v>
      </c>
      <c r="H111">
        <v>0</v>
      </c>
      <c r="I111">
        <v>99.817599299999998</v>
      </c>
      <c r="J111">
        <v>0</v>
      </c>
      <c r="K111">
        <v>0.18240069649999999</v>
      </c>
      <c r="L111">
        <v>0</v>
      </c>
      <c r="M111">
        <v>99.902650929999993</v>
      </c>
      <c r="N111">
        <v>0</v>
      </c>
      <c r="O111">
        <v>9.7349067900000003E-2</v>
      </c>
      <c r="P111">
        <v>0</v>
      </c>
      <c r="Q111">
        <v>5</v>
      </c>
      <c r="R111">
        <v>9.9796000000651475E-5</v>
      </c>
      <c r="S111">
        <v>0</v>
      </c>
      <c r="T111">
        <v>0</v>
      </c>
      <c r="U111">
        <f>ABS(Sheet1[[#This Row],[ARC_r]]-Sheet1[[#This Row],[ARC_u]])</f>
        <v>0</v>
      </c>
      <c r="V111">
        <f>ROUND(Sheet1[[#This Row],[wat_bas_n]],0)</f>
        <v>100</v>
      </c>
      <c r="W111">
        <f>ROUND(Sheet1[[#This Row],[wat_bas_r]],0)</f>
        <v>100</v>
      </c>
      <c r="X111">
        <f>ROUND(Sheet1[[#This Row],[wat_bas_u]],0)</f>
        <v>100</v>
      </c>
      <c r="Y111" s="1" t="str">
        <f t="shared" si="1"/>
        <v>full access</v>
      </c>
      <c r="Z111" s="1" t="str">
        <f t="shared" si="2"/>
        <v>full access</v>
      </c>
      <c r="AA111" s="1" t="str">
        <f t="shared" si="3"/>
        <v>full access</v>
      </c>
    </row>
    <row r="112" spans="1:27" hidden="1" x14ac:dyDescent="0.25">
      <c r="A112" s="1" t="s">
        <v>213</v>
      </c>
      <c r="B112">
        <v>2015</v>
      </c>
      <c r="C112">
        <v>23226.148440000001</v>
      </c>
      <c r="D112">
        <v>49.444000240000001</v>
      </c>
      <c r="E112">
        <v>71.075766900000005</v>
      </c>
      <c r="F112">
        <v>8.7671364589999996</v>
      </c>
      <c r="G112">
        <v>14.417680539999999</v>
      </c>
      <c r="H112">
        <v>5.7394160950000002</v>
      </c>
      <c r="I112">
        <v>55.843171720000001</v>
      </c>
      <c r="J112">
        <v>13.188467299999999</v>
      </c>
      <c r="K112">
        <v>22.631284709999999</v>
      </c>
      <c r="L112">
        <v>8.3370762729999992</v>
      </c>
      <c r="M112">
        <v>86.650945350000001</v>
      </c>
      <c r="N112">
        <v>4.2463692540000002</v>
      </c>
      <c r="O112">
        <v>6.0193512360000003</v>
      </c>
      <c r="P112">
        <v>3.083334164</v>
      </c>
      <c r="U112">
        <f>ABS(Sheet1[[#This Row],[ARC_r]]-Sheet1[[#This Row],[ARC_u]])</f>
        <v>0</v>
      </c>
      <c r="V112">
        <f>ROUND(Sheet1[[#This Row],[wat_bas_n]],0)</f>
        <v>71</v>
      </c>
      <c r="W112">
        <f>ROUND(Sheet1[[#This Row],[wat_bas_r]],0)</f>
        <v>56</v>
      </c>
      <c r="X112">
        <f>ROUND(Sheet1[[#This Row],[wat_bas_u]],0)</f>
        <v>87</v>
      </c>
      <c r="Y112" s="1" t="str">
        <f t="shared" si="1"/>
        <v>not full access</v>
      </c>
      <c r="Z112" s="1" t="str">
        <f t="shared" si="2"/>
        <v>not full access</v>
      </c>
      <c r="AA112" s="1" t="str">
        <f t="shared" si="3"/>
        <v>not full access</v>
      </c>
    </row>
    <row r="113" spans="1:27" hidden="1" x14ac:dyDescent="0.25">
      <c r="A113" s="1" t="s">
        <v>213</v>
      </c>
      <c r="B113">
        <v>2020</v>
      </c>
      <c r="C113">
        <v>26378.275389999999</v>
      </c>
      <c r="D113">
        <v>51.70599747</v>
      </c>
      <c r="E113">
        <v>70.909070389999997</v>
      </c>
      <c r="F113">
        <v>8.9354217019999993</v>
      </c>
      <c r="G113">
        <v>14.192441609999999</v>
      </c>
      <c r="H113">
        <v>5.9630662929999998</v>
      </c>
      <c r="I113">
        <v>55.722446859999998</v>
      </c>
      <c r="J113">
        <v>13.343168289999999</v>
      </c>
      <c r="K113">
        <v>23.17527956</v>
      </c>
      <c r="L113">
        <v>7.7591052889999998</v>
      </c>
      <c r="M113">
        <v>85.093553290000003</v>
      </c>
      <c r="N113">
        <v>4.8185351560000003</v>
      </c>
      <c r="O113">
        <v>5.8023665600000003</v>
      </c>
      <c r="P113">
        <v>4.2855449940000003</v>
      </c>
      <c r="Q113">
        <v>5</v>
      </c>
      <c r="R113">
        <v>-3.333930200000168E-2</v>
      </c>
      <c r="S113">
        <v>-2.4144972000000559E-2</v>
      </c>
      <c r="T113">
        <v>-0.31147841199999959</v>
      </c>
      <c r="U113">
        <f>ABS(Sheet1[[#This Row],[ARC_r]]-Sheet1[[#This Row],[ARC_u]])</f>
        <v>0.28733343999999905</v>
      </c>
      <c r="V113">
        <f>ROUND(Sheet1[[#This Row],[wat_bas_n]],0)</f>
        <v>71</v>
      </c>
      <c r="W113">
        <f>ROUND(Sheet1[[#This Row],[wat_bas_r]],0)</f>
        <v>56</v>
      </c>
      <c r="X113">
        <f>ROUND(Sheet1[[#This Row],[wat_bas_u]],0)</f>
        <v>85</v>
      </c>
      <c r="Y113" s="1" t="str">
        <f t="shared" si="1"/>
        <v>not full access</v>
      </c>
      <c r="Z113" s="1" t="str">
        <f t="shared" si="2"/>
        <v>not full access</v>
      </c>
      <c r="AA113" s="1" t="str">
        <f t="shared" si="3"/>
        <v>not full access</v>
      </c>
    </row>
    <row r="114" spans="1:27" hidden="1" x14ac:dyDescent="0.25">
      <c r="A114" s="1" t="s">
        <v>154</v>
      </c>
      <c r="B114">
        <v>2015</v>
      </c>
      <c r="C114">
        <v>25183.832030000001</v>
      </c>
      <c r="D114">
        <v>61.277004239999997</v>
      </c>
      <c r="E114">
        <v>95.21488171</v>
      </c>
      <c r="F114">
        <v>0.68500239009999997</v>
      </c>
      <c r="G114">
        <v>3.8290549180000002</v>
      </c>
      <c r="H114">
        <v>0.27106098029999998</v>
      </c>
      <c r="I114">
        <v>91.616968420000006</v>
      </c>
      <c r="J114">
        <v>0.36793963219999998</v>
      </c>
      <c r="K114">
        <v>7.3150919439999997</v>
      </c>
      <c r="L114">
        <v>0.7</v>
      </c>
      <c r="M114">
        <v>97.48852402</v>
      </c>
      <c r="N114">
        <v>0.88536500119999995</v>
      </c>
      <c r="O114">
        <v>1.626110978</v>
      </c>
      <c r="P114">
        <v>0</v>
      </c>
      <c r="U114">
        <f>ABS(Sheet1[[#This Row],[ARC_r]]-Sheet1[[#This Row],[ARC_u]])</f>
        <v>0</v>
      </c>
      <c r="V114">
        <f>ROUND(Sheet1[[#This Row],[wat_bas_n]],0)</f>
        <v>95</v>
      </c>
      <c r="W114">
        <f>ROUND(Sheet1[[#This Row],[wat_bas_r]],0)</f>
        <v>92</v>
      </c>
      <c r="X114">
        <f>ROUND(Sheet1[[#This Row],[wat_bas_u]],0)</f>
        <v>97</v>
      </c>
      <c r="Y114" s="1" t="str">
        <f t="shared" si="1"/>
        <v>not full access</v>
      </c>
      <c r="Z114" s="1" t="str">
        <f t="shared" si="2"/>
        <v>not full access</v>
      </c>
      <c r="AA114" s="1" t="str">
        <f t="shared" si="3"/>
        <v>not full access</v>
      </c>
    </row>
    <row r="115" spans="1:27" hidden="1" x14ac:dyDescent="0.25">
      <c r="A115" s="1" t="s">
        <v>154</v>
      </c>
      <c r="B115">
        <v>2020</v>
      </c>
      <c r="C115">
        <v>25778.814450000002</v>
      </c>
      <c r="D115">
        <v>62.381000520000001</v>
      </c>
      <c r="E115">
        <v>93.843843030000002</v>
      </c>
      <c r="F115">
        <v>0.68313118719999999</v>
      </c>
      <c r="G115">
        <v>5.2096927800000001</v>
      </c>
      <c r="H115">
        <v>0.26333300580000002</v>
      </c>
      <c r="I115">
        <v>88.753624880000004</v>
      </c>
      <c r="J115">
        <v>0.3564402606</v>
      </c>
      <c r="K115">
        <v>10.189934859999999</v>
      </c>
      <c r="L115">
        <v>0.7</v>
      </c>
      <c r="M115">
        <v>96.913510439999996</v>
      </c>
      <c r="N115">
        <v>0.88014287989999995</v>
      </c>
      <c r="O115">
        <v>2.206346677</v>
      </c>
      <c r="P115">
        <v>0</v>
      </c>
      <c r="Q115">
        <v>5</v>
      </c>
      <c r="R115">
        <v>-0.27420773599999959</v>
      </c>
      <c r="S115">
        <v>-0.57266870800000047</v>
      </c>
      <c r="T115">
        <v>-0.1150027160000008</v>
      </c>
      <c r="U115">
        <f>ABS(Sheet1[[#This Row],[ARC_r]]-Sheet1[[#This Row],[ARC_u]])</f>
        <v>0.45766599199999969</v>
      </c>
      <c r="V115">
        <f>ROUND(Sheet1[[#This Row],[wat_bas_n]],0)</f>
        <v>94</v>
      </c>
      <c r="W115">
        <f>ROUND(Sheet1[[#This Row],[wat_bas_r]],0)</f>
        <v>89</v>
      </c>
      <c r="X115">
        <f>ROUND(Sheet1[[#This Row],[wat_bas_u]],0)</f>
        <v>97</v>
      </c>
      <c r="Y115" s="1" t="str">
        <f t="shared" si="1"/>
        <v>not full access</v>
      </c>
      <c r="Z115" s="1" t="str">
        <f t="shared" si="2"/>
        <v>not full access</v>
      </c>
      <c r="AA115" s="1" t="str">
        <f t="shared" si="3"/>
        <v>not full access</v>
      </c>
    </row>
    <row r="116" spans="1:27" hidden="1" x14ac:dyDescent="0.25">
      <c r="A116" s="1" t="s">
        <v>243</v>
      </c>
      <c r="B116">
        <v>2015</v>
      </c>
      <c r="C116">
        <v>76244.53125</v>
      </c>
      <c r="D116">
        <v>42.739997860000003</v>
      </c>
      <c r="E116">
        <v>42.718179970000001</v>
      </c>
      <c r="F116">
        <v>12.68729907</v>
      </c>
      <c r="G116">
        <v>34.284024770000002</v>
      </c>
      <c r="H116">
        <v>10.31049619</v>
      </c>
      <c r="I116">
        <v>20.6225138</v>
      </c>
      <c r="J116">
        <v>11.51689397</v>
      </c>
      <c r="K116">
        <v>51.009840029999999</v>
      </c>
      <c r="L116">
        <v>16.850752199999999</v>
      </c>
      <c r="M116">
        <v>72.320377789999995</v>
      </c>
      <c r="N116">
        <v>14.255324979999999</v>
      </c>
      <c r="O116">
        <v>11.87596826</v>
      </c>
      <c r="P116">
        <v>1.548328967</v>
      </c>
      <c r="U116">
        <f>ABS(Sheet1[[#This Row],[ARC_r]]-Sheet1[[#This Row],[ARC_u]])</f>
        <v>0</v>
      </c>
      <c r="V116">
        <f>ROUND(Sheet1[[#This Row],[wat_bas_n]],0)</f>
        <v>43</v>
      </c>
      <c r="W116">
        <f>ROUND(Sheet1[[#This Row],[wat_bas_r]],0)</f>
        <v>21</v>
      </c>
      <c r="X116">
        <f>ROUND(Sheet1[[#This Row],[wat_bas_u]],0)</f>
        <v>72</v>
      </c>
      <c r="Y116" s="1" t="str">
        <f t="shared" si="1"/>
        <v>not full access</v>
      </c>
      <c r="Z116" s="1" t="str">
        <f t="shared" si="2"/>
        <v>not full access</v>
      </c>
      <c r="AA116" s="1" t="str">
        <f t="shared" si="3"/>
        <v>not full access</v>
      </c>
    </row>
    <row r="117" spans="1:27" hidden="1" x14ac:dyDescent="0.25">
      <c r="A117" s="1" t="s">
        <v>243</v>
      </c>
      <c r="B117">
        <v>2020</v>
      </c>
      <c r="C117">
        <v>89561.40625</v>
      </c>
      <c r="D117">
        <v>45.638000490000003</v>
      </c>
      <c r="E117">
        <v>45.952126960000001</v>
      </c>
      <c r="F117">
        <v>13.44122447</v>
      </c>
      <c r="G117">
        <v>32.542316069999998</v>
      </c>
      <c r="H117">
        <v>8.0643324950000004</v>
      </c>
      <c r="I117">
        <v>21.98279234</v>
      </c>
      <c r="J117">
        <v>12.68294146</v>
      </c>
      <c r="K117">
        <v>51.215981669999998</v>
      </c>
      <c r="L117">
        <v>14.11828453</v>
      </c>
      <c r="M117">
        <v>74.503354779999995</v>
      </c>
      <c r="N117">
        <v>14.34445818</v>
      </c>
      <c r="O117">
        <v>10.29905862</v>
      </c>
      <c r="P117">
        <v>0.85312841309999998</v>
      </c>
      <c r="Q117">
        <v>5</v>
      </c>
      <c r="R117">
        <v>0.6467893979999999</v>
      </c>
      <c r="S117">
        <v>0.2720557079999999</v>
      </c>
      <c r="T117">
        <v>0.43659539800000002</v>
      </c>
      <c r="U117">
        <f>ABS(Sheet1[[#This Row],[ARC_r]]-Sheet1[[#This Row],[ARC_u]])</f>
        <v>0.16453969000000013</v>
      </c>
      <c r="V117">
        <f>ROUND(Sheet1[[#This Row],[wat_bas_n]],0)</f>
        <v>46</v>
      </c>
      <c r="W117">
        <f>ROUND(Sheet1[[#This Row],[wat_bas_r]],0)</f>
        <v>22</v>
      </c>
      <c r="X117">
        <f>ROUND(Sheet1[[#This Row],[wat_bas_u]],0)</f>
        <v>75</v>
      </c>
      <c r="Y117" s="1" t="str">
        <f t="shared" si="1"/>
        <v>not full access</v>
      </c>
      <c r="Z117" s="1" t="str">
        <f t="shared" si="2"/>
        <v>not full access</v>
      </c>
      <c r="AA117" s="1" t="str">
        <f t="shared" si="3"/>
        <v>not full access</v>
      </c>
    </row>
    <row r="118" spans="1:27" x14ac:dyDescent="0.25">
      <c r="A118" s="1" t="s">
        <v>29</v>
      </c>
      <c r="B118">
        <v>2015</v>
      </c>
      <c r="C118">
        <v>5688.6948240000002</v>
      </c>
      <c r="D118">
        <v>87.526000980000006</v>
      </c>
      <c r="E118">
        <v>99.99999785</v>
      </c>
      <c r="F118">
        <v>0</v>
      </c>
      <c r="G118">
        <v>2.1458404119999999E-6</v>
      </c>
      <c r="H118">
        <v>0</v>
      </c>
      <c r="I118">
        <v>100</v>
      </c>
      <c r="J118">
        <v>0</v>
      </c>
      <c r="K118">
        <v>0</v>
      </c>
      <c r="L118">
        <v>0</v>
      </c>
      <c r="M118">
        <v>100</v>
      </c>
      <c r="N118">
        <v>0</v>
      </c>
      <c r="O118">
        <v>0</v>
      </c>
      <c r="P118">
        <v>0</v>
      </c>
      <c r="U118">
        <f>ABS(Sheet1[[#This Row],[ARC_r]]-Sheet1[[#This Row],[ARC_u]])</f>
        <v>0</v>
      </c>
      <c r="V118">
        <f>ROUND(Sheet1[[#This Row],[wat_bas_n]],0)</f>
        <v>100</v>
      </c>
      <c r="W118">
        <f>ROUND(Sheet1[[#This Row],[wat_bas_r]],0)</f>
        <v>100</v>
      </c>
      <c r="X118">
        <f>ROUND(Sheet1[[#This Row],[wat_bas_u]],0)</f>
        <v>100</v>
      </c>
      <c r="Y118" s="1" t="str">
        <f t="shared" si="1"/>
        <v>full access</v>
      </c>
      <c r="Z118" s="1" t="str">
        <f t="shared" si="2"/>
        <v>full access</v>
      </c>
      <c r="AA118" s="1" t="str">
        <f t="shared" si="3"/>
        <v>full access</v>
      </c>
    </row>
    <row r="119" spans="1:27" x14ac:dyDescent="0.25">
      <c r="A119" s="1" t="s">
        <v>29</v>
      </c>
      <c r="B119">
        <v>2020</v>
      </c>
      <c r="C119">
        <v>5792.203125</v>
      </c>
      <c r="D119">
        <v>88.116004939999996</v>
      </c>
      <c r="E119">
        <v>100.00000110000001</v>
      </c>
      <c r="F119">
        <v>0</v>
      </c>
      <c r="G119">
        <v>0</v>
      </c>
      <c r="H119">
        <v>0</v>
      </c>
      <c r="I119">
        <v>100</v>
      </c>
      <c r="J119">
        <v>0</v>
      </c>
      <c r="K119">
        <v>0</v>
      </c>
      <c r="L119">
        <v>0</v>
      </c>
      <c r="M119">
        <v>100</v>
      </c>
      <c r="N119">
        <v>0</v>
      </c>
      <c r="O119">
        <v>0</v>
      </c>
      <c r="P119">
        <v>0</v>
      </c>
      <c r="Q119">
        <v>5</v>
      </c>
      <c r="R119">
        <v>6.5000000120107866E-7</v>
      </c>
      <c r="S119">
        <v>0</v>
      </c>
      <c r="T119">
        <v>0</v>
      </c>
      <c r="U119">
        <f>ABS(Sheet1[[#This Row],[ARC_r]]-Sheet1[[#This Row],[ARC_u]])</f>
        <v>0</v>
      </c>
      <c r="V119">
        <f>ROUND(Sheet1[[#This Row],[wat_bas_n]],0)</f>
        <v>100</v>
      </c>
      <c r="W119">
        <f>ROUND(Sheet1[[#This Row],[wat_bas_r]],0)</f>
        <v>100</v>
      </c>
      <c r="X119">
        <f>ROUND(Sheet1[[#This Row],[wat_bas_u]],0)</f>
        <v>100</v>
      </c>
      <c r="Y119" s="1" t="str">
        <f t="shared" si="1"/>
        <v>full access</v>
      </c>
      <c r="Z119" s="1" t="str">
        <f t="shared" si="2"/>
        <v>full access</v>
      </c>
      <c r="AA119" s="1" t="str">
        <f t="shared" si="3"/>
        <v>full access</v>
      </c>
    </row>
    <row r="120" spans="1:27" hidden="1" x14ac:dyDescent="0.25">
      <c r="A120" s="1" t="s">
        <v>206</v>
      </c>
      <c r="B120">
        <v>2015</v>
      </c>
      <c r="C120">
        <v>913.99798580000004</v>
      </c>
      <c r="D120">
        <v>77.416992190000002</v>
      </c>
      <c r="E120">
        <v>75.787045030000002</v>
      </c>
      <c r="F120">
        <v>14.754171189999999</v>
      </c>
      <c r="G120">
        <v>7.3949239499999999</v>
      </c>
      <c r="H120">
        <v>2.0638598250000002</v>
      </c>
      <c r="I120">
        <v>48.759205090000002</v>
      </c>
      <c r="J120">
        <v>12.43877762</v>
      </c>
      <c r="K120">
        <v>30.377002539999999</v>
      </c>
      <c r="L120">
        <v>8.4250147539999993</v>
      </c>
      <c r="M120">
        <v>83.671229850000003</v>
      </c>
      <c r="N120">
        <v>15.42958572</v>
      </c>
      <c r="O120">
        <v>0.69091164790000004</v>
      </c>
      <c r="P120">
        <v>0.20827278539999999</v>
      </c>
      <c r="U120">
        <f>ABS(Sheet1[[#This Row],[ARC_r]]-Sheet1[[#This Row],[ARC_u]])</f>
        <v>0</v>
      </c>
      <c r="V120">
        <f>ROUND(Sheet1[[#This Row],[wat_bas_n]],0)</f>
        <v>76</v>
      </c>
      <c r="W120">
        <f>ROUND(Sheet1[[#This Row],[wat_bas_r]],0)</f>
        <v>49</v>
      </c>
      <c r="X120">
        <f>ROUND(Sheet1[[#This Row],[wat_bas_u]],0)</f>
        <v>84</v>
      </c>
      <c r="Y120" s="1" t="str">
        <f t="shared" si="1"/>
        <v>not full access</v>
      </c>
      <c r="Z120" s="1" t="str">
        <f t="shared" si="2"/>
        <v>not full access</v>
      </c>
      <c r="AA120" s="1" t="str">
        <f t="shared" si="3"/>
        <v>not full access</v>
      </c>
    </row>
    <row r="121" spans="1:27" hidden="1" x14ac:dyDescent="0.25">
      <c r="A121" s="1" t="s">
        <v>206</v>
      </c>
      <c r="B121">
        <v>2020</v>
      </c>
      <c r="C121">
        <v>988.00201419999996</v>
      </c>
      <c r="D121">
        <v>78.061996460000003</v>
      </c>
      <c r="E121">
        <v>76.049920209999996</v>
      </c>
      <c r="F121">
        <v>14.7574817</v>
      </c>
      <c r="G121">
        <v>7.0158760510000002</v>
      </c>
      <c r="H121">
        <v>2.1767220379999999</v>
      </c>
      <c r="I121">
        <v>47.280732929999999</v>
      </c>
      <c r="J121">
        <v>12.061610140000001</v>
      </c>
      <c r="K121">
        <v>30.735504679999998</v>
      </c>
      <c r="L121">
        <v>9.9221522489999998</v>
      </c>
      <c r="M121">
        <v>84.135014929999997</v>
      </c>
      <c r="N121">
        <v>15.51511107</v>
      </c>
      <c r="O121">
        <v>0.34987400289999998</v>
      </c>
      <c r="P121">
        <v>0</v>
      </c>
      <c r="Q121">
        <v>5</v>
      </c>
      <c r="R121">
        <v>5.257503599999893E-2</v>
      </c>
      <c r="S121">
        <v>-0.29569443200000051</v>
      </c>
      <c r="T121">
        <v>9.2757015999998776E-2</v>
      </c>
      <c r="U121">
        <f>ABS(Sheet1[[#This Row],[ARC_r]]-Sheet1[[#This Row],[ARC_u]])</f>
        <v>0.38845144799999931</v>
      </c>
      <c r="V121">
        <f>ROUND(Sheet1[[#This Row],[wat_bas_n]],0)</f>
        <v>76</v>
      </c>
      <c r="W121">
        <f>ROUND(Sheet1[[#This Row],[wat_bas_r]],0)</f>
        <v>47</v>
      </c>
      <c r="X121">
        <f>ROUND(Sheet1[[#This Row],[wat_bas_u]],0)</f>
        <v>84</v>
      </c>
      <c r="Y121" s="1" t="str">
        <f t="shared" si="1"/>
        <v>not full access</v>
      </c>
      <c r="Z121" s="1" t="str">
        <f t="shared" si="2"/>
        <v>not full access</v>
      </c>
      <c r="AA121" s="1" t="str">
        <f t="shared" si="3"/>
        <v>not full access</v>
      </c>
    </row>
    <row r="122" spans="1:27" hidden="1" x14ac:dyDescent="0.25">
      <c r="A122" s="1" t="s">
        <v>149</v>
      </c>
      <c r="B122">
        <v>2015</v>
      </c>
      <c r="C122">
        <v>71.175003050000001</v>
      </c>
      <c r="D122">
        <v>69.578994750000007</v>
      </c>
      <c r="E122">
        <v>95.420656059999999</v>
      </c>
      <c r="F122">
        <v>0</v>
      </c>
      <c r="G122">
        <v>4.579343937</v>
      </c>
      <c r="H122">
        <v>0</v>
      </c>
      <c r="U122">
        <f>ABS(Sheet1[[#This Row],[ARC_r]]-Sheet1[[#This Row],[ARC_u]])</f>
        <v>0</v>
      </c>
      <c r="V122">
        <f>ROUND(Sheet1[[#This Row],[wat_bas_n]],0)</f>
        <v>95</v>
      </c>
      <c r="W122">
        <f>ROUND(Sheet1[[#This Row],[wat_bas_r]],0)</f>
        <v>0</v>
      </c>
      <c r="X122">
        <f>ROUND(Sheet1[[#This Row],[wat_bas_u]],0)</f>
        <v>0</v>
      </c>
      <c r="Y122" s="1" t="str">
        <f t="shared" si="1"/>
        <v>not full access</v>
      </c>
      <c r="Z122" s="1" t="str">
        <f t="shared" si="2"/>
        <v>not full access</v>
      </c>
      <c r="AA122" s="1" t="str">
        <f t="shared" si="3"/>
        <v>not full access</v>
      </c>
    </row>
    <row r="123" spans="1:27" hidden="1" x14ac:dyDescent="0.25">
      <c r="A123" s="1" t="s">
        <v>149</v>
      </c>
      <c r="B123">
        <v>2017</v>
      </c>
      <c r="C123">
        <v>71.459999080000003</v>
      </c>
      <c r="D123">
        <v>70.180999760000006</v>
      </c>
      <c r="E123">
        <v>95.420656059999999</v>
      </c>
      <c r="F123">
        <v>0</v>
      </c>
      <c r="G123">
        <v>4.579343937</v>
      </c>
      <c r="H123">
        <v>0</v>
      </c>
      <c r="Q123">
        <v>2</v>
      </c>
      <c r="R123">
        <v>0</v>
      </c>
      <c r="U123">
        <f>ABS(Sheet1[[#This Row],[ARC_r]]-Sheet1[[#This Row],[ARC_u]])</f>
        <v>0</v>
      </c>
      <c r="V123">
        <f>ROUND(Sheet1[[#This Row],[wat_bas_n]],0)</f>
        <v>95</v>
      </c>
      <c r="W123">
        <f>ROUND(Sheet1[[#This Row],[wat_bas_r]],0)</f>
        <v>0</v>
      </c>
      <c r="X123">
        <f>ROUND(Sheet1[[#This Row],[wat_bas_u]],0)</f>
        <v>0</v>
      </c>
      <c r="Y123" s="1" t="str">
        <f t="shared" si="1"/>
        <v>not full access</v>
      </c>
      <c r="Z123" s="1" t="str">
        <f t="shared" si="2"/>
        <v>not full access</v>
      </c>
      <c r="AA123" s="1" t="str">
        <f t="shared" si="3"/>
        <v>not full access</v>
      </c>
    </row>
    <row r="124" spans="1:27" hidden="1" x14ac:dyDescent="0.25">
      <c r="A124" s="1" t="s">
        <v>140</v>
      </c>
      <c r="B124">
        <v>2015</v>
      </c>
      <c r="C124">
        <v>10281.674800000001</v>
      </c>
      <c r="D124">
        <v>78.566001889999995</v>
      </c>
      <c r="E124">
        <v>96.099338500000002</v>
      </c>
      <c r="F124">
        <v>0.69521221550000001</v>
      </c>
      <c r="G124">
        <v>1.5505944979999999</v>
      </c>
      <c r="H124">
        <v>1.654854791</v>
      </c>
      <c r="I124">
        <v>89.211043779999997</v>
      </c>
      <c r="J124">
        <v>1.8228771610000001</v>
      </c>
      <c r="K124">
        <v>2.4418886230000001</v>
      </c>
      <c r="L124">
        <v>6.5241904399999999</v>
      </c>
      <c r="M124">
        <v>97.978569809999996</v>
      </c>
      <c r="N124">
        <v>0.3875681084</v>
      </c>
      <c r="O124">
        <v>1.3074359369999999</v>
      </c>
      <c r="P124">
        <v>0.32642614349999999</v>
      </c>
      <c r="U124">
        <f>ABS(Sheet1[[#This Row],[ARC_r]]-Sheet1[[#This Row],[ARC_u]])</f>
        <v>0</v>
      </c>
      <c r="V124">
        <f>ROUND(Sheet1[[#This Row],[wat_bas_n]],0)</f>
        <v>96</v>
      </c>
      <c r="W124">
        <f>ROUND(Sheet1[[#This Row],[wat_bas_r]],0)</f>
        <v>89</v>
      </c>
      <c r="X124">
        <f>ROUND(Sheet1[[#This Row],[wat_bas_u]],0)</f>
        <v>98</v>
      </c>
      <c r="Y124" s="1" t="str">
        <f t="shared" si="1"/>
        <v>not full access</v>
      </c>
      <c r="Z124" s="1" t="str">
        <f t="shared" si="2"/>
        <v>not full access</v>
      </c>
      <c r="AA124" s="1" t="str">
        <f t="shared" si="3"/>
        <v>not full access</v>
      </c>
    </row>
    <row r="125" spans="1:27" hidden="1" x14ac:dyDescent="0.25">
      <c r="A125" s="1" t="s">
        <v>140</v>
      </c>
      <c r="B125">
        <v>2020</v>
      </c>
      <c r="C125">
        <v>10847.9043</v>
      </c>
      <c r="D125">
        <v>82.540000919999997</v>
      </c>
      <c r="E125">
        <v>96.686811919999997</v>
      </c>
      <c r="F125">
        <v>0.46703865039999998</v>
      </c>
      <c r="G125">
        <v>1.2694287829999999</v>
      </c>
      <c r="H125">
        <v>1.5767206439999999</v>
      </c>
      <c r="I125">
        <v>90.304464370000005</v>
      </c>
      <c r="J125">
        <v>1.3853155079999999</v>
      </c>
      <c r="K125">
        <v>1.1151181269999999</v>
      </c>
      <c r="L125">
        <v>7.1951019909999996</v>
      </c>
      <c r="M125">
        <v>98.036891580000002</v>
      </c>
      <c r="N125">
        <v>0.27279203590000001</v>
      </c>
      <c r="O125">
        <v>1.3020733959999999</v>
      </c>
      <c r="P125">
        <v>0.38824299220000003</v>
      </c>
      <c r="Q125">
        <v>5</v>
      </c>
      <c r="R125">
        <v>0.117494683999999</v>
      </c>
      <c r="S125">
        <v>0.21868411800000159</v>
      </c>
      <c r="T125">
        <v>1.1664354000001251E-2</v>
      </c>
      <c r="U125">
        <f>ABS(Sheet1[[#This Row],[ARC_r]]-Sheet1[[#This Row],[ARC_u]])</f>
        <v>0.20701976400000033</v>
      </c>
      <c r="V125">
        <f>ROUND(Sheet1[[#This Row],[wat_bas_n]],0)</f>
        <v>97</v>
      </c>
      <c r="W125">
        <f>ROUND(Sheet1[[#This Row],[wat_bas_r]],0)</f>
        <v>90</v>
      </c>
      <c r="X125">
        <f>ROUND(Sheet1[[#This Row],[wat_bas_u]],0)</f>
        <v>98</v>
      </c>
      <c r="Y125" s="1" t="str">
        <f t="shared" si="1"/>
        <v>not full access</v>
      </c>
      <c r="Z125" s="1" t="str">
        <f t="shared" si="2"/>
        <v>not full access</v>
      </c>
      <c r="AA125" s="1" t="str">
        <f t="shared" si="3"/>
        <v>not full access</v>
      </c>
    </row>
    <row r="126" spans="1:27" hidden="1" x14ac:dyDescent="0.25">
      <c r="A126" s="1" t="s">
        <v>150</v>
      </c>
      <c r="B126">
        <v>2015</v>
      </c>
      <c r="C126">
        <v>16212.02246</v>
      </c>
      <c r="D126">
        <v>63.397998809999997</v>
      </c>
      <c r="E126">
        <v>93.063779499999995</v>
      </c>
      <c r="F126">
        <v>0.19976017630000001</v>
      </c>
      <c r="G126">
        <v>3.1195651139999998</v>
      </c>
      <c r="H126">
        <v>3.6168952120000002</v>
      </c>
      <c r="I126">
        <v>82.552481950000001</v>
      </c>
      <c r="J126">
        <v>0.445629255</v>
      </c>
      <c r="K126">
        <v>7.379055031</v>
      </c>
      <c r="L126">
        <v>9.6228337600000007</v>
      </c>
      <c r="M126">
        <v>99.132339200000004</v>
      </c>
      <c r="N126">
        <v>5.7810890199999999E-2</v>
      </c>
      <c r="O126">
        <v>0.66040450689999997</v>
      </c>
      <c r="P126">
        <v>0.14944540680000001</v>
      </c>
      <c r="U126">
        <f>ABS(Sheet1[[#This Row],[ARC_r]]-Sheet1[[#This Row],[ARC_u]])</f>
        <v>0</v>
      </c>
      <c r="V126">
        <f>ROUND(Sheet1[[#This Row],[wat_bas_n]],0)</f>
        <v>93</v>
      </c>
      <c r="W126">
        <f>ROUND(Sheet1[[#This Row],[wat_bas_r]],0)</f>
        <v>83</v>
      </c>
      <c r="X126">
        <f>ROUND(Sheet1[[#This Row],[wat_bas_u]],0)</f>
        <v>99</v>
      </c>
      <c r="Y126" s="1" t="str">
        <f t="shared" si="1"/>
        <v>not full access</v>
      </c>
      <c r="Z126" s="1" t="str">
        <f t="shared" si="2"/>
        <v>not full access</v>
      </c>
      <c r="AA126" s="1" t="str">
        <f t="shared" si="3"/>
        <v>full access</v>
      </c>
    </row>
    <row r="127" spans="1:27" hidden="1" x14ac:dyDescent="0.25">
      <c r="A127" s="1" t="s">
        <v>150</v>
      </c>
      <c r="B127">
        <v>2020</v>
      </c>
      <c r="C127">
        <v>17643.060549999998</v>
      </c>
      <c r="D127">
        <v>64.166000370000006</v>
      </c>
      <c r="E127">
        <v>95.359763560000005</v>
      </c>
      <c r="F127">
        <v>3.451463449E-3</v>
      </c>
      <c r="G127">
        <v>2.6044853890000002</v>
      </c>
      <c r="H127">
        <v>2.032299589</v>
      </c>
      <c r="I127">
        <v>87.050744949999995</v>
      </c>
      <c r="J127">
        <v>9.6318110219999996E-3</v>
      </c>
      <c r="K127">
        <v>7.2681954900000001</v>
      </c>
      <c r="L127">
        <v>5.6714277470000001</v>
      </c>
      <c r="M127">
        <v>100</v>
      </c>
      <c r="N127">
        <v>0</v>
      </c>
      <c r="O127">
        <v>0</v>
      </c>
      <c r="P127">
        <v>0</v>
      </c>
      <c r="Q127">
        <v>5</v>
      </c>
      <c r="R127">
        <v>0.45919681200000179</v>
      </c>
      <c r="S127">
        <v>0.89965259999999891</v>
      </c>
      <c r="T127">
        <v>0.17353215999999921</v>
      </c>
      <c r="U127">
        <f>ABS(Sheet1[[#This Row],[ARC_r]]-Sheet1[[#This Row],[ARC_u]])</f>
        <v>0.72612043999999965</v>
      </c>
      <c r="V127">
        <f>ROUND(Sheet1[[#This Row],[wat_bas_n]],0)</f>
        <v>95</v>
      </c>
      <c r="W127">
        <f>ROUND(Sheet1[[#This Row],[wat_bas_r]],0)</f>
        <v>87</v>
      </c>
      <c r="X127">
        <f>ROUND(Sheet1[[#This Row],[wat_bas_u]],0)</f>
        <v>100</v>
      </c>
      <c r="Y127" s="1" t="str">
        <f t="shared" si="1"/>
        <v>not full access</v>
      </c>
      <c r="Z127" s="1" t="str">
        <f t="shared" si="2"/>
        <v>not full access</v>
      </c>
      <c r="AA127" s="1" t="str">
        <f t="shared" si="3"/>
        <v>full access</v>
      </c>
    </row>
    <row r="128" spans="1:27" x14ac:dyDescent="0.25">
      <c r="A128" s="1" t="s">
        <v>94</v>
      </c>
      <c r="B128">
        <v>2015</v>
      </c>
      <c r="C128">
        <v>92442.546879999994</v>
      </c>
      <c r="D128">
        <v>42.784999849999998</v>
      </c>
      <c r="E128">
        <v>99.106717540000005</v>
      </c>
      <c r="F128">
        <v>0.28637254010000002</v>
      </c>
      <c r="G128">
        <v>0.59343982930000005</v>
      </c>
      <c r="H128">
        <v>1.347009398E-2</v>
      </c>
      <c r="I128">
        <v>98.801877919999995</v>
      </c>
      <c r="J128">
        <v>0.41034629639999998</v>
      </c>
      <c r="K128">
        <v>0.76423283809999998</v>
      </c>
      <c r="L128">
        <v>2.3542941179999999E-2</v>
      </c>
      <c r="M128">
        <v>99.514369729999999</v>
      </c>
      <c r="N128">
        <v>0.12058643080000001</v>
      </c>
      <c r="O128">
        <v>0.36504384220000002</v>
      </c>
      <c r="P128">
        <v>0</v>
      </c>
      <c r="U128">
        <f>ABS(Sheet1[[#This Row],[ARC_r]]-Sheet1[[#This Row],[ARC_u]])</f>
        <v>0</v>
      </c>
      <c r="V128">
        <f>ROUND(Sheet1[[#This Row],[wat_bas_n]],0)</f>
        <v>99</v>
      </c>
      <c r="W128">
        <f>ROUND(Sheet1[[#This Row],[wat_bas_r]],0)</f>
        <v>99</v>
      </c>
      <c r="X128">
        <f>ROUND(Sheet1[[#This Row],[wat_bas_u]],0)</f>
        <v>100</v>
      </c>
      <c r="Y128" s="1" t="str">
        <f t="shared" si="1"/>
        <v>full access</v>
      </c>
      <c r="Z128" s="1" t="str">
        <f t="shared" si="2"/>
        <v>not full access</v>
      </c>
      <c r="AA128" s="1" t="str">
        <f t="shared" si="3"/>
        <v>full access</v>
      </c>
    </row>
    <row r="129" spans="1:27" x14ac:dyDescent="0.25">
      <c r="A129" s="1" t="s">
        <v>94</v>
      </c>
      <c r="B129">
        <v>2020</v>
      </c>
      <c r="C129">
        <v>102334.4063</v>
      </c>
      <c r="D129">
        <v>42.783000950000002</v>
      </c>
      <c r="E129">
        <v>99.440175960000005</v>
      </c>
      <c r="F129">
        <v>0.23760910860000001</v>
      </c>
      <c r="G129">
        <v>0.3222149265</v>
      </c>
      <c r="H129">
        <v>0</v>
      </c>
      <c r="I129">
        <v>99.332835149999994</v>
      </c>
      <c r="J129">
        <v>0.33594182239999998</v>
      </c>
      <c r="K129">
        <v>0.33122303190000002</v>
      </c>
      <c r="L129">
        <v>0</v>
      </c>
      <c r="M129">
        <v>99.583731099999994</v>
      </c>
      <c r="N129">
        <v>0.10610120670000001</v>
      </c>
      <c r="O129">
        <v>0.31016769430000002</v>
      </c>
      <c r="P129">
        <v>0</v>
      </c>
      <c r="Q129">
        <v>5</v>
      </c>
      <c r="R129">
        <v>6.669168399999989E-2</v>
      </c>
      <c r="S129">
        <v>0.1061914459999997</v>
      </c>
      <c r="T129">
        <v>1.387227399999915E-2</v>
      </c>
      <c r="U129">
        <f>ABS(Sheet1[[#This Row],[ARC_r]]-Sheet1[[#This Row],[ARC_u]])</f>
        <v>9.231917200000056E-2</v>
      </c>
      <c r="V129">
        <f>ROUND(Sheet1[[#This Row],[wat_bas_n]],0)</f>
        <v>99</v>
      </c>
      <c r="W129">
        <f>ROUND(Sheet1[[#This Row],[wat_bas_r]],0)</f>
        <v>99</v>
      </c>
      <c r="X129">
        <f>ROUND(Sheet1[[#This Row],[wat_bas_u]],0)</f>
        <v>100</v>
      </c>
      <c r="Y129" s="1" t="str">
        <f t="shared" si="1"/>
        <v>full access</v>
      </c>
      <c r="Z129" s="1" t="str">
        <f t="shared" si="2"/>
        <v>not full access</v>
      </c>
      <c r="AA129" s="1" t="str">
        <f t="shared" si="3"/>
        <v>full access</v>
      </c>
    </row>
    <row r="130" spans="1:27" hidden="1" x14ac:dyDescent="0.25">
      <c r="A130" s="1" t="s">
        <v>117</v>
      </c>
      <c r="B130">
        <v>2015</v>
      </c>
      <c r="C130">
        <v>6325.1210940000001</v>
      </c>
      <c r="D130">
        <v>69.699996949999999</v>
      </c>
      <c r="E130">
        <v>95.562137739999997</v>
      </c>
      <c r="F130">
        <v>0.58047977699999997</v>
      </c>
      <c r="G130">
        <v>1.1619505450000001</v>
      </c>
      <c r="H130">
        <v>2.6954319419999999</v>
      </c>
      <c r="I130">
        <v>87.961214319999996</v>
      </c>
      <c r="J130">
        <v>1.734743718</v>
      </c>
      <c r="K130">
        <v>2.4810339560000001</v>
      </c>
      <c r="L130">
        <v>7.8230080050000002</v>
      </c>
      <c r="M130">
        <v>98.866417850000005</v>
      </c>
      <c r="N130">
        <v>7.8697977569999994E-2</v>
      </c>
      <c r="O130">
        <v>0.58851288960000003</v>
      </c>
      <c r="P130">
        <v>0.4663712861</v>
      </c>
      <c r="U130">
        <f>ABS(Sheet1[[#This Row],[ARC_r]]-Sheet1[[#This Row],[ARC_u]])</f>
        <v>0</v>
      </c>
      <c r="V130">
        <f>ROUND(Sheet1[[#This Row],[wat_bas_n]],0)</f>
        <v>96</v>
      </c>
      <c r="W130">
        <f>ROUND(Sheet1[[#This Row],[wat_bas_r]],0)</f>
        <v>88</v>
      </c>
      <c r="X130">
        <f>ROUND(Sheet1[[#This Row],[wat_bas_u]],0)</f>
        <v>99</v>
      </c>
      <c r="Y130" s="1" t="str">
        <f t="shared" ref="Y130:Y193" si="4">IF(AND(COUNTIFS($A:$A,A130)&gt;1, COUNTIFS($A:$A,A130,$E:$E,"&gt;99")=COUNTIFS($A:$A,A130)), "full access", "not full access")</f>
        <v>not full access</v>
      </c>
      <c r="Z130" s="1" t="str">
        <f t="shared" ref="Z130:Z193" si="5">IF(AND(COUNTIFS($A:$A,A130)&gt;1, COUNTIFS($A:$A,A130,$I:$I,"&gt;99")=COUNTIFS($A:$A,A130)), "full access", "not full access")</f>
        <v>not full access</v>
      </c>
      <c r="AA130" s="1" t="str">
        <f t="shared" ref="AA130:AA193" si="6">IF(AND(COUNTIFS($A:$A,A130)&gt;1, COUNTIFS($A:$A,A130,$M:$M,"&gt;99")=COUNTIFS($A:$A,A130)), "full access", "not full access")</f>
        <v>not full access</v>
      </c>
    </row>
    <row r="131" spans="1:27" hidden="1" x14ac:dyDescent="0.25">
      <c r="A131" s="1" t="s">
        <v>117</v>
      </c>
      <c r="B131">
        <v>2020</v>
      </c>
      <c r="C131">
        <v>6486.201172</v>
      </c>
      <c r="D131">
        <v>73.444000239999994</v>
      </c>
      <c r="E131">
        <v>97.946575409999994</v>
      </c>
      <c r="F131">
        <v>0.20726323190000001</v>
      </c>
      <c r="G131">
        <v>0.31517399689999998</v>
      </c>
      <c r="H131">
        <v>1.530987366</v>
      </c>
      <c r="I131">
        <v>93.454395079999998</v>
      </c>
      <c r="J131">
        <v>0.78047620490000003</v>
      </c>
      <c r="K131">
        <v>0</v>
      </c>
      <c r="L131">
        <v>5.7651287120000001</v>
      </c>
      <c r="M131">
        <v>99.570870009999993</v>
      </c>
      <c r="N131">
        <v>0</v>
      </c>
      <c r="O131">
        <v>0.42912999439999999</v>
      </c>
      <c r="P131">
        <v>0</v>
      </c>
      <c r="Q131">
        <v>5</v>
      </c>
      <c r="R131">
        <v>0.47688753399999939</v>
      </c>
      <c r="S131">
        <v>1.0986361520000001</v>
      </c>
      <c r="T131">
        <v>0.14089043199999771</v>
      </c>
      <c r="U131">
        <f>ABS(Sheet1[[#This Row],[ARC_r]]-Sheet1[[#This Row],[ARC_u]])</f>
        <v>0.95774572000000235</v>
      </c>
      <c r="V131">
        <f>ROUND(Sheet1[[#This Row],[wat_bas_n]],0)</f>
        <v>98</v>
      </c>
      <c r="W131">
        <f>ROUND(Sheet1[[#This Row],[wat_bas_r]],0)</f>
        <v>93</v>
      </c>
      <c r="X131">
        <f>ROUND(Sheet1[[#This Row],[wat_bas_u]],0)</f>
        <v>100</v>
      </c>
      <c r="Y131" s="1" t="str">
        <f t="shared" si="4"/>
        <v>not full access</v>
      </c>
      <c r="Z131" s="1" t="str">
        <f t="shared" si="5"/>
        <v>not full access</v>
      </c>
      <c r="AA131" s="1" t="str">
        <f t="shared" si="6"/>
        <v>not full access</v>
      </c>
    </row>
    <row r="132" spans="1:27" hidden="1" x14ac:dyDescent="0.25">
      <c r="A132" s="1" t="s">
        <v>223</v>
      </c>
      <c r="B132">
        <v>2015</v>
      </c>
      <c r="C132">
        <v>1168.5749510000001</v>
      </c>
      <c r="D132">
        <v>70.616004939999996</v>
      </c>
      <c r="E132">
        <v>64.178601650000004</v>
      </c>
      <c r="F132">
        <v>2.9349338359999999</v>
      </c>
      <c r="G132">
        <v>26.328798880000001</v>
      </c>
      <c r="H132">
        <v>6.5576656309999999</v>
      </c>
      <c r="I132">
        <v>30.775369319999999</v>
      </c>
      <c r="J132">
        <v>1.353579774</v>
      </c>
      <c r="K132">
        <v>46.286056360000003</v>
      </c>
      <c r="L132">
        <v>21.584994550000001</v>
      </c>
      <c r="M132">
        <v>78.07800598</v>
      </c>
      <c r="N132">
        <v>3.5929503829999998</v>
      </c>
      <c r="O132">
        <v>18.02439455</v>
      </c>
      <c r="P132">
        <v>0.30464909089999997</v>
      </c>
      <c r="U132">
        <f>ABS(Sheet1[[#This Row],[ARC_r]]-Sheet1[[#This Row],[ARC_u]])</f>
        <v>0</v>
      </c>
      <c r="V132">
        <f>ROUND(Sheet1[[#This Row],[wat_bas_n]],0)</f>
        <v>64</v>
      </c>
      <c r="W132">
        <f>ROUND(Sheet1[[#This Row],[wat_bas_r]],0)</f>
        <v>31</v>
      </c>
      <c r="X132">
        <f>ROUND(Sheet1[[#This Row],[wat_bas_u]],0)</f>
        <v>78</v>
      </c>
      <c r="Y132" s="1" t="str">
        <f t="shared" si="4"/>
        <v>not full access</v>
      </c>
      <c r="Z132" s="1" t="str">
        <f t="shared" si="5"/>
        <v>not full access</v>
      </c>
      <c r="AA132" s="1" t="str">
        <f t="shared" si="6"/>
        <v>not full access</v>
      </c>
    </row>
    <row r="133" spans="1:27" hidden="1" x14ac:dyDescent="0.25">
      <c r="A133" s="1" t="s">
        <v>223</v>
      </c>
      <c r="B133">
        <v>2017</v>
      </c>
      <c r="C133">
        <v>1262.008057</v>
      </c>
      <c r="D133">
        <v>71.645996089999997</v>
      </c>
      <c r="E133">
        <v>64.665816059999997</v>
      </c>
      <c r="F133">
        <v>2.957999225</v>
      </c>
      <c r="G133">
        <v>26.037706329999999</v>
      </c>
      <c r="H133">
        <v>6.3384783860000002</v>
      </c>
      <c r="I133">
        <v>30.775369319999999</v>
      </c>
      <c r="J133">
        <v>1.353579774</v>
      </c>
      <c r="K133">
        <v>46.286056360000003</v>
      </c>
      <c r="L133">
        <v>21.584994550000001</v>
      </c>
      <c r="M133">
        <v>78.07800598</v>
      </c>
      <c r="N133">
        <v>3.5929503829999998</v>
      </c>
      <c r="O133">
        <v>18.02439455</v>
      </c>
      <c r="P133">
        <v>0.30464909089999997</v>
      </c>
      <c r="Q133">
        <v>2</v>
      </c>
      <c r="R133">
        <v>0.24360720499999641</v>
      </c>
      <c r="S133">
        <v>0</v>
      </c>
      <c r="T133">
        <v>0</v>
      </c>
      <c r="U133">
        <f>ABS(Sheet1[[#This Row],[ARC_r]]-Sheet1[[#This Row],[ARC_u]])</f>
        <v>0</v>
      </c>
      <c r="V133">
        <f>ROUND(Sheet1[[#This Row],[wat_bas_n]],0)</f>
        <v>65</v>
      </c>
      <c r="W133">
        <f>ROUND(Sheet1[[#This Row],[wat_bas_r]],0)</f>
        <v>31</v>
      </c>
      <c r="X133">
        <f>ROUND(Sheet1[[#This Row],[wat_bas_u]],0)</f>
        <v>78</v>
      </c>
      <c r="Y133" s="1" t="str">
        <f t="shared" si="4"/>
        <v>not full access</v>
      </c>
      <c r="Z133" s="1" t="str">
        <f t="shared" si="5"/>
        <v>not full access</v>
      </c>
      <c r="AA133" s="1" t="str">
        <f t="shared" si="6"/>
        <v>not full access</v>
      </c>
    </row>
    <row r="134" spans="1:27" hidden="1" x14ac:dyDescent="0.25">
      <c r="A134" s="1" t="s">
        <v>238</v>
      </c>
      <c r="B134">
        <v>2015</v>
      </c>
      <c r="C134">
        <v>3342.818115</v>
      </c>
      <c r="D134">
        <v>38.206001280000002</v>
      </c>
      <c r="E134">
        <v>51.465093529999997</v>
      </c>
      <c r="F134">
        <v>17.707633340000001</v>
      </c>
      <c r="G134">
        <v>13.55609825</v>
      </c>
      <c r="H134">
        <v>17.27117488</v>
      </c>
      <c r="I134">
        <v>27.801576470000001</v>
      </c>
      <c r="J134">
        <v>24.49842353</v>
      </c>
      <c r="K134">
        <v>20.074999999999999</v>
      </c>
      <c r="L134">
        <v>27.625</v>
      </c>
      <c r="M134">
        <v>89.738224529999997</v>
      </c>
      <c r="N134">
        <v>6.7242754739999997</v>
      </c>
      <c r="O134">
        <v>3.0125000000000002</v>
      </c>
      <c r="P134">
        <v>0.52500000000000002</v>
      </c>
      <c r="U134">
        <f>ABS(Sheet1[[#This Row],[ARC_r]]-Sheet1[[#This Row],[ARC_u]])</f>
        <v>0</v>
      </c>
      <c r="V134">
        <f>ROUND(Sheet1[[#This Row],[wat_bas_n]],0)</f>
        <v>51</v>
      </c>
      <c r="W134">
        <f>ROUND(Sheet1[[#This Row],[wat_bas_r]],0)</f>
        <v>28</v>
      </c>
      <c r="X134">
        <f>ROUND(Sheet1[[#This Row],[wat_bas_u]],0)</f>
        <v>90</v>
      </c>
      <c r="Y134" s="1" t="str">
        <f t="shared" si="4"/>
        <v>not full access</v>
      </c>
      <c r="Z134" s="1" t="str">
        <f t="shared" si="5"/>
        <v>not full access</v>
      </c>
      <c r="AA134" s="1" t="str">
        <f t="shared" si="6"/>
        <v>not full access</v>
      </c>
    </row>
    <row r="135" spans="1:27" hidden="1" x14ac:dyDescent="0.25">
      <c r="A135" s="1" t="s">
        <v>238</v>
      </c>
      <c r="B135">
        <v>2016</v>
      </c>
      <c r="C135">
        <v>3376.5581050000001</v>
      </c>
      <c r="D135">
        <v>38.826999659999998</v>
      </c>
      <c r="E135">
        <v>51.849720179999998</v>
      </c>
      <c r="F135">
        <v>17.59725585</v>
      </c>
      <c r="G135">
        <v>13.45014014</v>
      </c>
      <c r="H135">
        <v>17.102883840000001</v>
      </c>
      <c r="I135">
        <v>27.801576470000001</v>
      </c>
      <c r="J135">
        <v>24.49842353</v>
      </c>
      <c r="K135">
        <v>20.074999999999999</v>
      </c>
      <c r="L135">
        <v>27.625</v>
      </c>
      <c r="M135">
        <v>89.738224529999997</v>
      </c>
      <c r="N135">
        <v>6.7242754739999997</v>
      </c>
      <c r="O135">
        <v>3.0125000000000002</v>
      </c>
      <c r="P135">
        <v>0.52500000000000002</v>
      </c>
      <c r="Q135">
        <v>1</v>
      </c>
      <c r="R135">
        <v>0.38462665000000129</v>
      </c>
      <c r="S135">
        <v>0</v>
      </c>
      <c r="T135">
        <v>0</v>
      </c>
      <c r="U135">
        <f>ABS(Sheet1[[#This Row],[ARC_r]]-Sheet1[[#This Row],[ARC_u]])</f>
        <v>0</v>
      </c>
      <c r="V135">
        <f>ROUND(Sheet1[[#This Row],[wat_bas_n]],0)</f>
        <v>52</v>
      </c>
      <c r="W135">
        <f>ROUND(Sheet1[[#This Row],[wat_bas_r]],0)</f>
        <v>28</v>
      </c>
      <c r="X135">
        <f>ROUND(Sheet1[[#This Row],[wat_bas_u]],0)</f>
        <v>90</v>
      </c>
      <c r="Y135" s="1" t="str">
        <f t="shared" si="4"/>
        <v>not full access</v>
      </c>
      <c r="Z135" s="1" t="str">
        <f t="shared" si="5"/>
        <v>not full access</v>
      </c>
      <c r="AA135" s="1" t="str">
        <f t="shared" si="6"/>
        <v>not full access</v>
      </c>
    </row>
    <row r="136" spans="1:27" x14ac:dyDescent="0.25">
      <c r="A136" s="1" t="s">
        <v>83</v>
      </c>
      <c r="B136">
        <v>2015</v>
      </c>
      <c r="C136">
        <v>1315.329956</v>
      </c>
      <c r="D136">
        <v>68.416000370000006</v>
      </c>
      <c r="E136">
        <v>99.751307569999994</v>
      </c>
      <c r="F136">
        <v>0</v>
      </c>
      <c r="G136">
        <v>0.24869242890000001</v>
      </c>
      <c r="H136">
        <v>0</v>
      </c>
      <c r="I136">
        <v>99.244115809999997</v>
      </c>
      <c r="J136">
        <v>0</v>
      </c>
      <c r="K136">
        <v>0.75588419029999998</v>
      </c>
      <c r="L136">
        <v>0</v>
      </c>
      <c r="M136">
        <v>99.98545421</v>
      </c>
      <c r="N136">
        <v>0</v>
      </c>
      <c r="O136">
        <v>1.454579307E-2</v>
      </c>
      <c r="P136">
        <v>0</v>
      </c>
      <c r="U136">
        <f>ABS(Sheet1[[#This Row],[ARC_r]]-Sheet1[[#This Row],[ARC_u]])</f>
        <v>0</v>
      </c>
      <c r="V136">
        <f>ROUND(Sheet1[[#This Row],[wat_bas_n]],0)</f>
        <v>100</v>
      </c>
      <c r="W136">
        <f>ROUND(Sheet1[[#This Row],[wat_bas_r]],0)</f>
        <v>99</v>
      </c>
      <c r="X136">
        <f>ROUND(Sheet1[[#This Row],[wat_bas_u]],0)</f>
        <v>100</v>
      </c>
      <c r="Y136" s="1" t="str">
        <f t="shared" si="4"/>
        <v>full access</v>
      </c>
      <c r="Z136" s="1" t="str">
        <f t="shared" si="5"/>
        <v>not full access</v>
      </c>
      <c r="AA136" s="1" t="str">
        <f t="shared" si="6"/>
        <v>full access</v>
      </c>
    </row>
    <row r="137" spans="1:27" x14ac:dyDescent="0.25">
      <c r="A137" s="1" t="s">
        <v>83</v>
      </c>
      <c r="B137">
        <v>2020</v>
      </c>
      <c r="C137">
        <v>1326.5389399999999</v>
      </c>
      <c r="D137">
        <v>69.229003910000003</v>
      </c>
      <c r="E137">
        <v>99.59078178</v>
      </c>
      <c r="F137">
        <v>0</v>
      </c>
      <c r="G137">
        <v>0.40921822320000001</v>
      </c>
      <c r="H137">
        <v>0</v>
      </c>
      <c r="M137">
        <v>99.98545421</v>
      </c>
      <c r="N137">
        <v>0</v>
      </c>
      <c r="O137">
        <v>1.454579307E-2</v>
      </c>
      <c r="P137">
        <v>0</v>
      </c>
      <c r="Q137">
        <v>5</v>
      </c>
      <c r="R137">
        <v>-3.2105157999998822E-2</v>
      </c>
      <c r="T137">
        <v>0</v>
      </c>
      <c r="U137">
        <f>ABS(Sheet1[[#This Row],[ARC_r]]-Sheet1[[#This Row],[ARC_u]])</f>
        <v>0</v>
      </c>
      <c r="V137">
        <f>ROUND(Sheet1[[#This Row],[wat_bas_n]],0)</f>
        <v>100</v>
      </c>
      <c r="W137">
        <f>ROUND(Sheet1[[#This Row],[wat_bas_r]],0)</f>
        <v>0</v>
      </c>
      <c r="X137">
        <f>ROUND(Sheet1[[#This Row],[wat_bas_u]],0)</f>
        <v>100</v>
      </c>
      <c r="Y137" s="1" t="str">
        <f t="shared" si="4"/>
        <v>full access</v>
      </c>
      <c r="Z137" s="1" t="str">
        <f t="shared" si="5"/>
        <v>not full access</v>
      </c>
      <c r="AA137" s="1" t="str">
        <f t="shared" si="6"/>
        <v>full access</v>
      </c>
    </row>
    <row r="138" spans="1:27" hidden="1" x14ac:dyDescent="0.25">
      <c r="A138" s="1" t="s">
        <v>214</v>
      </c>
      <c r="B138">
        <v>2015</v>
      </c>
      <c r="C138">
        <v>1104.0379640000001</v>
      </c>
      <c r="D138">
        <v>23.299999239999998</v>
      </c>
      <c r="E138">
        <v>66.703955219999997</v>
      </c>
      <c r="F138">
        <v>8.7676173330000005</v>
      </c>
      <c r="G138">
        <v>10.89011026</v>
      </c>
      <c r="H138">
        <v>13.63831719</v>
      </c>
      <c r="I138">
        <v>58.124984900000001</v>
      </c>
      <c r="J138">
        <v>11.182049299999999</v>
      </c>
      <c r="K138">
        <v>13.43987898</v>
      </c>
      <c r="L138">
        <v>17.253086830000001</v>
      </c>
      <c r="M138">
        <v>94.944600129999998</v>
      </c>
      <c r="N138">
        <v>0.81968032219999998</v>
      </c>
      <c r="O138">
        <v>2.4966655609999999</v>
      </c>
      <c r="P138">
        <v>1.7390539899999999</v>
      </c>
      <c r="U138">
        <f>ABS(Sheet1[[#This Row],[ARC_r]]-Sheet1[[#This Row],[ARC_u]])</f>
        <v>0</v>
      </c>
      <c r="V138">
        <f>ROUND(Sheet1[[#This Row],[wat_bas_n]],0)</f>
        <v>67</v>
      </c>
      <c r="W138">
        <f>ROUND(Sheet1[[#This Row],[wat_bas_r]],0)</f>
        <v>58</v>
      </c>
      <c r="X138">
        <f>ROUND(Sheet1[[#This Row],[wat_bas_u]],0)</f>
        <v>95</v>
      </c>
      <c r="Y138" s="1" t="str">
        <f t="shared" si="4"/>
        <v>not full access</v>
      </c>
      <c r="Z138" s="1" t="str">
        <f t="shared" si="5"/>
        <v>not full access</v>
      </c>
      <c r="AA138" s="1" t="str">
        <f t="shared" si="6"/>
        <v>not full access</v>
      </c>
    </row>
    <row r="139" spans="1:27" hidden="1" x14ac:dyDescent="0.25">
      <c r="A139" s="1" t="s">
        <v>214</v>
      </c>
      <c r="B139">
        <v>2020</v>
      </c>
      <c r="C139">
        <v>1160.1639399999999</v>
      </c>
      <c r="D139">
        <v>24.17100143</v>
      </c>
      <c r="E139">
        <v>70.753070949999994</v>
      </c>
      <c r="F139">
        <v>9.5070671630000003</v>
      </c>
      <c r="G139">
        <v>9.8355679309999999</v>
      </c>
      <c r="H139">
        <v>9.9042939590000003</v>
      </c>
      <c r="I139">
        <v>62.466448739999997</v>
      </c>
      <c r="J139">
        <v>12.29969513</v>
      </c>
      <c r="K139">
        <v>12.45046093</v>
      </c>
      <c r="L139">
        <v>12.78339519</v>
      </c>
      <c r="M139">
        <v>96.749763049999999</v>
      </c>
      <c r="N139">
        <v>0.74606447310000001</v>
      </c>
      <c r="O139">
        <v>1.6321642439999999</v>
      </c>
      <c r="P139">
        <v>0.8720082294</v>
      </c>
      <c r="Q139">
        <v>5</v>
      </c>
      <c r="R139">
        <v>0.80982314599999938</v>
      </c>
      <c r="S139">
        <v>0.86829276799999922</v>
      </c>
      <c r="T139">
        <v>0.36103258400000021</v>
      </c>
      <c r="U139">
        <f>ABS(Sheet1[[#This Row],[ARC_r]]-Sheet1[[#This Row],[ARC_u]])</f>
        <v>0.50726018399999906</v>
      </c>
      <c r="V139">
        <f>ROUND(Sheet1[[#This Row],[wat_bas_n]],0)</f>
        <v>71</v>
      </c>
      <c r="W139">
        <f>ROUND(Sheet1[[#This Row],[wat_bas_r]],0)</f>
        <v>62</v>
      </c>
      <c r="X139">
        <f>ROUND(Sheet1[[#This Row],[wat_bas_u]],0)</f>
        <v>97</v>
      </c>
      <c r="Y139" s="1" t="str">
        <f t="shared" si="4"/>
        <v>not full access</v>
      </c>
      <c r="Z139" s="1" t="str">
        <f t="shared" si="5"/>
        <v>not full access</v>
      </c>
      <c r="AA139" s="1" t="str">
        <f t="shared" si="6"/>
        <v>not full access</v>
      </c>
    </row>
    <row r="140" spans="1:27" hidden="1" x14ac:dyDescent="0.25">
      <c r="A140" s="1" t="s">
        <v>240</v>
      </c>
      <c r="B140">
        <v>2015</v>
      </c>
      <c r="C140">
        <v>100835.4531</v>
      </c>
      <c r="D140">
        <v>19.428001399999999</v>
      </c>
      <c r="E140">
        <v>42.070067199999997</v>
      </c>
      <c r="F140">
        <v>21.738790269999999</v>
      </c>
      <c r="G140">
        <v>24.477856150000001</v>
      </c>
      <c r="H140">
        <v>11.71328639</v>
      </c>
      <c r="I140">
        <v>32.451767429999997</v>
      </c>
      <c r="J140">
        <v>23.598552099999999</v>
      </c>
      <c r="K140">
        <v>29.78155581</v>
      </c>
      <c r="L140">
        <v>14.168124669999999</v>
      </c>
      <c r="M140">
        <v>81.959176540000001</v>
      </c>
      <c r="N140">
        <v>14.02596733</v>
      </c>
      <c r="O140">
        <v>2.4822996910000001</v>
      </c>
      <c r="P140">
        <v>1.5325564389999999</v>
      </c>
      <c r="U140">
        <f>ABS(Sheet1[[#This Row],[ARC_r]]-Sheet1[[#This Row],[ARC_u]])</f>
        <v>0</v>
      </c>
      <c r="V140">
        <f>ROUND(Sheet1[[#This Row],[wat_bas_n]],0)</f>
        <v>42</v>
      </c>
      <c r="W140">
        <f>ROUND(Sheet1[[#This Row],[wat_bas_r]],0)</f>
        <v>32</v>
      </c>
      <c r="X140">
        <f>ROUND(Sheet1[[#This Row],[wat_bas_u]],0)</f>
        <v>82</v>
      </c>
      <c r="Y140" s="1" t="str">
        <f t="shared" si="4"/>
        <v>not full access</v>
      </c>
      <c r="Z140" s="1" t="str">
        <f t="shared" si="5"/>
        <v>not full access</v>
      </c>
      <c r="AA140" s="1" t="str">
        <f t="shared" si="6"/>
        <v>not full access</v>
      </c>
    </row>
    <row r="141" spans="1:27" hidden="1" x14ac:dyDescent="0.25">
      <c r="A141" s="1" t="s">
        <v>240</v>
      </c>
      <c r="B141">
        <v>2020</v>
      </c>
      <c r="C141">
        <v>114963.58590000001</v>
      </c>
      <c r="D141">
        <v>21.69499969</v>
      </c>
      <c r="E141">
        <v>49.615572739999998</v>
      </c>
      <c r="F141">
        <v>26.740719639999998</v>
      </c>
      <c r="G141">
        <v>18.635060129999999</v>
      </c>
      <c r="H141">
        <v>5.0086474860000001</v>
      </c>
      <c r="I141">
        <v>40.03013919</v>
      </c>
      <c r="J141">
        <v>30.186683339999998</v>
      </c>
      <c r="K141">
        <v>23.49561327</v>
      </c>
      <c r="L141">
        <v>6.2875642029999996</v>
      </c>
      <c r="M141">
        <v>84.212828160000001</v>
      </c>
      <c r="N141">
        <v>14.30300858</v>
      </c>
      <c r="O141">
        <v>1.0915823549999999</v>
      </c>
      <c r="P141">
        <v>0.39258089600000001</v>
      </c>
      <c r="Q141">
        <v>5</v>
      </c>
      <c r="R141">
        <v>1.5091011080000001</v>
      </c>
      <c r="S141">
        <v>1.5156743520000009</v>
      </c>
      <c r="T141">
        <v>0.4507303239999999</v>
      </c>
      <c r="U141">
        <f>ABS(Sheet1[[#This Row],[ARC_r]]-Sheet1[[#This Row],[ARC_u]])</f>
        <v>1.0649440280000011</v>
      </c>
      <c r="V141">
        <f>ROUND(Sheet1[[#This Row],[wat_bas_n]],0)</f>
        <v>50</v>
      </c>
      <c r="W141">
        <f>ROUND(Sheet1[[#This Row],[wat_bas_r]],0)</f>
        <v>40</v>
      </c>
      <c r="X141">
        <f>ROUND(Sheet1[[#This Row],[wat_bas_u]],0)</f>
        <v>84</v>
      </c>
      <c r="Y141" s="1" t="str">
        <f t="shared" si="4"/>
        <v>not full access</v>
      </c>
      <c r="Z141" s="1" t="str">
        <f t="shared" si="5"/>
        <v>not full access</v>
      </c>
      <c r="AA141" s="1" t="str">
        <f t="shared" si="6"/>
        <v>not full access</v>
      </c>
    </row>
    <row r="142" spans="1:27" x14ac:dyDescent="0.25">
      <c r="A142" s="1" t="s">
        <v>38</v>
      </c>
      <c r="B142">
        <v>2015</v>
      </c>
      <c r="C142">
        <v>48.055000309999997</v>
      </c>
      <c r="D142">
        <v>41.63799667</v>
      </c>
      <c r="E142">
        <v>100</v>
      </c>
      <c r="F142">
        <v>0</v>
      </c>
      <c r="G142">
        <v>0</v>
      </c>
      <c r="H142">
        <v>0</v>
      </c>
      <c r="U142">
        <f>ABS(Sheet1[[#This Row],[ARC_r]]-Sheet1[[#This Row],[ARC_u]])</f>
        <v>0</v>
      </c>
      <c r="V142">
        <f>ROUND(Sheet1[[#This Row],[wat_bas_n]],0)</f>
        <v>100</v>
      </c>
      <c r="W142">
        <f>ROUND(Sheet1[[#This Row],[wat_bas_r]],0)</f>
        <v>0</v>
      </c>
      <c r="X142">
        <f>ROUND(Sheet1[[#This Row],[wat_bas_u]],0)</f>
        <v>0</v>
      </c>
      <c r="Y142" s="1" t="str">
        <f t="shared" si="4"/>
        <v>full access</v>
      </c>
      <c r="Z142" s="1" t="str">
        <f t="shared" si="5"/>
        <v>not full access</v>
      </c>
      <c r="AA142" s="1" t="str">
        <f t="shared" si="6"/>
        <v>not full access</v>
      </c>
    </row>
    <row r="143" spans="1:27" x14ac:dyDescent="0.25">
      <c r="A143" s="1" t="s">
        <v>38</v>
      </c>
      <c r="B143">
        <v>2020</v>
      </c>
      <c r="C143">
        <v>48.865001679999999</v>
      </c>
      <c r="D143">
        <v>42.397998809999997</v>
      </c>
      <c r="E143">
        <v>100</v>
      </c>
      <c r="F143">
        <v>0</v>
      </c>
      <c r="G143">
        <v>0</v>
      </c>
      <c r="H143">
        <v>0</v>
      </c>
      <c r="Q143">
        <v>5</v>
      </c>
      <c r="R143">
        <v>0</v>
      </c>
      <c r="U143">
        <f>ABS(Sheet1[[#This Row],[ARC_r]]-Sheet1[[#This Row],[ARC_u]])</f>
        <v>0</v>
      </c>
      <c r="V143">
        <f>ROUND(Sheet1[[#This Row],[wat_bas_n]],0)</f>
        <v>100</v>
      </c>
      <c r="W143">
        <f>ROUND(Sheet1[[#This Row],[wat_bas_r]],0)</f>
        <v>0</v>
      </c>
      <c r="X143">
        <f>ROUND(Sheet1[[#This Row],[wat_bas_u]],0)</f>
        <v>0</v>
      </c>
      <c r="Y143" s="1" t="str">
        <f t="shared" si="4"/>
        <v>full access</v>
      </c>
      <c r="Z143" s="1" t="str">
        <f t="shared" si="5"/>
        <v>not full access</v>
      </c>
      <c r="AA143" s="1" t="str">
        <f t="shared" si="6"/>
        <v>not full access</v>
      </c>
    </row>
    <row r="144" spans="1:27" hidden="1" x14ac:dyDescent="0.25">
      <c r="A144" s="1" t="s">
        <v>152</v>
      </c>
      <c r="B144">
        <v>2015</v>
      </c>
      <c r="C144">
        <v>2.8359999660000001</v>
      </c>
      <c r="D144">
        <v>76.268005369999997</v>
      </c>
      <c r="E144">
        <v>94.820006660000004</v>
      </c>
      <c r="F144">
        <v>0</v>
      </c>
      <c r="G144">
        <v>5.1799933429999996</v>
      </c>
      <c r="H144">
        <v>0</v>
      </c>
      <c r="I144">
        <v>78.172942820000003</v>
      </c>
      <c r="J144">
        <v>0</v>
      </c>
      <c r="K144">
        <v>21.827057180000001</v>
      </c>
      <c r="L144">
        <v>0</v>
      </c>
      <c r="M144">
        <v>100</v>
      </c>
      <c r="N144">
        <v>0</v>
      </c>
      <c r="O144">
        <v>0</v>
      </c>
      <c r="P144">
        <v>0</v>
      </c>
      <c r="U144">
        <f>ABS(Sheet1[[#This Row],[ARC_r]]-Sheet1[[#This Row],[ARC_u]])</f>
        <v>0</v>
      </c>
      <c r="V144">
        <f>ROUND(Sheet1[[#This Row],[wat_bas_n]],0)</f>
        <v>95</v>
      </c>
      <c r="W144">
        <f>ROUND(Sheet1[[#This Row],[wat_bas_r]],0)</f>
        <v>78</v>
      </c>
      <c r="X144">
        <f>ROUND(Sheet1[[#This Row],[wat_bas_u]],0)</f>
        <v>100</v>
      </c>
      <c r="Y144" s="1" t="str">
        <f t="shared" si="4"/>
        <v>not full access</v>
      </c>
      <c r="Z144" s="1" t="str">
        <f t="shared" si="5"/>
        <v>not full access</v>
      </c>
      <c r="AA144" s="1" t="str">
        <f t="shared" si="6"/>
        <v>full access</v>
      </c>
    </row>
    <row r="145" spans="1:27" hidden="1" x14ac:dyDescent="0.25">
      <c r="A145" s="1" t="s">
        <v>152</v>
      </c>
      <c r="B145">
        <v>2020</v>
      </c>
      <c r="C145">
        <v>3.4830000399999999</v>
      </c>
      <c r="D145">
        <v>78.507995609999995</v>
      </c>
      <c r="E145">
        <v>95.308927400000002</v>
      </c>
      <c r="F145">
        <v>0</v>
      </c>
      <c r="G145">
        <v>4.6910725959999997</v>
      </c>
      <c r="H145">
        <v>0</v>
      </c>
      <c r="I145">
        <v>78.172942820000003</v>
      </c>
      <c r="J145">
        <v>0</v>
      </c>
      <c r="K145">
        <v>21.827057180000001</v>
      </c>
      <c r="L145">
        <v>0</v>
      </c>
      <c r="M145">
        <v>100</v>
      </c>
      <c r="N145">
        <v>0</v>
      </c>
      <c r="O145">
        <v>0</v>
      </c>
      <c r="P145">
        <v>0</v>
      </c>
      <c r="Q145">
        <v>5</v>
      </c>
      <c r="R145">
        <v>9.7784147999999502E-2</v>
      </c>
      <c r="S145">
        <v>0</v>
      </c>
      <c r="T145">
        <v>0</v>
      </c>
      <c r="U145">
        <f>ABS(Sheet1[[#This Row],[ARC_r]]-Sheet1[[#This Row],[ARC_u]])</f>
        <v>0</v>
      </c>
      <c r="V145">
        <f>ROUND(Sheet1[[#This Row],[wat_bas_n]],0)</f>
        <v>95</v>
      </c>
      <c r="W145">
        <f>ROUND(Sheet1[[#This Row],[wat_bas_r]],0)</f>
        <v>78</v>
      </c>
      <c r="X145">
        <f>ROUND(Sheet1[[#This Row],[wat_bas_u]],0)</f>
        <v>100</v>
      </c>
      <c r="Y145" s="1" t="str">
        <f t="shared" si="4"/>
        <v>not full access</v>
      </c>
      <c r="Z145" s="1" t="str">
        <f t="shared" si="5"/>
        <v>not full access</v>
      </c>
      <c r="AA145" s="1" t="str">
        <f t="shared" si="6"/>
        <v>full access</v>
      </c>
    </row>
    <row r="146" spans="1:27" hidden="1" x14ac:dyDescent="0.25">
      <c r="A146" s="1" t="s">
        <v>161</v>
      </c>
      <c r="B146">
        <v>2015</v>
      </c>
      <c r="C146">
        <v>868.63201900000001</v>
      </c>
      <c r="D146">
        <v>54.725997919999998</v>
      </c>
      <c r="E146">
        <v>94.262558670000004</v>
      </c>
      <c r="F146">
        <v>0</v>
      </c>
      <c r="G146">
        <v>3.4193659360000002</v>
      </c>
      <c r="H146">
        <v>2.3180753950000001</v>
      </c>
      <c r="I146">
        <v>89.378527390000002</v>
      </c>
      <c r="J146">
        <v>0</v>
      </c>
      <c r="K146">
        <v>5.8294678109999998</v>
      </c>
      <c r="L146">
        <v>4.7920047950000004</v>
      </c>
      <c r="M146">
        <v>98.303044670000006</v>
      </c>
      <c r="N146">
        <v>0</v>
      </c>
      <c r="O146">
        <v>1.4255247120000001</v>
      </c>
      <c r="P146">
        <v>0.27143061419999998</v>
      </c>
      <c r="U146">
        <f>ABS(Sheet1[[#This Row],[ARC_r]]-Sheet1[[#This Row],[ARC_u]])</f>
        <v>0</v>
      </c>
      <c r="V146">
        <f>ROUND(Sheet1[[#This Row],[wat_bas_n]],0)</f>
        <v>94</v>
      </c>
      <c r="W146">
        <f>ROUND(Sheet1[[#This Row],[wat_bas_r]],0)</f>
        <v>89</v>
      </c>
      <c r="X146">
        <f>ROUND(Sheet1[[#This Row],[wat_bas_u]],0)</f>
        <v>98</v>
      </c>
      <c r="Y146" s="1" t="str">
        <f t="shared" si="4"/>
        <v>not full access</v>
      </c>
      <c r="Z146" s="1" t="str">
        <f t="shared" si="5"/>
        <v>not full access</v>
      </c>
      <c r="AA146" s="1" t="str">
        <f t="shared" si="6"/>
        <v>not full access</v>
      </c>
    </row>
    <row r="147" spans="1:27" hidden="1" x14ac:dyDescent="0.25">
      <c r="A147" s="1" t="s">
        <v>161</v>
      </c>
      <c r="B147">
        <v>2020</v>
      </c>
      <c r="C147">
        <v>896.44396970000003</v>
      </c>
      <c r="D147">
        <v>57.247005459999997</v>
      </c>
      <c r="E147">
        <v>94.30106524</v>
      </c>
      <c r="F147">
        <v>0</v>
      </c>
      <c r="G147">
        <v>3.3186027660000001</v>
      </c>
      <c r="H147">
        <v>2.380331999</v>
      </c>
      <c r="I147">
        <v>89.088024050000001</v>
      </c>
      <c r="J147">
        <v>0</v>
      </c>
      <c r="K147">
        <v>5.7598979379999999</v>
      </c>
      <c r="L147">
        <v>5.1520780119999996</v>
      </c>
      <c r="M147">
        <v>98.194244060000003</v>
      </c>
      <c r="N147">
        <v>0</v>
      </c>
      <c r="O147">
        <v>1.495409344</v>
      </c>
      <c r="P147">
        <v>0.31034659219999999</v>
      </c>
      <c r="Q147">
        <v>5</v>
      </c>
      <c r="R147">
        <v>7.7013139999991152E-3</v>
      </c>
      <c r="S147">
        <v>-5.8100668000000147E-2</v>
      </c>
      <c r="T147">
        <v>-2.176012200000059E-2</v>
      </c>
      <c r="U147">
        <f>ABS(Sheet1[[#This Row],[ARC_r]]-Sheet1[[#This Row],[ARC_u]])</f>
        <v>3.6340545999999557E-2</v>
      </c>
      <c r="V147">
        <f>ROUND(Sheet1[[#This Row],[wat_bas_n]],0)</f>
        <v>94</v>
      </c>
      <c r="W147">
        <f>ROUND(Sheet1[[#This Row],[wat_bas_r]],0)</f>
        <v>89</v>
      </c>
      <c r="X147">
        <f>ROUND(Sheet1[[#This Row],[wat_bas_u]],0)</f>
        <v>98</v>
      </c>
      <c r="Y147" s="1" t="str">
        <f t="shared" si="4"/>
        <v>not full access</v>
      </c>
      <c r="Z147" s="1" t="str">
        <f t="shared" si="5"/>
        <v>not full access</v>
      </c>
      <c r="AA147" s="1" t="str">
        <f t="shared" si="6"/>
        <v>not full access</v>
      </c>
    </row>
    <row r="148" spans="1:27" x14ac:dyDescent="0.25">
      <c r="A148" s="1" t="s">
        <v>20</v>
      </c>
      <c r="B148">
        <v>2015</v>
      </c>
      <c r="C148">
        <v>5481.1279299999997</v>
      </c>
      <c r="D148">
        <v>85.224998470000003</v>
      </c>
      <c r="E148">
        <v>99.999996659999994</v>
      </c>
      <c r="F148">
        <v>0</v>
      </c>
      <c r="G148">
        <v>3.3406530800000001E-6</v>
      </c>
      <c r="H148">
        <v>0</v>
      </c>
      <c r="I148">
        <v>100</v>
      </c>
      <c r="J148">
        <v>0</v>
      </c>
      <c r="K148">
        <v>0</v>
      </c>
      <c r="L148">
        <v>0</v>
      </c>
      <c r="M148">
        <v>100</v>
      </c>
      <c r="N148">
        <v>0</v>
      </c>
      <c r="O148">
        <v>0</v>
      </c>
      <c r="P148">
        <v>0</v>
      </c>
      <c r="U148">
        <f>ABS(Sheet1[[#This Row],[ARC_r]]-Sheet1[[#This Row],[ARC_u]])</f>
        <v>0</v>
      </c>
      <c r="V148">
        <f>ROUND(Sheet1[[#This Row],[wat_bas_n]],0)</f>
        <v>100</v>
      </c>
      <c r="W148">
        <f>ROUND(Sheet1[[#This Row],[wat_bas_r]],0)</f>
        <v>100</v>
      </c>
      <c r="X148">
        <f>ROUND(Sheet1[[#This Row],[wat_bas_u]],0)</f>
        <v>100</v>
      </c>
      <c r="Y148" s="1" t="str">
        <f t="shared" si="4"/>
        <v>full access</v>
      </c>
      <c r="Z148" s="1" t="str">
        <f t="shared" si="5"/>
        <v>full access</v>
      </c>
      <c r="AA148" s="1" t="str">
        <f t="shared" si="6"/>
        <v>full access</v>
      </c>
    </row>
    <row r="149" spans="1:27" x14ac:dyDescent="0.25">
      <c r="A149" s="1" t="s">
        <v>20</v>
      </c>
      <c r="B149">
        <v>2020</v>
      </c>
      <c r="C149">
        <v>5540.7177730000003</v>
      </c>
      <c r="D149">
        <v>85.517005920000003</v>
      </c>
      <c r="E149">
        <v>100.0000033</v>
      </c>
      <c r="F149">
        <v>0</v>
      </c>
      <c r="G149">
        <v>0</v>
      </c>
      <c r="H149">
        <v>0</v>
      </c>
      <c r="I149">
        <v>100</v>
      </c>
      <c r="J149">
        <v>0</v>
      </c>
      <c r="K149">
        <v>0</v>
      </c>
      <c r="L149">
        <v>0</v>
      </c>
      <c r="M149">
        <v>100</v>
      </c>
      <c r="N149">
        <v>0</v>
      </c>
      <c r="O149">
        <v>0</v>
      </c>
      <c r="P149">
        <v>0</v>
      </c>
      <c r="Q149">
        <v>5</v>
      </c>
      <c r="R149">
        <v>1.3280000018767169E-6</v>
      </c>
      <c r="S149">
        <v>0</v>
      </c>
      <c r="T149">
        <v>0</v>
      </c>
      <c r="U149">
        <f>ABS(Sheet1[[#This Row],[ARC_r]]-Sheet1[[#This Row],[ARC_u]])</f>
        <v>0</v>
      </c>
      <c r="V149">
        <f>ROUND(Sheet1[[#This Row],[wat_bas_n]],0)</f>
        <v>100</v>
      </c>
      <c r="W149">
        <f>ROUND(Sheet1[[#This Row],[wat_bas_r]],0)</f>
        <v>100</v>
      </c>
      <c r="X149">
        <f>ROUND(Sheet1[[#This Row],[wat_bas_u]],0)</f>
        <v>100</v>
      </c>
      <c r="Y149" s="1" t="str">
        <f t="shared" si="4"/>
        <v>full access</v>
      </c>
      <c r="Z149" s="1" t="str">
        <f t="shared" si="5"/>
        <v>full access</v>
      </c>
      <c r="AA149" s="1" t="str">
        <f t="shared" si="6"/>
        <v>full access</v>
      </c>
    </row>
    <row r="150" spans="1:27" x14ac:dyDescent="0.25">
      <c r="A150" s="1" t="s">
        <v>52</v>
      </c>
      <c r="B150">
        <v>2015</v>
      </c>
      <c r="C150">
        <v>64453.195310000003</v>
      </c>
      <c r="D150">
        <v>79.65499878</v>
      </c>
      <c r="E150">
        <v>100</v>
      </c>
      <c r="F150">
        <v>0</v>
      </c>
      <c r="G150">
        <v>0</v>
      </c>
      <c r="H150">
        <v>0</v>
      </c>
      <c r="I150">
        <v>100</v>
      </c>
      <c r="J150">
        <v>0</v>
      </c>
      <c r="K150">
        <v>0</v>
      </c>
      <c r="L150">
        <v>0</v>
      </c>
      <c r="M150">
        <v>100</v>
      </c>
      <c r="N150">
        <v>0</v>
      </c>
      <c r="O150">
        <v>0</v>
      </c>
      <c r="P150">
        <v>0</v>
      </c>
      <c r="U150">
        <f>ABS(Sheet1[[#This Row],[ARC_r]]-Sheet1[[#This Row],[ARC_u]])</f>
        <v>0</v>
      </c>
      <c r="V150">
        <f>ROUND(Sheet1[[#This Row],[wat_bas_n]],0)</f>
        <v>100</v>
      </c>
      <c r="W150">
        <f>ROUND(Sheet1[[#This Row],[wat_bas_r]],0)</f>
        <v>100</v>
      </c>
      <c r="X150">
        <f>ROUND(Sheet1[[#This Row],[wat_bas_u]],0)</f>
        <v>100</v>
      </c>
      <c r="Y150" s="1" t="str">
        <f t="shared" si="4"/>
        <v>full access</v>
      </c>
      <c r="Z150" s="1" t="str">
        <f t="shared" si="5"/>
        <v>full access</v>
      </c>
      <c r="AA150" s="1" t="str">
        <f t="shared" si="6"/>
        <v>full access</v>
      </c>
    </row>
    <row r="151" spans="1:27" x14ac:dyDescent="0.25">
      <c r="A151" s="1" t="s">
        <v>52</v>
      </c>
      <c r="B151">
        <v>2020</v>
      </c>
      <c r="C151">
        <v>65273.511720000002</v>
      </c>
      <c r="D151">
        <v>80.974998470000003</v>
      </c>
      <c r="E151">
        <v>99.999998500000004</v>
      </c>
      <c r="F151">
        <v>0</v>
      </c>
      <c r="G151">
        <v>1.49610841E-6</v>
      </c>
      <c r="H151">
        <v>0</v>
      </c>
      <c r="I151">
        <v>100</v>
      </c>
      <c r="J151">
        <v>0</v>
      </c>
      <c r="K151">
        <v>0</v>
      </c>
      <c r="L151">
        <v>0</v>
      </c>
      <c r="M151">
        <v>100</v>
      </c>
      <c r="N151">
        <v>0</v>
      </c>
      <c r="O151">
        <v>0</v>
      </c>
      <c r="P151">
        <v>0</v>
      </c>
      <c r="Q151">
        <v>5</v>
      </c>
      <c r="R151">
        <v>-2.999999992425728E-7</v>
      </c>
      <c r="S151">
        <v>0</v>
      </c>
      <c r="T151">
        <v>0</v>
      </c>
      <c r="U151">
        <f>ABS(Sheet1[[#This Row],[ARC_r]]-Sheet1[[#This Row],[ARC_u]])</f>
        <v>0</v>
      </c>
      <c r="V151">
        <f>ROUND(Sheet1[[#This Row],[wat_bas_n]],0)</f>
        <v>100</v>
      </c>
      <c r="W151">
        <f>ROUND(Sheet1[[#This Row],[wat_bas_r]],0)</f>
        <v>100</v>
      </c>
      <c r="X151">
        <f>ROUND(Sheet1[[#This Row],[wat_bas_u]],0)</f>
        <v>100</v>
      </c>
      <c r="Y151" s="1" t="str">
        <f t="shared" si="4"/>
        <v>full access</v>
      </c>
      <c r="Z151" s="1" t="str">
        <f t="shared" si="5"/>
        <v>full access</v>
      </c>
      <c r="AA151" s="1" t="str">
        <f t="shared" si="6"/>
        <v>full access</v>
      </c>
    </row>
    <row r="152" spans="1:27" hidden="1" x14ac:dyDescent="0.25">
      <c r="A152" s="1" t="s">
        <v>169</v>
      </c>
      <c r="B152">
        <v>2015</v>
      </c>
      <c r="C152">
        <v>261.00799560000002</v>
      </c>
      <c r="D152">
        <v>84.482002260000002</v>
      </c>
      <c r="E152">
        <v>93.562056569999996</v>
      </c>
      <c r="F152">
        <v>0</v>
      </c>
      <c r="G152">
        <v>6.4379434250000003</v>
      </c>
      <c r="H152">
        <v>0</v>
      </c>
      <c r="U152">
        <f>ABS(Sheet1[[#This Row],[ARC_r]]-Sheet1[[#This Row],[ARC_u]])</f>
        <v>0</v>
      </c>
      <c r="V152">
        <f>ROUND(Sheet1[[#This Row],[wat_bas_n]],0)</f>
        <v>94</v>
      </c>
      <c r="W152">
        <f>ROUND(Sheet1[[#This Row],[wat_bas_r]],0)</f>
        <v>0</v>
      </c>
      <c r="X152">
        <f>ROUND(Sheet1[[#This Row],[wat_bas_u]],0)</f>
        <v>0</v>
      </c>
      <c r="Y152" s="1" t="str">
        <f t="shared" si="4"/>
        <v>not full access</v>
      </c>
      <c r="Z152" s="1" t="str">
        <f t="shared" si="5"/>
        <v>not full access</v>
      </c>
      <c r="AA152" s="1" t="str">
        <f t="shared" si="6"/>
        <v>not full access</v>
      </c>
    </row>
    <row r="153" spans="1:27" hidden="1" x14ac:dyDescent="0.25">
      <c r="A153" s="1" t="s">
        <v>169</v>
      </c>
      <c r="B153">
        <v>2020</v>
      </c>
      <c r="C153">
        <v>298.68200680000001</v>
      </c>
      <c r="D153">
        <v>85.819999690000003</v>
      </c>
      <c r="E153">
        <v>93.782216349999999</v>
      </c>
      <c r="F153">
        <v>0</v>
      </c>
      <c r="G153">
        <v>6.2177836519999996</v>
      </c>
      <c r="H153">
        <v>0</v>
      </c>
      <c r="Q153">
        <v>5</v>
      </c>
      <c r="R153">
        <v>4.4031956000000608E-2</v>
      </c>
      <c r="U153">
        <f>ABS(Sheet1[[#This Row],[ARC_r]]-Sheet1[[#This Row],[ARC_u]])</f>
        <v>0</v>
      </c>
      <c r="V153">
        <f>ROUND(Sheet1[[#This Row],[wat_bas_n]],0)</f>
        <v>94</v>
      </c>
      <c r="W153">
        <f>ROUND(Sheet1[[#This Row],[wat_bas_r]],0)</f>
        <v>0</v>
      </c>
      <c r="X153">
        <f>ROUND(Sheet1[[#This Row],[wat_bas_u]],0)</f>
        <v>0</v>
      </c>
      <c r="Y153" s="1" t="str">
        <f t="shared" si="4"/>
        <v>not full access</v>
      </c>
      <c r="Z153" s="1" t="str">
        <f t="shared" si="5"/>
        <v>not full access</v>
      </c>
      <c r="AA153" s="1" t="str">
        <f t="shared" si="6"/>
        <v>not full access</v>
      </c>
    </row>
    <row r="154" spans="1:27" x14ac:dyDescent="0.25">
      <c r="A154" s="1" t="s">
        <v>40</v>
      </c>
      <c r="B154">
        <v>2015</v>
      </c>
      <c r="C154">
        <v>273.118988</v>
      </c>
      <c r="D154">
        <v>61.683002469999998</v>
      </c>
      <c r="E154">
        <v>100</v>
      </c>
      <c r="F154">
        <v>0</v>
      </c>
      <c r="G154">
        <v>0</v>
      </c>
      <c r="H154">
        <v>0</v>
      </c>
      <c r="U154">
        <f>ABS(Sheet1[[#This Row],[ARC_r]]-Sheet1[[#This Row],[ARC_u]])</f>
        <v>0</v>
      </c>
      <c r="V154">
        <f>ROUND(Sheet1[[#This Row],[wat_bas_n]],0)</f>
        <v>100</v>
      </c>
      <c r="W154">
        <f>ROUND(Sheet1[[#This Row],[wat_bas_r]],0)</f>
        <v>0</v>
      </c>
      <c r="X154">
        <f>ROUND(Sheet1[[#This Row],[wat_bas_u]],0)</f>
        <v>0</v>
      </c>
      <c r="Y154" s="1" t="str">
        <f t="shared" si="4"/>
        <v>full access</v>
      </c>
      <c r="Z154" s="1" t="str">
        <f t="shared" si="5"/>
        <v>not full access</v>
      </c>
      <c r="AA154" s="1" t="str">
        <f t="shared" si="6"/>
        <v>not full access</v>
      </c>
    </row>
    <row r="155" spans="1:27" x14ac:dyDescent="0.25">
      <c r="A155" s="1" t="s">
        <v>40</v>
      </c>
      <c r="B155">
        <v>2020</v>
      </c>
      <c r="C155">
        <v>280.90399170000001</v>
      </c>
      <c r="D155">
        <v>61.975002289999999</v>
      </c>
      <c r="E155">
        <v>100</v>
      </c>
      <c r="F155">
        <v>0</v>
      </c>
      <c r="G155">
        <v>0</v>
      </c>
      <c r="H155">
        <v>0</v>
      </c>
      <c r="Q155">
        <v>5</v>
      </c>
      <c r="R155">
        <v>0</v>
      </c>
      <c r="U155">
        <f>ABS(Sheet1[[#This Row],[ARC_r]]-Sheet1[[#This Row],[ARC_u]])</f>
        <v>0</v>
      </c>
      <c r="V155">
        <f>ROUND(Sheet1[[#This Row],[wat_bas_n]],0)</f>
        <v>100</v>
      </c>
      <c r="W155">
        <f>ROUND(Sheet1[[#This Row],[wat_bas_r]],0)</f>
        <v>0</v>
      </c>
      <c r="X155">
        <f>ROUND(Sheet1[[#This Row],[wat_bas_u]],0)</f>
        <v>0</v>
      </c>
      <c r="Y155" s="1" t="str">
        <f t="shared" si="4"/>
        <v>full access</v>
      </c>
      <c r="Z155" s="1" t="str">
        <f t="shared" si="5"/>
        <v>not full access</v>
      </c>
      <c r="AA155" s="1" t="str">
        <f t="shared" si="6"/>
        <v>not full access</v>
      </c>
    </row>
    <row r="156" spans="1:27" hidden="1" x14ac:dyDescent="0.25">
      <c r="A156" s="1" t="s">
        <v>193</v>
      </c>
      <c r="B156">
        <v>2015</v>
      </c>
      <c r="C156">
        <v>1947.6899410000001</v>
      </c>
      <c r="D156">
        <v>88.117996219999995</v>
      </c>
      <c r="E156">
        <v>83.858486549999995</v>
      </c>
      <c r="F156">
        <v>7.7224304339999996</v>
      </c>
      <c r="G156">
        <v>4.9241821100000003</v>
      </c>
      <c r="H156">
        <v>3.4949009009999998</v>
      </c>
      <c r="I156">
        <v>43.390033160000002</v>
      </c>
      <c r="J156">
        <v>10.192647770000001</v>
      </c>
      <c r="K156">
        <v>21.81093263</v>
      </c>
      <c r="L156">
        <v>24.606386440000001</v>
      </c>
      <c r="M156">
        <v>89.315331869999994</v>
      </c>
      <c r="N156">
        <v>7.3893416170000004</v>
      </c>
      <c r="O156">
        <v>2.6471391450000001</v>
      </c>
      <c r="P156">
        <v>0.6481873668</v>
      </c>
      <c r="U156">
        <f>ABS(Sheet1[[#This Row],[ARC_r]]-Sheet1[[#This Row],[ARC_u]])</f>
        <v>0</v>
      </c>
      <c r="V156">
        <f>ROUND(Sheet1[[#This Row],[wat_bas_n]],0)</f>
        <v>84</v>
      </c>
      <c r="W156">
        <f>ROUND(Sheet1[[#This Row],[wat_bas_r]],0)</f>
        <v>43</v>
      </c>
      <c r="X156">
        <f>ROUND(Sheet1[[#This Row],[wat_bas_u]],0)</f>
        <v>89</v>
      </c>
      <c r="Y156" s="1" t="str">
        <f t="shared" si="4"/>
        <v>not full access</v>
      </c>
      <c r="Z156" s="1" t="str">
        <f t="shared" si="5"/>
        <v>not full access</v>
      </c>
      <c r="AA156" s="1" t="str">
        <f t="shared" si="6"/>
        <v>not full access</v>
      </c>
    </row>
    <row r="157" spans="1:27" hidden="1" x14ac:dyDescent="0.25">
      <c r="A157" s="1" t="s">
        <v>193</v>
      </c>
      <c r="B157">
        <v>2020</v>
      </c>
      <c r="C157">
        <v>2225.7280270000001</v>
      </c>
      <c r="D157">
        <v>90.092002870000002</v>
      </c>
      <c r="E157">
        <v>85.341930599999998</v>
      </c>
      <c r="F157">
        <v>7.7352631030000003</v>
      </c>
      <c r="G157">
        <v>6.9228083570000001</v>
      </c>
      <c r="I157">
        <v>44.745889009999999</v>
      </c>
      <c r="J157">
        <v>10.511148589999999</v>
      </c>
      <c r="K157">
        <v>44.742962400000003</v>
      </c>
      <c r="M157">
        <v>89.806539169999994</v>
      </c>
      <c r="N157">
        <v>7.4299807600000003</v>
      </c>
      <c r="O157">
        <v>2.7634800720000001</v>
      </c>
      <c r="Q157">
        <v>5</v>
      </c>
      <c r="R157">
        <v>0.29668881000000058</v>
      </c>
      <c r="S157">
        <v>0.27117116999999952</v>
      </c>
      <c r="T157">
        <v>9.824145999999985E-2</v>
      </c>
      <c r="U157">
        <f>ABS(Sheet1[[#This Row],[ARC_r]]-Sheet1[[#This Row],[ARC_u]])</f>
        <v>0.17292970999999968</v>
      </c>
      <c r="V157">
        <f>ROUND(Sheet1[[#This Row],[wat_bas_n]],0)</f>
        <v>85</v>
      </c>
      <c r="W157">
        <f>ROUND(Sheet1[[#This Row],[wat_bas_r]],0)</f>
        <v>45</v>
      </c>
      <c r="X157">
        <f>ROUND(Sheet1[[#This Row],[wat_bas_u]],0)</f>
        <v>90</v>
      </c>
      <c r="Y157" s="1" t="str">
        <f t="shared" si="4"/>
        <v>not full access</v>
      </c>
      <c r="Z157" s="1" t="str">
        <f t="shared" si="5"/>
        <v>not full access</v>
      </c>
      <c r="AA157" s="1" t="str">
        <f t="shared" si="6"/>
        <v>not full access</v>
      </c>
    </row>
    <row r="158" spans="1:27" hidden="1" x14ac:dyDescent="0.25">
      <c r="A158" s="1" t="s">
        <v>201</v>
      </c>
      <c r="B158">
        <v>2015</v>
      </c>
      <c r="C158">
        <v>2085.860107</v>
      </c>
      <c r="D158">
        <v>59.228000639999998</v>
      </c>
      <c r="E158">
        <v>79.2101665</v>
      </c>
      <c r="F158">
        <v>9.0733700059999993</v>
      </c>
      <c r="G158">
        <v>11.624014620000001</v>
      </c>
      <c r="H158">
        <v>9.2448870380000006E-2</v>
      </c>
      <c r="I158">
        <v>68.254892569999996</v>
      </c>
      <c r="J158">
        <v>15.340084539999999</v>
      </c>
      <c r="K158">
        <v>16.322389959999999</v>
      </c>
      <c r="L158">
        <v>8.263292471E-2</v>
      </c>
      <c r="M158">
        <v>86.751671259999995</v>
      </c>
      <c r="N158">
        <v>4.7594215670000004</v>
      </c>
      <c r="O158">
        <v>8.3897011020000001</v>
      </c>
      <c r="P158">
        <v>9.9206071500000007E-2</v>
      </c>
      <c r="U158">
        <f>ABS(Sheet1[[#This Row],[ARC_r]]-Sheet1[[#This Row],[ARC_u]])</f>
        <v>0</v>
      </c>
      <c r="V158">
        <f>ROUND(Sheet1[[#This Row],[wat_bas_n]],0)</f>
        <v>79</v>
      </c>
      <c r="W158">
        <f>ROUND(Sheet1[[#This Row],[wat_bas_r]],0)</f>
        <v>68</v>
      </c>
      <c r="X158">
        <f>ROUND(Sheet1[[#This Row],[wat_bas_u]],0)</f>
        <v>87</v>
      </c>
      <c r="Y158" s="1" t="str">
        <f t="shared" si="4"/>
        <v>not full access</v>
      </c>
      <c r="Z158" s="1" t="str">
        <f t="shared" si="5"/>
        <v>not full access</v>
      </c>
      <c r="AA158" s="1" t="str">
        <f t="shared" si="6"/>
        <v>not full access</v>
      </c>
    </row>
    <row r="159" spans="1:27" hidden="1" x14ac:dyDescent="0.25">
      <c r="A159" s="1" t="s">
        <v>201</v>
      </c>
      <c r="B159">
        <v>2020</v>
      </c>
      <c r="C159">
        <v>2416.6640630000002</v>
      </c>
      <c r="D159">
        <v>62.581996920000002</v>
      </c>
      <c r="E159">
        <v>80.940407140000005</v>
      </c>
      <c r="F159">
        <v>8.5973913910000004</v>
      </c>
      <c r="G159">
        <v>10.352852070000001</v>
      </c>
      <c r="H159">
        <v>0.10934939270000001</v>
      </c>
      <c r="I159">
        <v>69.18852321</v>
      </c>
      <c r="J159">
        <v>16.497832389999999</v>
      </c>
      <c r="K159">
        <v>14.24376547</v>
      </c>
      <c r="L159">
        <v>6.9878936799999999E-2</v>
      </c>
      <c r="M159">
        <v>87.966904270000001</v>
      </c>
      <c r="N159">
        <v>3.8736895219999998</v>
      </c>
      <c r="O159">
        <v>8.0264572780000005</v>
      </c>
      <c r="P159">
        <v>0.13294892529999999</v>
      </c>
      <c r="Q159">
        <v>5</v>
      </c>
      <c r="R159">
        <v>0.34604812800000112</v>
      </c>
      <c r="S159">
        <v>0.1867261280000008</v>
      </c>
      <c r="T159">
        <v>0.24304660200000111</v>
      </c>
      <c r="U159">
        <f>ABS(Sheet1[[#This Row],[ARC_r]]-Sheet1[[#This Row],[ARC_u]])</f>
        <v>5.6320474000000315E-2</v>
      </c>
      <c r="V159">
        <f>ROUND(Sheet1[[#This Row],[wat_bas_n]],0)</f>
        <v>81</v>
      </c>
      <c r="W159">
        <f>ROUND(Sheet1[[#This Row],[wat_bas_r]],0)</f>
        <v>69</v>
      </c>
      <c r="X159">
        <f>ROUND(Sheet1[[#This Row],[wat_bas_u]],0)</f>
        <v>88</v>
      </c>
      <c r="Y159" s="1" t="str">
        <f t="shared" si="4"/>
        <v>not full access</v>
      </c>
      <c r="Z159" s="1" t="str">
        <f t="shared" si="5"/>
        <v>not full access</v>
      </c>
      <c r="AA159" s="1" t="str">
        <f t="shared" si="6"/>
        <v>not full access</v>
      </c>
    </row>
    <row r="160" spans="1:27" hidden="1" x14ac:dyDescent="0.25">
      <c r="A160" s="1" t="s">
        <v>129</v>
      </c>
      <c r="B160">
        <v>2015</v>
      </c>
      <c r="C160">
        <v>4024.179932</v>
      </c>
      <c r="D160">
        <v>57.447998050000002</v>
      </c>
      <c r="E160">
        <v>95.754729510000004</v>
      </c>
      <c r="F160">
        <v>0.95196455830000004</v>
      </c>
      <c r="G160">
        <v>3.2398949309999998</v>
      </c>
      <c r="H160">
        <v>5.3410995400000001E-2</v>
      </c>
      <c r="I160">
        <v>91.295150590000006</v>
      </c>
      <c r="J160">
        <v>1.893756292</v>
      </c>
      <c r="K160">
        <v>6.7002163880000003</v>
      </c>
      <c r="L160">
        <v>0.1108767321</v>
      </c>
      <c r="M160">
        <v>99.057965449999998</v>
      </c>
      <c r="N160">
        <v>0.25437508559999999</v>
      </c>
      <c r="O160">
        <v>0.67681360540000002</v>
      </c>
      <c r="P160">
        <v>1.084585945E-2</v>
      </c>
      <c r="U160">
        <f>ABS(Sheet1[[#This Row],[ARC_r]]-Sheet1[[#This Row],[ARC_u]])</f>
        <v>0</v>
      </c>
      <c r="V160">
        <f>ROUND(Sheet1[[#This Row],[wat_bas_n]],0)</f>
        <v>96</v>
      </c>
      <c r="W160">
        <f>ROUND(Sheet1[[#This Row],[wat_bas_r]],0)</f>
        <v>91</v>
      </c>
      <c r="X160">
        <f>ROUND(Sheet1[[#This Row],[wat_bas_u]],0)</f>
        <v>99</v>
      </c>
      <c r="Y160" s="1" t="str">
        <f t="shared" si="4"/>
        <v>not full access</v>
      </c>
      <c r="Z160" s="1" t="str">
        <f t="shared" si="5"/>
        <v>not full access</v>
      </c>
      <c r="AA160" s="1" t="str">
        <f t="shared" si="6"/>
        <v>full access</v>
      </c>
    </row>
    <row r="161" spans="1:27" hidden="1" x14ac:dyDescent="0.25">
      <c r="A161" s="1" t="s">
        <v>129</v>
      </c>
      <c r="B161">
        <v>2020</v>
      </c>
      <c r="C161">
        <v>3989.1750489999999</v>
      </c>
      <c r="D161">
        <v>59.452995299999998</v>
      </c>
      <c r="E161">
        <v>97.348139700000004</v>
      </c>
      <c r="F161">
        <v>0</v>
      </c>
      <c r="G161">
        <v>2.6327613790000002</v>
      </c>
      <c r="H161">
        <v>1.9098923269999998E-2</v>
      </c>
      <c r="I161">
        <v>94.271884200000002</v>
      </c>
      <c r="J161">
        <v>0</v>
      </c>
      <c r="K161">
        <v>5.7039236180000001</v>
      </c>
      <c r="L161">
        <v>2.4192183450000002E-2</v>
      </c>
      <c r="M161">
        <v>99.446153940000002</v>
      </c>
      <c r="N161">
        <v>0</v>
      </c>
      <c r="O161">
        <v>0.53822074200000003</v>
      </c>
      <c r="P161">
        <v>1.5625315859999999E-2</v>
      </c>
      <c r="Q161">
        <v>5</v>
      </c>
      <c r="R161">
        <v>0.31868203800000011</v>
      </c>
      <c r="S161">
        <v>0.59534672199999927</v>
      </c>
      <c r="T161">
        <v>7.7637698000000907E-2</v>
      </c>
      <c r="U161">
        <f>ABS(Sheet1[[#This Row],[ARC_r]]-Sheet1[[#This Row],[ARC_u]])</f>
        <v>0.51770902399999841</v>
      </c>
      <c r="V161">
        <f>ROUND(Sheet1[[#This Row],[wat_bas_n]],0)</f>
        <v>97</v>
      </c>
      <c r="W161">
        <f>ROUND(Sheet1[[#This Row],[wat_bas_r]],0)</f>
        <v>94</v>
      </c>
      <c r="X161">
        <f>ROUND(Sheet1[[#This Row],[wat_bas_u]],0)</f>
        <v>99</v>
      </c>
      <c r="Y161" s="1" t="str">
        <f t="shared" si="4"/>
        <v>not full access</v>
      </c>
      <c r="Z161" s="1" t="str">
        <f t="shared" si="5"/>
        <v>not full access</v>
      </c>
      <c r="AA161" s="1" t="str">
        <f t="shared" si="6"/>
        <v>full access</v>
      </c>
    </row>
    <row r="162" spans="1:27" x14ac:dyDescent="0.25">
      <c r="A162" s="1" t="s">
        <v>22</v>
      </c>
      <c r="B162">
        <v>2015</v>
      </c>
      <c r="C162">
        <v>81787.414059999996</v>
      </c>
      <c r="D162">
        <v>77.200004579999998</v>
      </c>
      <c r="E162">
        <v>100.0000024</v>
      </c>
      <c r="F162">
        <v>0</v>
      </c>
      <c r="G162">
        <v>0</v>
      </c>
      <c r="H162">
        <v>0</v>
      </c>
      <c r="I162">
        <v>100</v>
      </c>
      <c r="J162">
        <v>0</v>
      </c>
      <c r="K162">
        <v>0</v>
      </c>
      <c r="L162">
        <v>0</v>
      </c>
      <c r="M162">
        <v>100</v>
      </c>
      <c r="N162">
        <v>0</v>
      </c>
      <c r="O162">
        <v>0</v>
      </c>
      <c r="P162">
        <v>0</v>
      </c>
      <c r="U162">
        <f>ABS(Sheet1[[#This Row],[ARC_r]]-Sheet1[[#This Row],[ARC_u]])</f>
        <v>0</v>
      </c>
      <c r="V162">
        <f>ROUND(Sheet1[[#This Row],[wat_bas_n]],0)</f>
        <v>100</v>
      </c>
      <c r="W162">
        <f>ROUND(Sheet1[[#This Row],[wat_bas_r]],0)</f>
        <v>100</v>
      </c>
      <c r="X162">
        <f>ROUND(Sheet1[[#This Row],[wat_bas_u]],0)</f>
        <v>100</v>
      </c>
      <c r="Y162" s="1" t="str">
        <f t="shared" si="4"/>
        <v>full access</v>
      </c>
      <c r="Z162" s="1" t="str">
        <f t="shared" si="5"/>
        <v>full access</v>
      </c>
      <c r="AA162" s="1" t="str">
        <f t="shared" si="6"/>
        <v>full access</v>
      </c>
    </row>
    <row r="163" spans="1:27" x14ac:dyDescent="0.25">
      <c r="A163" s="1" t="s">
        <v>22</v>
      </c>
      <c r="B163">
        <v>2020</v>
      </c>
      <c r="C163">
        <v>83783.945309999996</v>
      </c>
      <c r="D163">
        <v>77.453002929999997</v>
      </c>
      <c r="E163">
        <v>100.00000230000001</v>
      </c>
      <c r="F163">
        <v>0</v>
      </c>
      <c r="G163">
        <v>0</v>
      </c>
      <c r="H163">
        <v>0</v>
      </c>
      <c r="I163">
        <v>100</v>
      </c>
      <c r="J163">
        <v>0</v>
      </c>
      <c r="K163">
        <v>0</v>
      </c>
      <c r="L163">
        <v>0</v>
      </c>
      <c r="M163">
        <v>100</v>
      </c>
      <c r="N163">
        <v>0</v>
      </c>
      <c r="O163">
        <v>0</v>
      </c>
      <c r="P163">
        <v>0</v>
      </c>
      <c r="Q163">
        <v>5</v>
      </c>
      <c r="R163">
        <v>-1.9999998812636481E-8</v>
      </c>
      <c r="S163">
        <v>0</v>
      </c>
      <c r="T163">
        <v>0</v>
      </c>
      <c r="U163">
        <f>ABS(Sheet1[[#This Row],[ARC_r]]-Sheet1[[#This Row],[ARC_u]])</f>
        <v>0</v>
      </c>
      <c r="V163">
        <f>ROUND(Sheet1[[#This Row],[wat_bas_n]],0)</f>
        <v>100</v>
      </c>
      <c r="W163">
        <f>ROUND(Sheet1[[#This Row],[wat_bas_r]],0)</f>
        <v>100</v>
      </c>
      <c r="X163">
        <f>ROUND(Sheet1[[#This Row],[wat_bas_u]],0)</f>
        <v>100</v>
      </c>
      <c r="Y163" s="1" t="str">
        <f t="shared" si="4"/>
        <v>full access</v>
      </c>
      <c r="Z163" s="1" t="str">
        <f t="shared" si="5"/>
        <v>full access</v>
      </c>
      <c r="AA163" s="1" t="str">
        <f t="shared" si="6"/>
        <v>full access</v>
      </c>
    </row>
    <row r="164" spans="1:27" hidden="1" x14ac:dyDescent="0.25">
      <c r="A164" s="1" t="s">
        <v>190</v>
      </c>
      <c r="B164">
        <v>2015</v>
      </c>
      <c r="C164">
        <v>27849.203130000002</v>
      </c>
      <c r="D164">
        <v>54.085998539999999</v>
      </c>
      <c r="E164">
        <v>80.157961229999998</v>
      </c>
      <c r="F164">
        <v>7.8975991900000002</v>
      </c>
      <c r="G164">
        <v>4.4266436760000003</v>
      </c>
      <c r="H164">
        <v>7.5177958990000002</v>
      </c>
      <c r="I164">
        <v>67.208304769999998</v>
      </c>
      <c r="J164">
        <v>11.1534648</v>
      </c>
      <c r="K164">
        <v>6.3352592420000002</v>
      </c>
      <c r="L164">
        <v>15.302971189999999</v>
      </c>
      <c r="M164">
        <v>91.151019840000004</v>
      </c>
      <c r="N164">
        <v>5.133670929</v>
      </c>
      <c r="O164">
        <v>2.806405888</v>
      </c>
      <c r="P164">
        <v>0.90890334449999999</v>
      </c>
      <c r="U164">
        <f>ABS(Sheet1[[#This Row],[ARC_r]]-Sheet1[[#This Row],[ARC_u]])</f>
        <v>0</v>
      </c>
      <c r="V164">
        <f>ROUND(Sheet1[[#This Row],[wat_bas_n]],0)</f>
        <v>80</v>
      </c>
      <c r="W164">
        <f>ROUND(Sheet1[[#This Row],[wat_bas_r]],0)</f>
        <v>67</v>
      </c>
      <c r="X164">
        <f>ROUND(Sheet1[[#This Row],[wat_bas_u]],0)</f>
        <v>91</v>
      </c>
      <c r="Y164" s="1" t="str">
        <f t="shared" si="4"/>
        <v>not full access</v>
      </c>
      <c r="Z164" s="1" t="str">
        <f t="shared" si="5"/>
        <v>not full access</v>
      </c>
      <c r="AA164" s="1" t="str">
        <f t="shared" si="6"/>
        <v>not full access</v>
      </c>
    </row>
    <row r="165" spans="1:27" hidden="1" x14ac:dyDescent="0.25">
      <c r="A165" s="1" t="s">
        <v>190</v>
      </c>
      <c r="B165">
        <v>2020</v>
      </c>
      <c r="C165">
        <v>31072.945309999999</v>
      </c>
      <c r="D165">
        <v>57.348999020000001</v>
      </c>
      <c r="E165">
        <v>85.790996649999997</v>
      </c>
      <c r="F165">
        <v>6.5860621129999997</v>
      </c>
      <c r="G165">
        <v>2.8122161760000002</v>
      </c>
      <c r="H165">
        <v>4.8107250580000001</v>
      </c>
      <c r="I165">
        <v>71.892750050000004</v>
      </c>
      <c r="J165">
        <v>11.934548270000001</v>
      </c>
      <c r="K165">
        <v>4.9993564829999997</v>
      </c>
      <c r="L165">
        <v>11.173345189999999</v>
      </c>
      <c r="M165">
        <v>96.127259519999996</v>
      </c>
      <c r="N165">
        <v>2.6083424549999998</v>
      </c>
      <c r="O165">
        <v>1.1856138030000001</v>
      </c>
      <c r="P165">
        <v>7.8784218190000005E-2</v>
      </c>
      <c r="Q165">
        <v>5</v>
      </c>
      <c r="R165">
        <v>1.126607084</v>
      </c>
      <c r="S165">
        <v>0.93688905600000116</v>
      </c>
      <c r="T165">
        <v>0.99524793599999839</v>
      </c>
      <c r="U165">
        <f>ABS(Sheet1[[#This Row],[ARC_r]]-Sheet1[[#This Row],[ARC_u]])</f>
        <v>5.8358879999997226E-2</v>
      </c>
      <c r="V165">
        <f>ROUND(Sheet1[[#This Row],[wat_bas_n]],0)</f>
        <v>86</v>
      </c>
      <c r="W165">
        <f>ROUND(Sheet1[[#This Row],[wat_bas_r]],0)</f>
        <v>72</v>
      </c>
      <c r="X165">
        <f>ROUND(Sheet1[[#This Row],[wat_bas_u]],0)</f>
        <v>96</v>
      </c>
      <c r="Y165" s="1" t="str">
        <f t="shared" si="4"/>
        <v>not full access</v>
      </c>
      <c r="Z165" s="1" t="str">
        <f t="shared" si="5"/>
        <v>not full access</v>
      </c>
      <c r="AA165" s="1" t="str">
        <f t="shared" si="6"/>
        <v>not full access</v>
      </c>
    </row>
    <row r="166" spans="1:27" x14ac:dyDescent="0.25">
      <c r="A166" s="1" t="s">
        <v>35</v>
      </c>
      <c r="B166">
        <v>2015</v>
      </c>
      <c r="C166">
        <v>33.742000580000003</v>
      </c>
      <c r="D166">
        <v>100</v>
      </c>
      <c r="E166">
        <v>100</v>
      </c>
      <c r="F166">
        <v>0</v>
      </c>
      <c r="G166">
        <v>0</v>
      </c>
      <c r="H166">
        <v>0</v>
      </c>
      <c r="M166">
        <v>100</v>
      </c>
      <c r="N166">
        <v>0</v>
      </c>
      <c r="O166">
        <v>0</v>
      </c>
      <c r="P166">
        <v>0</v>
      </c>
      <c r="U166">
        <f>ABS(Sheet1[[#This Row],[ARC_r]]-Sheet1[[#This Row],[ARC_u]])</f>
        <v>0</v>
      </c>
      <c r="V166">
        <f>ROUND(Sheet1[[#This Row],[wat_bas_n]],0)</f>
        <v>100</v>
      </c>
      <c r="W166">
        <f>ROUND(Sheet1[[#This Row],[wat_bas_r]],0)</f>
        <v>0</v>
      </c>
      <c r="X166">
        <f>ROUND(Sheet1[[#This Row],[wat_bas_u]],0)</f>
        <v>100</v>
      </c>
      <c r="Y166" s="1" t="str">
        <f t="shared" si="4"/>
        <v>full access</v>
      </c>
      <c r="Z166" s="1" t="str">
        <f t="shared" si="5"/>
        <v>not full access</v>
      </c>
      <c r="AA166" s="1" t="str">
        <f t="shared" si="6"/>
        <v>full access</v>
      </c>
    </row>
    <row r="167" spans="1:27" x14ac:dyDescent="0.25">
      <c r="A167" s="1" t="s">
        <v>35</v>
      </c>
      <c r="B167">
        <v>2020</v>
      </c>
      <c r="C167">
        <v>33.691001890000003</v>
      </c>
      <c r="D167">
        <v>100</v>
      </c>
      <c r="E167">
        <v>100</v>
      </c>
      <c r="F167">
        <v>0</v>
      </c>
      <c r="G167">
        <v>0</v>
      </c>
      <c r="H167">
        <v>0</v>
      </c>
      <c r="M167">
        <v>100</v>
      </c>
      <c r="N167">
        <v>0</v>
      </c>
      <c r="O167">
        <v>0</v>
      </c>
      <c r="P167">
        <v>0</v>
      </c>
      <c r="Q167">
        <v>5</v>
      </c>
      <c r="R167">
        <v>0</v>
      </c>
      <c r="T167">
        <v>0</v>
      </c>
      <c r="U167">
        <f>ABS(Sheet1[[#This Row],[ARC_r]]-Sheet1[[#This Row],[ARC_u]])</f>
        <v>0</v>
      </c>
      <c r="V167">
        <f>ROUND(Sheet1[[#This Row],[wat_bas_n]],0)</f>
        <v>100</v>
      </c>
      <c r="W167">
        <f>ROUND(Sheet1[[#This Row],[wat_bas_r]],0)</f>
        <v>0</v>
      </c>
      <c r="X167">
        <f>ROUND(Sheet1[[#This Row],[wat_bas_u]],0)</f>
        <v>100</v>
      </c>
      <c r="Y167" s="1" t="str">
        <f t="shared" si="4"/>
        <v>full access</v>
      </c>
      <c r="Z167" s="1" t="str">
        <f t="shared" si="5"/>
        <v>not full access</v>
      </c>
      <c r="AA167" s="1" t="str">
        <f t="shared" si="6"/>
        <v>full access</v>
      </c>
    </row>
    <row r="168" spans="1:27" x14ac:dyDescent="0.25">
      <c r="A168" s="1" t="s">
        <v>18</v>
      </c>
      <c r="B168">
        <v>2015</v>
      </c>
      <c r="C168">
        <v>10659.737300000001</v>
      </c>
      <c r="D168">
        <v>78.046005249999993</v>
      </c>
      <c r="E168">
        <v>100.0000046</v>
      </c>
      <c r="F168">
        <v>0</v>
      </c>
      <c r="G168">
        <v>0</v>
      </c>
      <c r="H168">
        <v>0</v>
      </c>
      <c r="I168">
        <v>100</v>
      </c>
      <c r="J168">
        <v>0</v>
      </c>
      <c r="K168">
        <v>0</v>
      </c>
      <c r="L168">
        <v>0</v>
      </c>
      <c r="M168">
        <v>100</v>
      </c>
      <c r="N168">
        <v>0</v>
      </c>
      <c r="O168">
        <v>0</v>
      </c>
      <c r="P168">
        <v>0</v>
      </c>
      <c r="U168">
        <f>ABS(Sheet1[[#This Row],[ARC_r]]-Sheet1[[#This Row],[ARC_u]])</f>
        <v>0</v>
      </c>
      <c r="V168">
        <f>ROUND(Sheet1[[#This Row],[wat_bas_n]],0)</f>
        <v>100</v>
      </c>
      <c r="W168">
        <f>ROUND(Sheet1[[#This Row],[wat_bas_r]],0)</f>
        <v>100</v>
      </c>
      <c r="X168">
        <f>ROUND(Sheet1[[#This Row],[wat_bas_u]],0)</f>
        <v>100</v>
      </c>
      <c r="Y168" s="1" t="str">
        <f t="shared" si="4"/>
        <v>full access</v>
      </c>
      <c r="Z168" s="1" t="str">
        <f t="shared" si="5"/>
        <v>full access</v>
      </c>
      <c r="AA168" s="1" t="str">
        <f t="shared" si="6"/>
        <v>full access</v>
      </c>
    </row>
    <row r="169" spans="1:27" x14ac:dyDescent="0.25">
      <c r="A169" s="1" t="s">
        <v>18</v>
      </c>
      <c r="B169">
        <v>2020</v>
      </c>
      <c r="C169">
        <v>10423.05566</v>
      </c>
      <c r="D169">
        <v>79.715003969999998</v>
      </c>
      <c r="E169">
        <v>100.00000230000001</v>
      </c>
      <c r="F169">
        <v>0</v>
      </c>
      <c r="G169">
        <v>0</v>
      </c>
      <c r="H169">
        <v>0</v>
      </c>
      <c r="I169">
        <v>100</v>
      </c>
      <c r="J169">
        <v>0</v>
      </c>
      <c r="K169">
        <v>0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5</v>
      </c>
      <c r="R169">
        <v>-4.5999999827017739E-7</v>
      </c>
      <c r="S169">
        <v>0</v>
      </c>
      <c r="T169">
        <v>0</v>
      </c>
      <c r="U169">
        <f>ABS(Sheet1[[#This Row],[ARC_r]]-Sheet1[[#This Row],[ARC_u]])</f>
        <v>0</v>
      </c>
      <c r="V169">
        <f>ROUND(Sheet1[[#This Row],[wat_bas_n]],0)</f>
        <v>100</v>
      </c>
      <c r="W169">
        <f>ROUND(Sheet1[[#This Row],[wat_bas_r]],0)</f>
        <v>100</v>
      </c>
      <c r="X169">
        <f>ROUND(Sheet1[[#This Row],[wat_bas_u]],0)</f>
        <v>100</v>
      </c>
      <c r="Y169" s="1" t="str">
        <f t="shared" si="4"/>
        <v>full access</v>
      </c>
      <c r="Z169" s="1" t="str">
        <f t="shared" si="5"/>
        <v>full access</v>
      </c>
      <c r="AA169" s="1" t="str">
        <f t="shared" si="6"/>
        <v>full access</v>
      </c>
    </row>
    <row r="170" spans="1:27" x14ac:dyDescent="0.25">
      <c r="A170" s="1" t="s">
        <v>24</v>
      </c>
      <c r="B170">
        <v>2015</v>
      </c>
      <c r="C170">
        <v>56.377998349999999</v>
      </c>
      <c r="D170">
        <v>86.070999150000006</v>
      </c>
      <c r="E170">
        <v>100</v>
      </c>
      <c r="F170">
        <v>0</v>
      </c>
      <c r="G170">
        <v>0</v>
      </c>
      <c r="H170">
        <v>0</v>
      </c>
      <c r="I170">
        <v>100</v>
      </c>
      <c r="J170">
        <v>0</v>
      </c>
      <c r="K170">
        <v>0</v>
      </c>
      <c r="L170">
        <v>0</v>
      </c>
      <c r="M170">
        <v>100</v>
      </c>
      <c r="N170">
        <v>0</v>
      </c>
      <c r="O170">
        <v>0</v>
      </c>
      <c r="P170">
        <v>0</v>
      </c>
      <c r="U170">
        <f>ABS(Sheet1[[#This Row],[ARC_r]]-Sheet1[[#This Row],[ARC_u]])</f>
        <v>0</v>
      </c>
      <c r="V170">
        <f>ROUND(Sheet1[[#This Row],[wat_bas_n]],0)</f>
        <v>100</v>
      </c>
      <c r="W170">
        <f>ROUND(Sheet1[[#This Row],[wat_bas_r]],0)</f>
        <v>100</v>
      </c>
      <c r="X170">
        <f>ROUND(Sheet1[[#This Row],[wat_bas_u]],0)</f>
        <v>100</v>
      </c>
      <c r="Y170" s="1" t="str">
        <f t="shared" si="4"/>
        <v>full access</v>
      </c>
      <c r="Z170" s="1" t="str">
        <f t="shared" si="5"/>
        <v>full access</v>
      </c>
      <c r="AA170" s="1" t="str">
        <f t="shared" si="6"/>
        <v>full access</v>
      </c>
    </row>
    <row r="171" spans="1:27" x14ac:dyDescent="0.25">
      <c r="A171" s="1" t="s">
        <v>24</v>
      </c>
      <c r="B171">
        <v>2020</v>
      </c>
      <c r="C171">
        <v>56.771999360000002</v>
      </c>
      <c r="D171">
        <v>87.282005310000002</v>
      </c>
      <c r="E171">
        <v>100.0000017</v>
      </c>
      <c r="F171">
        <v>0</v>
      </c>
      <c r="G171">
        <v>0</v>
      </c>
      <c r="H171">
        <v>0</v>
      </c>
      <c r="I171">
        <v>100</v>
      </c>
      <c r="J171">
        <v>0</v>
      </c>
      <c r="K171">
        <v>0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5</v>
      </c>
      <c r="R171">
        <v>3.3999999971001671E-7</v>
      </c>
      <c r="S171">
        <v>0</v>
      </c>
      <c r="T171">
        <v>0</v>
      </c>
      <c r="U171">
        <f>ABS(Sheet1[[#This Row],[ARC_r]]-Sheet1[[#This Row],[ARC_u]])</f>
        <v>0</v>
      </c>
      <c r="V171">
        <f>ROUND(Sheet1[[#This Row],[wat_bas_n]],0)</f>
        <v>100</v>
      </c>
      <c r="W171">
        <f>ROUND(Sheet1[[#This Row],[wat_bas_r]],0)</f>
        <v>100</v>
      </c>
      <c r="X171">
        <f>ROUND(Sheet1[[#This Row],[wat_bas_u]],0)</f>
        <v>100</v>
      </c>
      <c r="Y171" s="1" t="str">
        <f t="shared" si="4"/>
        <v>full access</v>
      </c>
      <c r="Z171" s="1" t="str">
        <f t="shared" si="5"/>
        <v>full access</v>
      </c>
      <c r="AA171" s="1" t="str">
        <f t="shared" si="6"/>
        <v>full access</v>
      </c>
    </row>
    <row r="172" spans="1:27" hidden="1" x14ac:dyDescent="0.25">
      <c r="A172" s="1" t="s">
        <v>146</v>
      </c>
      <c r="B172">
        <v>2015</v>
      </c>
      <c r="C172">
        <v>109.6029968</v>
      </c>
      <c r="D172">
        <v>35.997001650000001</v>
      </c>
      <c r="E172">
        <v>95.628650440000001</v>
      </c>
      <c r="F172">
        <v>1.1614815839999999</v>
      </c>
      <c r="G172">
        <v>0</v>
      </c>
      <c r="H172">
        <v>3.2098679720000001</v>
      </c>
      <c r="U172">
        <f>ABS(Sheet1[[#This Row],[ARC_r]]-Sheet1[[#This Row],[ARC_u]])</f>
        <v>0</v>
      </c>
      <c r="V172">
        <f>ROUND(Sheet1[[#This Row],[wat_bas_n]],0)</f>
        <v>96</v>
      </c>
      <c r="W172">
        <f>ROUND(Sheet1[[#This Row],[wat_bas_r]],0)</f>
        <v>0</v>
      </c>
      <c r="X172">
        <f>ROUND(Sheet1[[#This Row],[wat_bas_u]],0)</f>
        <v>0</v>
      </c>
      <c r="Y172" s="1" t="str">
        <f t="shared" si="4"/>
        <v>not full access</v>
      </c>
      <c r="Z172" s="1" t="str">
        <f t="shared" si="5"/>
        <v>not full access</v>
      </c>
      <c r="AA172" s="1" t="str">
        <f t="shared" si="6"/>
        <v>not full access</v>
      </c>
    </row>
    <row r="173" spans="1:27" hidden="1" x14ac:dyDescent="0.25">
      <c r="A173" s="1" t="s">
        <v>146</v>
      </c>
      <c r="B173">
        <v>2017</v>
      </c>
      <c r="C173">
        <v>110.87400049999999</v>
      </c>
      <c r="D173">
        <v>36.164001460000001</v>
      </c>
      <c r="E173">
        <v>95.628650440000001</v>
      </c>
      <c r="F173">
        <v>1.1614815839999999</v>
      </c>
      <c r="G173">
        <v>0</v>
      </c>
      <c r="H173">
        <v>3.2098679720000001</v>
      </c>
      <c r="Q173">
        <v>2</v>
      </c>
      <c r="R173">
        <v>0</v>
      </c>
      <c r="U173">
        <f>ABS(Sheet1[[#This Row],[ARC_r]]-Sheet1[[#This Row],[ARC_u]])</f>
        <v>0</v>
      </c>
      <c r="V173">
        <f>ROUND(Sheet1[[#This Row],[wat_bas_n]],0)</f>
        <v>96</v>
      </c>
      <c r="W173">
        <f>ROUND(Sheet1[[#This Row],[wat_bas_r]],0)</f>
        <v>0</v>
      </c>
      <c r="X173">
        <f>ROUND(Sheet1[[#This Row],[wat_bas_u]],0)</f>
        <v>0</v>
      </c>
      <c r="Y173" s="1" t="str">
        <f t="shared" si="4"/>
        <v>not full access</v>
      </c>
      <c r="Z173" s="1" t="str">
        <f t="shared" si="5"/>
        <v>not full access</v>
      </c>
      <c r="AA173" s="1" t="str">
        <f t="shared" si="6"/>
        <v>not full access</v>
      </c>
    </row>
    <row r="174" spans="1:27" x14ac:dyDescent="0.25">
      <c r="A174" s="1" t="s">
        <v>79</v>
      </c>
      <c r="B174">
        <v>2015</v>
      </c>
      <c r="C174">
        <v>400.26000979999998</v>
      </c>
      <c r="D174">
        <v>98.443000789999999</v>
      </c>
      <c r="E174">
        <v>99.611028129999994</v>
      </c>
      <c r="F174">
        <v>0</v>
      </c>
      <c r="G174">
        <v>0.38897187239999997</v>
      </c>
      <c r="H174">
        <v>0</v>
      </c>
      <c r="U174">
        <f>ABS(Sheet1[[#This Row],[ARC_r]]-Sheet1[[#This Row],[ARC_u]])</f>
        <v>0</v>
      </c>
      <c r="V174">
        <f>ROUND(Sheet1[[#This Row],[wat_bas_n]],0)</f>
        <v>100</v>
      </c>
      <c r="W174">
        <f>ROUND(Sheet1[[#This Row],[wat_bas_r]],0)</f>
        <v>0</v>
      </c>
      <c r="X174">
        <f>ROUND(Sheet1[[#This Row],[wat_bas_u]],0)</f>
        <v>0</v>
      </c>
      <c r="Y174" s="1" t="str">
        <f t="shared" si="4"/>
        <v>full access</v>
      </c>
      <c r="Z174" s="1" t="str">
        <f t="shared" si="5"/>
        <v>not full access</v>
      </c>
      <c r="AA174" s="1" t="str">
        <f t="shared" si="6"/>
        <v>not full access</v>
      </c>
    </row>
    <row r="175" spans="1:27" x14ac:dyDescent="0.25">
      <c r="A175" s="1" t="s">
        <v>79</v>
      </c>
      <c r="B175">
        <v>2020</v>
      </c>
      <c r="C175">
        <v>400.12701420000002</v>
      </c>
      <c r="D175">
        <v>98.498992920000006</v>
      </c>
      <c r="E175">
        <v>99.803126039999995</v>
      </c>
      <c r="F175">
        <v>0</v>
      </c>
      <c r="G175">
        <v>0.19687396130000001</v>
      </c>
      <c r="H175">
        <v>0</v>
      </c>
      <c r="Q175">
        <v>5</v>
      </c>
      <c r="R175">
        <v>3.8419582000000223E-2</v>
      </c>
      <c r="U175">
        <f>ABS(Sheet1[[#This Row],[ARC_r]]-Sheet1[[#This Row],[ARC_u]])</f>
        <v>0</v>
      </c>
      <c r="V175">
        <f>ROUND(Sheet1[[#This Row],[wat_bas_n]],0)</f>
        <v>100</v>
      </c>
      <c r="W175">
        <f>ROUND(Sheet1[[#This Row],[wat_bas_r]],0)</f>
        <v>0</v>
      </c>
      <c r="X175">
        <f>ROUND(Sheet1[[#This Row],[wat_bas_u]],0)</f>
        <v>0</v>
      </c>
      <c r="Y175" s="1" t="str">
        <f t="shared" si="4"/>
        <v>full access</v>
      </c>
      <c r="Z175" s="1" t="str">
        <f t="shared" si="5"/>
        <v>not full access</v>
      </c>
      <c r="AA175" s="1" t="str">
        <f t="shared" si="6"/>
        <v>not full access</v>
      </c>
    </row>
    <row r="176" spans="1:27" x14ac:dyDescent="0.25">
      <c r="A176" s="1" t="s">
        <v>85</v>
      </c>
      <c r="B176">
        <v>2015</v>
      </c>
      <c r="C176">
        <v>161.85099790000001</v>
      </c>
      <c r="D176">
        <v>94.533996579999993</v>
      </c>
      <c r="E176">
        <v>99.6952</v>
      </c>
      <c r="F176">
        <v>0</v>
      </c>
      <c r="G176">
        <v>0.30480000000000002</v>
      </c>
      <c r="H176">
        <v>0</v>
      </c>
      <c r="U176">
        <f>ABS(Sheet1[[#This Row],[ARC_r]]-Sheet1[[#This Row],[ARC_u]])</f>
        <v>0</v>
      </c>
      <c r="V176">
        <f>ROUND(Sheet1[[#This Row],[wat_bas_n]],0)</f>
        <v>100</v>
      </c>
      <c r="W176">
        <f>ROUND(Sheet1[[#This Row],[wat_bas_r]],0)</f>
        <v>0</v>
      </c>
      <c r="X176">
        <f>ROUND(Sheet1[[#This Row],[wat_bas_u]],0)</f>
        <v>0</v>
      </c>
      <c r="Y176" s="1" t="str">
        <f t="shared" si="4"/>
        <v>full access</v>
      </c>
      <c r="Z176" s="1" t="str">
        <f t="shared" si="5"/>
        <v>not full access</v>
      </c>
      <c r="AA176" s="1" t="str">
        <f t="shared" si="6"/>
        <v>not full access</v>
      </c>
    </row>
    <row r="177" spans="1:27" x14ac:dyDescent="0.25">
      <c r="A177" s="1" t="s">
        <v>85</v>
      </c>
      <c r="B177">
        <v>2020</v>
      </c>
      <c r="C177">
        <v>168.78300479999999</v>
      </c>
      <c r="D177">
        <v>94.938003539999997</v>
      </c>
      <c r="E177">
        <v>99.6952</v>
      </c>
      <c r="F177">
        <v>0</v>
      </c>
      <c r="G177">
        <v>0.30480000000000002</v>
      </c>
      <c r="H177">
        <v>0</v>
      </c>
      <c r="Q177">
        <v>5</v>
      </c>
      <c r="R177">
        <v>0</v>
      </c>
      <c r="U177">
        <f>ABS(Sheet1[[#This Row],[ARC_r]]-Sheet1[[#This Row],[ARC_u]])</f>
        <v>0</v>
      </c>
      <c r="V177">
        <f>ROUND(Sheet1[[#This Row],[wat_bas_n]],0)</f>
        <v>100</v>
      </c>
      <c r="W177">
        <f>ROUND(Sheet1[[#This Row],[wat_bas_r]],0)</f>
        <v>0</v>
      </c>
      <c r="X177">
        <f>ROUND(Sheet1[[#This Row],[wat_bas_u]],0)</f>
        <v>0</v>
      </c>
      <c r="Y177" s="1" t="str">
        <f t="shared" si="4"/>
        <v>full access</v>
      </c>
      <c r="Z177" s="1" t="str">
        <f t="shared" si="5"/>
        <v>not full access</v>
      </c>
      <c r="AA177" s="1" t="str">
        <f t="shared" si="6"/>
        <v>not full access</v>
      </c>
    </row>
    <row r="178" spans="1:27" hidden="1" x14ac:dyDescent="0.25">
      <c r="A178" s="1" t="s">
        <v>165</v>
      </c>
      <c r="B178">
        <v>2015</v>
      </c>
      <c r="C178">
        <v>16252.424800000001</v>
      </c>
      <c r="D178">
        <v>49.971000670000002</v>
      </c>
      <c r="E178">
        <v>92.134033849999994</v>
      </c>
      <c r="F178">
        <v>0.96845174850000004</v>
      </c>
      <c r="G178">
        <v>4.7652610869999998</v>
      </c>
      <c r="H178">
        <v>2.1322533130000001</v>
      </c>
      <c r="I178">
        <v>87.242756180000001</v>
      </c>
      <c r="J178">
        <v>1.6509012869999999</v>
      </c>
      <c r="K178">
        <v>7.052091828</v>
      </c>
      <c r="L178">
        <v>4.0542507089999997</v>
      </c>
      <c r="M178">
        <v>97.030988910000005</v>
      </c>
      <c r="N178">
        <v>0.2852100796</v>
      </c>
      <c r="O178">
        <v>2.4757759840000002</v>
      </c>
      <c r="P178">
        <v>0.20802502270000001</v>
      </c>
      <c r="U178">
        <f>ABS(Sheet1[[#This Row],[ARC_r]]-Sheet1[[#This Row],[ARC_u]])</f>
        <v>0</v>
      </c>
      <c r="V178">
        <f>ROUND(Sheet1[[#This Row],[wat_bas_n]],0)</f>
        <v>92</v>
      </c>
      <c r="W178">
        <f>ROUND(Sheet1[[#This Row],[wat_bas_r]],0)</f>
        <v>87</v>
      </c>
      <c r="X178">
        <f>ROUND(Sheet1[[#This Row],[wat_bas_u]],0)</f>
        <v>97</v>
      </c>
      <c r="Y178" s="1" t="str">
        <f t="shared" si="4"/>
        <v>not full access</v>
      </c>
      <c r="Z178" s="1" t="str">
        <f t="shared" si="5"/>
        <v>not full access</v>
      </c>
      <c r="AA178" s="1" t="str">
        <f t="shared" si="6"/>
        <v>not full access</v>
      </c>
    </row>
    <row r="179" spans="1:27" hidden="1" x14ac:dyDescent="0.25">
      <c r="A179" s="1" t="s">
        <v>165</v>
      </c>
      <c r="B179">
        <v>2020</v>
      </c>
      <c r="C179">
        <v>17915.566409999999</v>
      </c>
      <c r="D179">
        <v>51.835998539999999</v>
      </c>
      <c r="E179">
        <v>94.006428270000001</v>
      </c>
      <c r="F179">
        <v>1.034150511</v>
      </c>
      <c r="G179">
        <v>3.2159118150000001</v>
      </c>
      <c r="H179">
        <v>1.7435094040000001</v>
      </c>
      <c r="I179">
        <v>90.119329800000003</v>
      </c>
      <c r="J179">
        <v>1.8491699989999999</v>
      </c>
      <c r="K179">
        <v>4.5834386909999996</v>
      </c>
      <c r="L179">
        <v>3.4480615079999999</v>
      </c>
      <c r="M179">
        <v>97.618169440000003</v>
      </c>
      <c r="N179">
        <v>0.27686600569999997</v>
      </c>
      <c r="O179">
        <v>1.94525887</v>
      </c>
      <c r="P179">
        <v>0.15970568490000001</v>
      </c>
      <c r="Q179">
        <v>5</v>
      </c>
      <c r="R179">
        <v>0.37447888400000118</v>
      </c>
      <c r="S179">
        <v>0.57531472400000039</v>
      </c>
      <c r="T179">
        <v>0.1174361059999995</v>
      </c>
      <c r="U179">
        <f>ABS(Sheet1[[#This Row],[ARC_r]]-Sheet1[[#This Row],[ARC_u]])</f>
        <v>0.4578786180000009</v>
      </c>
      <c r="V179">
        <f>ROUND(Sheet1[[#This Row],[wat_bas_n]],0)</f>
        <v>94</v>
      </c>
      <c r="W179">
        <f>ROUND(Sheet1[[#This Row],[wat_bas_r]],0)</f>
        <v>90</v>
      </c>
      <c r="X179">
        <f>ROUND(Sheet1[[#This Row],[wat_bas_u]],0)</f>
        <v>98</v>
      </c>
      <c r="Y179" s="1" t="str">
        <f t="shared" si="4"/>
        <v>not full access</v>
      </c>
      <c r="Z179" s="1" t="str">
        <f t="shared" si="5"/>
        <v>not full access</v>
      </c>
      <c r="AA179" s="1" t="str">
        <f t="shared" si="6"/>
        <v>not full access</v>
      </c>
    </row>
    <row r="180" spans="1:27" hidden="1" x14ac:dyDescent="0.25">
      <c r="A180" s="1" t="s">
        <v>224</v>
      </c>
      <c r="B180">
        <v>2015</v>
      </c>
      <c r="C180">
        <v>11432.0957</v>
      </c>
      <c r="D180">
        <v>35.140998840000002</v>
      </c>
      <c r="E180">
        <v>63.615389540000002</v>
      </c>
      <c r="F180">
        <v>16.090256029999999</v>
      </c>
      <c r="G180">
        <v>9.7579804439999993</v>
      </c>
      <c r="H180">
        <v>10.53637399</v>
      </c>
      <c r="I180">
        <v>51.949155339999997</v>
      </c>
      <c r="J180">
        <v>18.760629779999999</v>
      </c>
      <c r="K180">
        <v>13.309717210000001</v>
      </c>
      <c r="L180">
        <v>15.980497679999999</v>
      </c>
      <c r="M180">
        <v>85.147507689999998</v>
      </c>
      <c r="N180">
        <v>11.161602630000001</v>
      </c>
      <c r="O180">
        <v>3.202620418</v>
      </c>
      <c r="P180">
        <v>0.48826926510000002</v>
      </c>
      <c r="U180">
        <f>ABS(Sheet1[[#This Row],[ARC_r]]-Sheet1[[#This Row],[ARC_u]])</f>
        <v>0</v>
      </c>
      <c r="V180">
        <f>ROUND(Sheet1[[#This Row],[wat_bas_n]],0)</f>
        <v>64</v>
      </c>
      <c r="W180">
        <f>ROUND(Sheet1[[#This Row],[wat_bas_r]],0)</f>
        <v>52</v>
      </c>
      <c r="X180">
        <f>ROUND(Sheet1[[#This Row],[wat_bas_u]],0)</f>
        <v>85</v>
      </c>
      <c r="Y180" s="1" t="str">
        <f t="shared" si="4"/>
        <v>not full access</v>
      </c>
      <c r="Z180" s="1" t="str">
        <f t="shared" si="5"/>
        <v>not full access</v>
      </c>
      <c r="AA180" s="1" t="str">
        <f t="shared" si="6"/>
        <v>not full access</v>
      </c>
    </row>
    <row r="181" spans="1:27" hidden="1" x14ac:dyDescent="0.25">
      <c r="A181" s="1" t="s">
        <v>224</v>
      </c>
      <c r="B181">
        <v>2020</v>
      </c>
      <c r="C181">
        <v>13132.79199</v>
      </c>
      <c r="D181">
        <v>36.875</v>
      </c>
      <c r="E181">
        <v>63.961788740000003</v>
      </c>
      <c r="F181">
        <v>21.281591500000001</v>
      </c>
      <c r="G181">
        <v>6.2961194059999999</v>
      </c>
      <c r="H181">
        <v>8.4605003540000006</v>
      </c>
      <c r="I181">
        <v>50.74817899</v>
      </c>
      <c r="J181">
        <v>26.14432944</v>
      </c>
      <c r="K181">
        <v>9.7047191430000002</v>
      </c>
      <c r="L181">
        <v>13.402772430000001</v>
      </c>
      <c r="M181">
        <v>86.581690069999993</v>
      </c>
      <c r="N181">
        <v>12.957241529999999</v>
      </c>
      <c r="O181">
        <v>0.46106839799999999</v>
      </c>
      <c r="P181">
        <v>0</v>
      </c>
      <c r="Q181">
        <v>5</v>
      </c>
      <c r="R181">
        <v>6.9279840000000092E-2</v>
      </c>
      <c r="S181">
        <v>-0.24019526999999949</v>
      </c>
      <c r="T181">
        <v>0.28683647599999917</v>
      </c>
      <c r="U181">
        <f>ABS(Sheet1[[#This Row],[ARC_r]]-Sheet1[[#This Row],[ARC_u]])</f>
        <v>0.52703174599999869</v>
      </c>
      <c r="V181">
        <f>ROUND(Sheet1[[#This Row],[wat_bas_n]],0)</f>
        <v>64</v>
      </c>
      <c r="W181">
        <f>ROUND(Sheet1[[#This Row],[wat_bas_r]],0)</f>
        <v>51</v>
      </c>
      <c r="X181">
        <f>ROUND(Sheet1[[#This Row],[wat_bas_u]],0)</f>
        <v>87</v>
      </c>
      <c r="Y181" s="1" t="str">
        <f t="shared" si="4"/>
        <v>not full access</v>
      </c>
      <c r="Z181" s="1" t="str">
        <f t="shared" si="5"/>
        <v>not full access</v>
      </c>
      <c r="AA181" s="1" t="str">
        <f t="shared" si="6"/>
        <v>not full access</v>
      </c>
    </row>
    <row r="182" spans="1:27" hidden="1" x14ac:dyDescent="0.25">
      <c r="A182" s="1" t="s">
        <v>233</v>
      </c>
      <c r="B182">
        <v>2015</v>
      </c>
      <c r="C182">
        <v>1737.2070309999999</v>
      </c>
      <c r="D182">
        <v>42.12299728</v>
      </c>
      <c r="E182">
        <v>58.764347620000002</v>
      </c>
      <c r="F182">
        <v>10.59149221</v>
      </c>
      <c r="G182">
        <v>29.744379070000001</v>
      </c>
      <c r="H182">
        <v>0.89978109260000005</v>
      </c>
      <c r="I182">
        <v>48.422730049999998</v>
      </c>
      <c r="J182">
        <v>7.5662803609999996</v>
      </c>
      <c r="K182">
        <v>42.58264827</v>
      </c>
      <c r="L182">
        <v>1.428341318</v>
      </c>
      <c r="M182">
        <v>72.973731220000005</v>
      </c>
      <c r="N182">
        <v>14.748133599999999</v>
      </c>
      <c r="O182">
        <v>12.104595890000001</v>
      </c>
      <c r="P182">
        <v>0.17353928900000001</v>
      </c>
      <c r="U182">
        <f>ABS(Sheet1[[#This Row],[ARC_r]]-Sheet1[[#This Row],[ARC_u]])</f>
        <v>0</v>
      </c>
      <c r="V182">
        <f>ROUND(Sheet1[[#This Row],[wat_bas_n]],0)</f>
        <v>59</v>
      </c>
      <c r="W182">
        <f>ROUND(Sheet1[[#This Row],[wat_bas_r]],0)</f>
        <v>48</v>
      </c>
      <c r="X182">
        <f>ROUND(Sheet1[[#This Row],[wat_bas_u]],0)</f>
        <v>73</v>
      </c>
      <c r="Y182" s="1" t="str">
        <f t="shared" si="4"/>
        <v>not full access</v>
      </c>
      <c r="Z182" s="1" t="str">
        <f t="shared" si="5"/>
        <v>not full access</v>
      </c>
      <c r="AA182" s="1" t="str">
        <f t="shared" si="6"/>
        <v>not full access</v>
      </c>
    </row>
    <row r="183" spans="1:27" hidden="1" x14ac:dyDescent="0.25">
      <c r="A183" s="1" t="s">
        <v>233</v>
      </c>
      <c r="B183">
        <v>2020</v>
      </c>
      <c r="C183">
        <v>1967.998047</v>
      </c>
      <c r="D183">
        <v>44.195999149999999</v>
      </c>
      <c r="E183">
        <v>59.016912210000001</v>
      </c>
      <c r="F183">
        <v>14.03457137</v>
      </c>
      <c r="G183">
        <v>26.6263769</v>
      </c>
      <c r="H183">
        <v>0.3221395192</v>
      </c>
      <c r="I183">
        <v>49.831905300000003</v>
      </c>
      <c r="J183">
        <v>9.2857730259999993</v>
      </c>
      <c r="K183">
        <v>40.316451290000003</v>
      </c>
      <c r="L183">
        <v>0.56587038450000005</v>
      </c>
      <c r="M183">
        <v>70.614347910000006</v>
      </c>
      <c r="N183">
        <v>20.03063358</v>
      </c>
      <c r="O183">
        <v>9.3406252839999997</v>
      </c>
      <c r="P183">
        <v>1.4393226929999999E-2</v>
      </c>
      <c r="Q183">
        <v>5</v>
      </c>
      <c r="R183">
        <v>5.0512917999999733E-2</v>
      </c>
      <c r="S183">
        <v>0.28183505000000081</v>
      </c>
      <c r="T183">
        <v>-0.47187666199999972</v>
      </c>
      <c r="U183">
        <f>ABS(Sheet1[[#This Row],[ARC_r]]-Sheet1[[#This Row],[ARC_u]])</f>
        <v>0.75371171200000053</v>
      </c>
      <c r="V183">
        <f>ROUND(Sheet1[[#This Row],[wat_bas_n]],0)</f>
        <v>59</v>
      </c>
      <c r="W183">
        <f>ROUND(Sheet1[[#This Row],[wat_bas_r]],0)</f>
        <v>50</v>
      </c>
      <c r="X183">
        <f>ROUND(Sheet1[[#This Row],[wat_bas_u]],0)</f>
        <v>71</v>
      </c>
      <c r="Y183" s="1" t="str">
        <f t="shared" si="4"/>
        <v>not full access</v>
      </c>
      <c r="Z183" s="1" t="str">
        <f t="shared" si="5"/>
        <v>not full access</v>
      </c>
      <c r="AA183" s="1" t="str">
        <f t="shared" si="6"/>
        <v>not full access</v>
      </c>
    </row>
    <row r="184" spans="1:27" hidden="1" x14ac:dyDescent="0.25">
      <c r="A184" s="1" t="s">
        <v>147</v>
      </c>
      <c r="B184">
        <v>2015</v>
      </c>
      <c r="C184">
        <v>767.43298340000001</v>
      </c>
      <c r="D184">
        <v>26.44099808</v>
      </c>
      <c r="E184">
        <v>95.161856950000001</v>
      </c>
      <c r="F184">
        <v>1.233247953</v>
      </c>
      <c r="G184">
        <v>1.344803287</v>
      </c>
      <c r="H184">
        <v>2.2600918079999999</v>
      </c>
      <c r="I184">
        <v>93.422769709999997</v>
      </c>
      <c r="J184">
        <v>1.6765425039999999</v>
      </c>
      <c r="K184">
        <v>1.82819943</v>
      </c>
      <c r="L184">
        <v>3.0724883580000002</v>
      </c>
      <c r="M184">
        <v>100</v>
      </c>
      <c r="N184">
        <v>0</v>
      </c>
      <c r="O184">
        <v>0</v>
      </c>
      <c r="P184">
        <v>0</v>
      </c>
      <c r="U184">
        <f>ABS(Sheet1[[#This Row],[ARC_r]]-Sheet1[[#This Row],[ARC_u]])</f>
        <v>0</v>
      </c>
      <c r="V184">
        <f>ROUND(Sheet1[[#This Row],[wat_bas_n]],0)</f>
        <v>95</v>
      </c>
      <c r="W184">
        <f>ROUND(Sheet1[[#This Row],[wat_bas_r]],0)</f>
        <v>93</v>
      </c>
      <c r="X184">
        <f>ROUND(Sheet1[[#This Row],[wat_bas_u]],0)</f>
        <v>100</v>
      </c>
      <c r="Y184" s="1" t="str">
        <f t="shared" si="4"/>
        <v>not full access</v>
      </c>
      <c r="Z184" s="1" t="str">
        <f t="shared" si="5"/>
        <v>not full access</v>
      </c>
      <c r="AA184" s="1" t="str">
        <f t="shared" si="6"/>
        <v>full access</v>
      </c>
    </row>
    <row r="185" spans="1:27" hidden="1" x14ac:dyDescent="0.25">
      <c r="A185" s="1" t="s">
        <v>147</v>
      </c>
      <c r="B185">
        <v>2020</v>
      </c>
      <c r="C185">
        <v>786.55902100000003</v>
      </c>
      <c r="D185">
        <v>26.7859993</v>
      </c>
      <c r="E185">
        <v>95.554806850000006</v>
      </c>
      <c r="F185">
        <v>1.205244408</v>
      </c>
      <c r="G185">
        <v>1.143069849</v>
      </c>
      <c r="H185">
        <v>2.0968788969999999</v>
      </c>
      <c r="I185">
        <v>93.928490499999995</v>
      </c>
      <c r="J185">
        <v>1.6461938620000001</v>
      </c>
      <c r="K185">
        <v>1.5612748329999999</v>
      </c>
      <c r="L185">
        <v>2.864040809</v>
      </c>
      <c r="M185">
        <v>100</v>
      </c>
      <c r="N185">
        <v>0</v>
      </c>
      <c r="O185">
        <v>0</v>
      </c>
      <c r="P185">
        <v>0</v>
      </c>
      <c r="Q185">
        <v>5</v>
      </c>
      <c r="R185">
        <v>7.8589980000000989E-2</v>
      </c>
      <c r="S185">
        <v>0.1011441579999996</v>
      </c>
      <c r="T185">
        <v>0</v>
      </c>
      <c r="U185">
        <f>ABS(Sheet1[[#This Row],[ARC_r]]-Sheet1[[#This Row],[ARC_u]])</f>
        <v>0.1011441579999996</v>
      </c>
      <c r="V185">
        <f>ROUND(Sheet1[[#This Row],[wat_bas_n]],0)</f>
        <v>96</v>
      </c>
      <c r="W185">
        <f>ROUND(Sheet1[[#This Row],[wat_bas_r]],0)</f>
        <v>94</v>
      </c>
      <c r="X185">
        <f>ROUND(Sheet1[[#This Row],[wat_bas_u]],0)</f>
        <v>100</v>
      </c>
      <c r="Y185" s="1" t="str">
        <f t="shared" si="4"/>
        <v>not full access</v>
      </c>
      <c r="Z185" s="1" t="str">
        <f t="shared" si="5"/>
        <v>not full access</v>
      </c>
      <c r="AA185" s="1" t="str">
        <f t="shared" si="6"/>
        <v>full access</v>
      </c>
    </row>
    <row r="186" spans="1:27" hidden="1" x14ac:dyDescent="0.25">
      <c r="A186" s="1" t="s">
        <v>218</v>
      </c>
      <c r="B186">
        <v>2015</v>
      </c>
      <c r="C186">
        <v>10695.54004</v>
      </c>
      <c r="D186">
        <v>52.426998140000002</v>
      </c>
      <c r="E186">
        <v>64.567485939999997</v>
      </c>
      <c r="F186">
        <v>9.2184870100000005</v>
      </c>
      <c r="G186">
        <v>25.477839450000001</v>
      </c>
      <c r="H186">
        <v>0.73618759609999995</v>
      </c>
      <c r="I186">
        <v>42.416418049999997</v>
      </c>
      <c r="J186">
        <v>12.228897890000001</v>
      </c>
      <c r="K186">
        <v>43.807193750000003</v>
      </c>
      <c r="L186">
        <v>1.5474903170000001</v>
      </c>
      <c r="M186">
        <v>84.667679129999996</v>
      </c>
      <c r="N186">
        <v>6.4867974830000001</v>
      </c>
      <c r="O186">
        <v>8.8455233880000002</v>
      </c>
      <c r="P186">
        <v>0</v>
      </c>
      <c r="U186">
        <f>ABS(Sheet1[[#This Row],[ARC_r]]-Sheet1[[#This Row],[ARC_u]])</f>
        <v>0</v>
      </c>
      <c r="V186">
        <f>ROUND(Sheet1[[#This Row],[wat_bas_n]],0)</f>
        <v>65</v>
      </c>
      <c r="W186">
        <f>ROUND(Sheet1[[#This Row],[wat_bas_r]],0)</f>
        <v>42</v>
      </c>
      <c r="X186">
        <f>ROUND(Sheet1[[#This Row],[wat_bas_u]],0)</f>
        <v>85</v>
      </c>
      <c r="Y186" s="1" t="str">
        <f t="shared" si="4"/>
        <v>not full access</v>
      </c>
      <c r="Z186" s="1" t="str">
        <f t="shared" si="5"/>
        <v>not full access</v>
      </c>
      <c r="AA186" s="1" t="str">
        <f t="shared" si="6"/>
        <v>not full access</v>
      </c>
    </row>
    <row r="187" spans="1:27" hidden="1" x14ac:dyDescent="0.25">
      <c r="A187" s="1" t="s">
        <v>218</v>
      </c>
      <c r="B187">
        <v>2020</v>
      </c>
      <c r="C187">
        <v>11402.5332</v>
      </c>
      <c r="D187">
        <v>57.087997440000002</v>
      </c>
      <c r="E187">
        <v>66.695308400000002</v>
      </c>
      <c r="F187">
        <v>9.8145436519999993</v>
      </c>
      <c r="G187">
        <v>23.490147950000001</v>
      </c>
      <c r="H187">
        <v>0</v>
      </c>
      <c r="I187">
        <v>42.845700100000002</v>
      </c>
      <c r="J187">
        <v>13.25598695</v>
      </c>
      <c r="K187">
        <v>43.898312949999998</v>
      </c>
      <c r="L187">
        <v>0</v>
      </c>
      <c r="M187">
        <v>84.622621289999998</v>
      </c>
      <c r="N187">
        <v>7.2276738790000001</v>
      </c>
      <c r="O187">
        <v>8.1497048349999996</v>
      </c>
      <c r="P187">
        <v>0</v>
      </c>
      <c r="Q187">
        <v>5</v>
      </c>
      <c r="R187">
        <v>0.4255644920000009</v>
      </c>
      <c r="S187">
        <v>8.5856410000000952E-2</v>
      </c>
      <c r="T187">
        <v>-9.0115679999996697E-3</v>
      </c>
      <c r="U187">
        <f>ABS(Sheet1[[#This Row],[ARC_r]]-Sheet1[[#This Row],[ARC_u]])</f>
        <v>9.4867978000000616E-2</v>
      </c>
      <c r="V187">
        <f>ROUND(Sheet1[[#This Row],[wat_bas_n]],0)</f>
        <v>67</v>
      </c>
      <c r="W187">
        <f>ROUND(Sheet1[[#This Row],[wat_bas_r]],0)</f>
        <v>43</v>
      </c>
      <c r="X187">
        <f>ROUND(Sheet1[[#This Row],[wat_bas_u]],0)</f>
        <v>85</v>
      </c>
      <c r="Y187" s="1" t="str">
        <f t="shared" si="4"/>
        <v>not full access</v>
      </c>
      <c r="Z187" s="1" t="str">
        <f t="shared" si="5"/>
        <v>not full access</v>
      </c>
      <c r="AA187" s="1" t="str">
        <f t="shared" si="6"/>
        <v>not full access</v>
      </c>
    </row>
    <row r="188" spans="1:27" hidden="1" x14ac:dyDescent="0.25">
      <c r="A188" s="1" t="s">
        <v>145</v>
      </c>
      <c r="B188">
        <v>2015</v>
      </c>
      <c r="C188">
        <v>9112.9042969999991</v>
      </c>
      <c r="D188">
        <v>55.164997100000001</v>
      </c>
      <c r="E188">
        <v>93.254410710000002</v>
      </c>
      <c r="F188">
        <v>0.43175410669999997</v>
      </c>
      <c r="G188">
        <v>6.0221561560000003</v>
      </c>
      <c r="H188">
        <v>0.29167902839999998</v>
      </c>
      <c r="I188">
        <v>86.437073749999996</v>
      </c>
      <c r="J188">
        <v>0.77584410459999997</v>
      </c>
      <c r="K188">
        <v>12.14597638</v>
      </c>
      <c r="L188">
        <v>0.6411057671</v>
      </c>
      <c r="M188">
        <v>98.795162680000004</v>
      </c>
      <c r="N188">
        <v>0.15209716100000001</v>
      </c>
      <c r="O188">
        <v>1.04505549</v>
      </c>
      <c r="P188">
        <v>7.6846736400000004E-3</v>
      </c>
      <c r="U188">
        <f>ABS(Sheet1[[#This Row],[ARC_r]]-Sheet1[[#This Row],[ARC_u]])</f>
        <v>0</v>
      </c>
      <c r="V188">
        <f>ROUND(Sheet1[[#This Row],[wat_bas_n]],0)</f>
        <v>93</v>
      </c>
      <c r="W188">
        <f>ROUND(Sheet1[[#This Row],[wat_bas_r]],0)</f>
        <v>86</v>
      </c>
      <c r="X188">
        <f>ROUND(Sheet1[[#This Row],[wat_bas_u]],0)</f>
        <v>99</v>
      </c>
      <c r="Y188" s="1" t="str">
        <f t="shared" si="4"/>
        <v>not full access</v>
      </c>
      <c r="Z188" s="1" t="str">
        <f t="shared" si="5"/>
        <v>not full access</v>
      </c>
      <c r="AA188" s="1" t="str">
        <f t="shared" si="6"/>
        <v>not full access</v>
      </c>
    </row>
    <row r="189" spans="1:27" hidden="1" x14ac:dyDescent="0.25">
      <c r="A189" s="1" t="s">
        <v>145</v>
      </c>
      <c r="B189">
        <v>2020</v>
      </c>
      <c r="C189">
        <v>9904.6083980000003</v>
      </c>
      <c r="D189">
        <v>58.358997340000002</v>
      </c>
      <c r="E189">
        <v>95.689221130000007</v>
      </c>
      <c r="F189">
        <v>0.4256206085</v>
      </c>
      <c r="G189">
        <v>3.8851582640000002</v>
      </c>
      <c r="H189">
        <v>0</v>
      </c>
      <c r="I189">
        <v>89.875799549999996</v>
      </c>
      <c r="J189">
        <v>0.80670950789999996</v>
      </c>
      <c r="K189">
        <v>9.3174909459999995</v>
      </c>
      <c r="L189">
        <v>0</v>
      </c>
      <c r="M189">
        <v>99.837282810000005</v>
      </c>
      <c r="N189">
        <v>0.15370152619999999</v>
      </c>
      <c r="O189">
        <v>9.0156632960000007E-3</v>
      </c>
      <c r="P189">
        <v>0</v>
      </c>
      <c r="Q189">
        <v>5</v>
      </c>
      <c r="R189">
        <v>0.48696208400000102</v>
      </c>
      <c r="S189">
        <v>0.68774516000000008</v>
      </c>
      <c r="T189">
        <v>0.20842402600000021</v>
      </c>
      <c r="U189">
        <f>ABS(Sheet1[[#This Row],[ARC_r]]-Sheet1[[#This Row],[ARC_u]])</f>
        <v>0.47932113399999987</v>
      </c>
      <c r="V189">
        <f>ROUND(Sheet1[[#This Row],[wat_bas_n]],0)</f>
        <v>96</v>
      </c>
      <c r="W189">
        <f>ROUND(Sheet1[[#This Row],[wat_bas_r]],0)</f>
        <v>90</v>
      </c>
      <c r="X189">
        <f>ROUND(Sheet1[[#This Row],[wat_bas_u]],0)</f>
        <v>100</v>
      </c>
      <c r="Y189" s="1" t="str">
        <f t="shared" si="4"/>
        <v>not full access</v>
      </c>
      <c r="Z189" s="1" t="str">
        <f t="shared" si="5"/>
        <v>not full access</v>
      </c>
      <c r="AA189" s="1" t="str">
        <f t="shared" si="6"/>
        <v>not full access</v>
      </c>
    </row>
    <row r="190" spans="1:27" x14ac:dyDescent="0.25">
      <c r="A190" s="1" t="s">
        <v>57</v>
      </c>
      <c r="B190">
        <v>2015</v>
      </c>
      <c r="C190">
        <v>9777.9248050000006</v>
      </c>
      <c r="D190">
        <v>70.5</v>
      </c>
      <c r="E190">
        <v>99.970528959999996</v>
      </c>
      <c r="F190">
        <v>0</v>
      </c>
      <c r="G190">
        <v>2.9471039399999999E-2</v>
      </c>
      <c r="H190">
        <v>0</v>
      </c>
      <c r="I190">
        <v>99.900089719999997</v>
      </c>
      <c r="J190">
        <v>0</v>
      </c>
      <c r="K190">
        <v>9.9910284789999998E-2</v>
      </c>
      <c r="L190">
        <v>0</v>
      </c>
      <c r="M190">
        <v>100</v>
      </c>
      <c r="N190">
        <v>0</v>
      </c>
      <c r="O190">
        <v>0</v>
      </c>
      <c r="P190">
        <v>0</v>
      </c>
      <c r="U190">
        <f>ABS(Sheet1[[#This Row],[ARC_r]]-Sheet1[[#This Row],[ARC_u]])</f>
        <v>0</v>
      </c>
      <c r="V190">
        <f>ROUND(Sheet1[[#This Row],[wat_bas_n]],0)</f>
        <v>100</v>
      </c>
      <c r="W190">
        <f>ROUND(Sheet1[[#This Row],[wat_bas_r]],0)</f>
        <v>100</v>
      </c>
      <c r="X190">
        <f>ROUND(Sheet1[[#This Row],[wat_bas_u]],0)</f>
        <v>100</v>
      </c>
      <c r="Y190" s="1" t="str">
        <f t="shared" si="4"/>
        <v>full access</v>
      </c>
      <c r="Z190" s="1" t="str">
        <f t="shared" si="5"/>
        <v>full access</v>
      </c>
      <c r="AA190" s="1" t="str">
        <f t="shared" si="6"/>
        <v>full access</v>
      </c>
    </row>
    <row r="191" spans="1:27" x14ac:dyDescent="0.25">
      <c r="A191" s="1" t="s">
        <v>57</v>
      </c>
      <c r="B191">
        <v>2020</v>
      </c>
      <c r="C191">
        <v>9660.3496090000008</v>
      </c>
      <c r="D191">
        <v>71.942001340000004</v>
      </c>
      <c r="E191">
        <v>99.999997469999997</v>
      </c>
      <c r="F191">
        <v>0</v>
      </c>
      <c r="G191">
        <v>2.5272441919999999E-6</v>
      </c>
      <c r="H191">
        <v>0</v>
      </c>
      <c r="I191">
        <v>100</v>
      </c>
      <c r="J191">
        <v>0</v>
      </c>
      <c r="K191">
        <v>0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5</v>
      </c>
      <c r="R191">
        <v>5.8937020000001897E-3</v>
      </c>
      <c r="S191">
        <v>1.9982056000000629E-2</v>
      </c>
      <c r="T191">
        <v>0</v>
      </c>
      <c r="U191">
        <f>ABS(Sheet1[[#This Row],[ARC_r]]-Sheet1[[#This Row],[ARC_u]])</f>
        <v>1.9982056000000629E-2</v>
      </c>
      <c r="V191">
        <f>ROUND(Sheet1[[#This Row],[wat_bas_n]],0)</f>
        <v>100</v>
      </c>
      <c r="W191">
        <f>ROUND(Sheet1[[#This Row],[wat_bas_r]],0)</f>
        <v>100</v>
      </c>
      <c r="X191">
        <f>ROUND(Sheet1[[#This Row],[wat_bas_u]],0)</f>
        <v>100</v>
      </c>
      <c r="Y191" s="1" t="str">
        <f t="shared" si="4"/>
        <v>full access</v>
      </c>
      <c r="Z191" s="1" t="str">
        <f t="shared" si="5"/>
        <v>full access</v>
      </c>
      <c r="AA191" s="1" t="str">
        <f t="shared" si="6"/>
        <v>full access</v>
      </c>
    </row>
    <row r="192" spans="1:27" x14ac:dyDescent="0.25">
      <c r="A192" s="1" t="s">
        <v>23</v>
      </c>
      <c r="B192">
        <v>2015</v>
      </c>
      <c r="C192">
        <v>330.23699950000002</v>
      </c>
      <c r="D192">
        <v>93.699996949999999</v>
      </c>
      <c r="E192">
        <v>100.00000230000001</v>
      </c>
      <c r="F192">
        <v>0</v>
      </c>
      <c r="G192">
        <v>0</v>
      </c>
      <c r="H192">
        <v>0</v>
      </c>
      <c r="I192">
        <v>100</v>
      </c>
      <c r="J192">
        <v>0</v>
      </c>
      <c r="K192">
        <v>0</v>
      </c>
      <c r="L192">
        <v>0</v>
      </c>
      <c r="M192">
        <v>100</v>
      </c>
      <c r="N192">
        <v>0</v>
      </c>
      <c r="O192">
        <v>0</v>
      </c>
      <c r="P192">
        <v>0</v>
      </c>
      <c r="U192">
        <f>ABS(Sheet1[[#This Row],[ARC_r]]-Sheet1[[#This Row],[ARC_u]])</f>
        <v>0</v>
      </c>
      <c r="V192">
        <f>ROUND(Sheet1[[#This Row],[wat_bas_n]],0)</f>
        <v>100</v>
      </c>
      <c r="W192">
        <f>ROUND(Sheet1[[#This Row],[wat_bas_r]],0)</f>
        <v>100</v>
      </c>
      <c r="X192">
        <f>ROUND(Sheet1[[#This Row],[wat_bas_u]],0)</f>
        <v>100</v>
      </c>
      <c r="Y192" s="1" t="str">
        <f t="shared" si="4"/>
        <v>full access</v>
      </c>
      <c r="Z192" s="1" t="str">
        <f t="shared" si="5"/>
        <v>full access</v>
      </c>
      <c r="AA192" s="1" t="str">
        <f t="shared" si="6"/>
        <v>full access</v>
      </c>
    </row>
    <row r="193" spans="1:27" x14ac:dyDescent="0.25">
      <c r="A193" s="1" t="s">
        <v>23</v>
      </c>
      <c r="B193">
        <v>2020</v>
      </c>
      <c r="C193">
        <v>341.25</v>
      </c>
      <c r="D193">
        <v>93.897994999999995</v>
      </c>
      <c r="E193">
        <v>99.999997210000004</v>
      </c>
      <c r="F193">
        <v>0</v>
      </c>
      <c r="G193">
        <v>2.7946500150000002E-6</v>
      </c>
      <c r="H193">
        <v>0</v>
      </c>
      <c r="I193">
        <v>100</v>
      </c>
      <c r="J193">
        <v>0</v>
      </c>
      <c r="K193">
        <v>0</v>
      </c>
      <c r="L193">
        <v>0</v>
      </c>
      <c r="M193">
        <v>100</v>
      </c>
      <c r="N193">
        <v>0</v>
      </c>
      <c r="O193">
        <v>0</v>
      </c>
      <c r="P193">
        <v>0</v>
      </c>
      <c r="Q193">
        <v>5</v>
      </c>
      <c r="R193">
        <v>-1.018000000385655E-6</v>
      </c>
      <c r="S193">
        <v>0</v>
      </c>
      <c r="T193">
        <v>0</v>
      </c>
      <c r="U193">
        <f>ABS(Sheet1[[#This Row],[ARC_r]]-Sheet1[[#This Row],[ARC_u]])</f>
        <v>0</v>
      </c>
      <c r="V193">
        <f>ROUND(Sheet1[[#This Row],[wat_bas_n]],0)</f>
        <v>100</v>
      </c>
      <c r="W193">
        <f>ROUND(Sheet1[[#This Row],[wat_bas_r]],0)</f>
        <v>100</v>
      </c>
      <c r="X193">
        <f>ROUND(Sheet1[[#This Row],[wat_bas_u]],0)</f>
        <v>100</v>
      </c>
      <c r="Y193" s="1" t="str">
        <f t="shared" si="4"/>
        <v>full access</v>
      </c>
      <c r="Z193" s="1" t="str">
        <f t="shared" si="5"/>
        <v>full access</v>
      </c>
      <c r="AA193" s="1" t="str">
        <f t="shared" si="6"/>
        <v>full access</v>
      </c>
    </row>
    <row r="194" spans="1:27" hidden="1" x14ac:dyDescent="0.25">
      <c r="A194" s="1" t="s">
        <v>183</v>
      </c>
      <c r="B194">
        <v>2015</v>
      </c>
      <c r="C194">
        <v>1310152.375</v>
      </c>
      <c r="D194">
        <v>32.777000430000001</v>
      </c>
      <c r="E194">
        <v>88.138132630000001</v>
      </c>
      <c r="F194">
        <v>4.6925990149999999</v>
      </c>
      <c r="G194">
        <v>6.4124515520000003</v>
      </c>
      <c r="H194">
        <v>0.75681680389999995</v>
      </c>
      <c r="I194">
        <v>85.572000349999996</v>
      </c>
      <c r="J194">
        <v>5.5421338929999999</v>
      </c>
      <c r="K194">
        <v>7.8808700040000002</v>
      </c>
      <c r="L194">
        <v>1.004995751</v>
      </c>
      <c r="M194">
        <v>93.401064610000006</v>
      </c>
      <c r="N194">
        <v>2.9502709540000001</v>
      </c>
      <c r="O194">
        <v>3.4008427999999999</v>
      </c>
      <c r="P194">
        <v>0.2478216409</v>
      </c>
      <c r="U194">
        <f>ABS(Sheet1[[#This Row],[ARC_r]]-Sheet1[[#This Row],[ARC_u]])</f>
        <v>0</v>
      </c>
      <c r="V194">
        <f>ROUND(Sheet1[[#This Row],[wat_bas_n]],0)</f>
        <v>88</v>
      </c>
      <c r="W194">
        <f>ROUND(Sheet1[[#This Row],[wat_bas_r]],0)</f>
        <v>86</v>
      </c>
      <c r="X194">
        <f>ROUND(Sheet1[[#This Row],[wat_bas_u]],0)</f>
        <v>93</v>
      </c>
      <c r="Y194" s="1" t="str">
        <f t="shared" ref="Y194:Y257" si="7">IF(AND(COUNTIFS($A:$A,A194)&gt;1, COUNTIFS($A:$A,A194,$E:$E,"&gt;99")=COUNTIFS($A:$A,A194)), "full access", "not full access")</f>
        <v>not full access</v>
      </c>
      <c r="Z194" s="1" t="str">
        <f t="shared" ref="Z194:Z257" si="8">IF(AND(COUNTIFS($A:$A,A194)&gt;1, COUNTIFS($A:$A,A194,$I:$I,"&gt;99")=COUNTIFS($A:$A,A194)), "full access", "not full access")</f>
        <v>not full access</v>
      </c>
      <c r="AA194" s="1" t="str">
        <f t="shared" ref="AA194:AA257" si="9">IF(AND(COUNTIFS($A:$A,A194)&gt;1, COUNTIFS($A:$A,A194,$M:$M,"&gt;99")=COUNTIFS($A:$A,A194)), "full access", "not full access")</f>
        <v>not full access</v>
      </c>
    </row>
    <row r="195" spans="1:27" hidden="1" x14ac:dyDescent="0.25">
      <c r="A195" s="1" t="s">
        <v>183</v>
      </c>
      <c r="B195">
        <v>2020</v>
      </c>
      <c r="C195">
        <v>1380004.375</v>
      </c>
      <c r="D195">
        <v>34.926002500000003</v>
      </c>
      <c r="E195">
        <v>90.489525029999996</v>
      </c>
      <c r="F195">
        <v>4.9836025619999997</v>
      </c>
      <c r="G195">
        <v>3.9631539450000002</v>
      </c>
      <c r="H195">
        <v>0.56371846260000003</v>
      </c>
      <c r="I195">
        <v>88.782503129999995</v>
      </c>
      <c r="J195">
        <v>5.9022100540000002</v>
      </c>
      <c r="K195">
        <v>4.5763757299999996</v>
      </c>
      <c r="L195">
        <v>0.73891108559999996</v>
      </c>
      <c r="M195">
        <v>93.670036300000007</v>
      </c>
      <c r="N195">
        <v>3.2720560270000001</v>
      </c>
      <c r="O195">
        <v>2.8206075230000001</v>
      </c>
      <c r="P195">
        <v>0.2373001538</v>
      </c>
      <c r="Q195">
        <v>5</v>
      </c>
      <c r="R195">
        <v>0.47027847999999889</v>
      </c>
      <c r="S195">
        <v>0.64210055599999971</v>
      </c>
      <c r="T195">
        <v>5.379433800000015E-2</v>
      </c>
      <c r="U195">
        <f>ABS(Sheet1[[#This Row],[ARC_r]]-Sheet1[[#This Row],[ARC_u]])</f>
        <v>0.5883062179999996</v>
      </c>
      <c r="V195">
        <f>ROUND(Sheet1[[#This Row],[wat_bas_n]],0)</f>
        <v>90</v>
      </c>
      <c r="W195">
        <f>ROUND(Sheet1[[#This Row],[wat_bas_r]],0)</f>
        <v>89</v>
      </c>
      <c r="X195">
        <f>ROUND(Sheet1[[#This Row],[wat_bas_u]],0)</f>
        <v>94</v>
      </c>
      <c r="Y195" s="1" t="str">
        <f t="shared" si="7"/>
        <v>not full access</v>
      </c>
      <c r="Z195" s="1" t="str">
        <f t="shared" si="8"/>
        <v>not full access</v>
      </c>
      <c r="AA195" s="1" t="str">
        <f t="shared" si="9"/>
        <v>not full access</v>
      </c>
    </row>
    <row r="196" spans="1:27" hidden="1" x14ac:dyDescent="0.25">
      <c r="A196" s="1" t="s">
        <v>173</v>
      </c>
      <c r="B196">
        <v>2015</v>
      </c>
      <c r="C196">
        <v>258383.25</v>
      </c>
      <c r="D196">
        <v>53.312999730000001</v>
      </c>
      <c r="E196">
        <v>88.527352960000002</v>
      </c>
      <c r="F196">
        <v>0.79413052260000006</v>
      </c>
      <c r="G196">
        <v>8.9438595640000003</v>
      </c>
      <c r="H196">
        <v>1.7346569540000001</v>
      </c>
      <c r="I196">
        <v>80.630791189999997</v>
      </c>
      <c r="J196">
        <v>0.97404573149999996</v>
      </c>
      <c r="K196">
        <v>14.98518808</v>
      </c>
      <c r="L196">
        <v>3.4099750009999998</v>
      </c>
      <c r="M196">
        <v>95.442491759999996</v>
      </c>
      <c r="N196">
        <v>0.63657604779999999</v>
      </c>
      <c r="O196">
        <v>3.6533766409999999</v>
      </c>
      <c r="P196">
        <v>0.26755555320000002</v>
      </c>
      <c r="U196">
        <f>ABS(Sheet1[[#This Row],[ARC_r]]-Sheet1[[#This Row],[ARC_u]])</f>
        <v>0</v>
      </c>
      <c r="V196">
        <f>ROUND(Sheet1[[#This Row],[wat_bas_n]],0)</f>
        <v>89</v>
      </c>
      <c r="W196">
        <f>ROUND(Sheet1[[#This Row],[wat_bas_r]],0)</f>
        <v>81</v>
      </c>
      <c r="X196">
        <f>ROUND(Sheet1[[#This Row],[wat_bas_u]],0)</f>
        <v>95</v>
      </c>
      <c r="Y196" s="1" t="str">
        <f t="shared" si="7"/>
        <v>not full access</v>
      </c>
      <c r="Z196" s="1" t="str">
        <f t="shared" si="8"/>
        <v>not full access</v>
      </c>
      <c r="AA196" s="1" t="str">
        <f t="shared" si="9"/>
        <v>not full access</v>
      </c>
    </row>
    <row r="197" spans="1:27" hidden="1" x14ac:dyDescent="0.25">
      <c r="A197" s="1" t="s">
        <v>173</v>
      </c>
      <c r="B197">
        <v>2020</v>
      </c>
      <c r="C197">
        <v>273523.625</v>
      </c>
      <c r="D197">
        <v>56.640998840000002</v>
      </c>
      <c r="E197">
        <v>92.415349610000007</v>
      </c>
      <c r="F197">
        <v>0.85547463349999997</v>
      </c>
      <c r="G197">
        <v>5.553871666</v>
      </c>
      <c r="H197">
        <v>1.175304087</v>
      </c>
      <c r="I197">
        <v>85.667962380000006</v>
      </c>
      <c r="J197">
        <v>1.1780912299999999</v>
      </c>
      <c r="K197">
        <v>10.61491462</v>
      </c>
      <c r="L197">
        <v>2.539031772</v>
      </c>
      <c r="M197">
        <v>97.580512069999997</v>
      </c>
      <c r="N197">
        <v>0.60850983449999996</v>
      </c>
      <c r="O197">
        <v>1.679615139</v>
      </c>
      <c r="P197">
        <v>0.13136295880000001</v>
      </c>
      <c r="Q197">
        <v>5</v>
      </c>
      <c r="R197">
        <v>0.77759933000000103</v>
      </c>
      <c r="S197">
        <v>1.0074342380000021</v>
      </c>
      <c r="T197">
        <v>0.42760406200000028</v>
      </c>
      <c r="U197">
        <f>ABS(Sheet1[[#This Row],[ARC_r]]-Sheet1[[#This Row],[ARC_u]])</f>
        <v>0.57983017600000175</v>
      </c>
      <c r="V197">
        <f>ROUND(Sheet1[[#This Row],[wat_bas_n]],0)</f>
        <v>92</v>
      </c>
      <c r="W197">
        <f>ROUND(Sheet1[[#This Row],[wat_bas_r]],0)</f>
        <v>86</v>
      </c>
      <c r="X197">
        <f>ROUND(Sheet1[[#This Row],[wat_bas_u]],0)</f>
        <v>98</v>
      </c>
      <c r="Y197" s="1" t="str">
        <f t="shared" si="7"/>
        <v>not full access</v>
      </c>
      <c r="Z197" s="1" t="str">
        <f t="shared" si="8"/>
        <v>not full access</v>
      </c>
      <c r="AA197" s="1" t="str">
        <f t="shared" si="9"/>
        <v>not full access</v>
      </c>
    </row>
    <row r="198" spans="1:27" hidden="1" x14ac:dyDescent="0.25">
      <c r="A198" s="1" t="s">
        <v>126</v>
      </c>
      <c r="B198">
        <v>2015</v>
      </c>
      <c r="C198">
        <v>78492.210940000004</v>
      </c>
      <c r="D198">
        <v>73.358001709999996</v>
      </c>
      <c r="E198">
        <v>96.806987079999999</v>
      </c>
      <c r="F198">
        <v>1.9948915730000001</v>
      </c>
      <c r="G198">
        <v>1.126061081</v>
      </c>
      <c r="H198">
        <v>7.2060265609999993E-2</v>
      </c>
      <c r="I198">
        <v>92.162502649999993</v>
      </c>
      <c r="J198">
        <v>4.221624781</v>
      </c>
      <c r="K198">
        <v>3.3453963830000002</v>
      </c>
      <c r="L198">
        <v>0.27047619049999999</v>
      </c>
      <c r="M198">
        <v>98.493760870000003</v>
      </c>
      <c r="N198">
        <v>1.186191432</v>
      </c>
      <c r="O198">
        <v>0.3200476961</v>
      </c>
      <c r="P198">
        <v>0</v>
      </c>
      <c r="U198">
        <f>ABS(Sheet1[[#This Row],[ARC_r]]-Sheet1[[#This Row],[ARC_u]])</f>
        <v>0</v>
      </c>
      <c r="V198">
        <f>ROUND(Sheet1[[#This Row],[wat_bas_n]],0)</f>
        <v>97</v>
      </c>
      <c r="W198">
        <f>ROUND(Sheet1[[#This Row],[wat_bas_r]],0)</f>
        <v>92</v>
      </c>
      <c r="X198">
        <f>ROUND(Sheet1[[#This Row],[wat_bas_u]],0)</f>
        <v>98</v>
      </c>
      <c r="Y198" s="1" t="str">
        <f t="shared" si="7"/>
        <v>not full access</v>
      </c>
      <c r="Z198" s="1" t="str">
        <f t="shared" si="8"/>
        <v>not full access</v>
      </c>
      <c r="AA198" s="1" t="str">
        <f t="shared" si="9"/>
        <v>not full access</v>
      </c>
    </row>
    <row r="199" spans="1:27" hidden="1" x14ac:dyDescent="0.25">
      <c r="A199" s="1" t="s">
        <v>126</v>
      </c>
      <c r="B199">
        <v>2020</v>
      </c>
      <c r="C199">
        <v>83992.953129999994</v>
      </c>
      <c r="D199">
        <v>75.874000550000005</v>
      </c>
      <c r="E199">
        <v>97.482636330000005</v>
      </c>
      <c r="F199">
        <v>1.938311229</v>
      </c>
      <c r="G199">
        <v>0.51379736310000002</v>
      </c>
      <c r="H199">
        <v>6.5255081849999994E-2</v>
      </c>
      <c r="I199">
        <v>93.828735379999998</v>
      </c>
      <c r="J199">
        <v>4.2979487650000001</v>
      </c>
      <c r="K199">
        <v>1.602839669</v>
      </c>
      <c r="L199">
        <v>0.27047619049999999</v>
      </c>
      <c r="M199">
        <v>98.644486720000003</v>
      </c>
      <c r="N199">
        <v>1.1880066709999999</v>
      </c>
      <c r="O199">
        <v>0.1675066077</v>
      </c>
      <c r="P199">
        <v>0</v>
      </c>
      <c r="Q199">
        <v>5</v>
      </c>
      <c r="R199">
        <v>0.1351298500000013</v>
      </c>
      <c r="S199">
        <v>0.33324654600000092</v>
      </c>
      <c r="T199">
        <v>3.014517000000012E-2</v>
      </c>
      <c r="U199">
        <f>ABS(Sheet1[[#This Row],[ARC_r]]-Sheet1[[#This Row],[ARC_u]])</f>
        <v>0.30310137600000081</v>
      </c>
      <c r="V199">
        <f>ROUND(Sheet1[[#This Row],[wat_bas_n]],0)</f>
        <v>97</v>
      </c>
      <c r="W199">
        <f>ROUND(Sheet1[[#This Row],[wat_bas_r]],0)</f>
        <v>94</v>
      </c>
      <c r="X199">
        <f>ROUND(Sheet1[[#This Row],[wat_bas_u]],0)</f>
        <v>99</v>
      </c>
      <c r="Y199" s="1" t="str">
        <f t="shared" si="7"/>
        <v>not full access</v>
      </c>
      <c r="Z199" s="1" t="str">
        <f t="shared" si="8"/>
        <v>not full access</v>
      </c>
      <c r="AA199" s="1" t="str">
        <f t="shared" si="9"/>
        <v>not full access</v>
      </c>
    </row>
    <row r="200" spans="1:27" hidden="1" x14ac:dyDescent="0.25">
      <c r="A200" s="1" t="s">
        <v>113</v>
      </c>
      <c r="B200">
        <v>2015</v>
      </c>
      <c r="C200">
        <v>35572.269529999998</v>
      </c>
      <c r="D200">
        <v>69.920997619999994</v>
      </c>
      <c r="E200">
        <v>94.247593300000005</v>
      </c>
      <c r="F200">
        <v>1.056676215</v>
      </c>
      <c r="G200">
        <v>1.7379110360000001</v>
      </c>
      <c r="H200">
        <v>2.9578194500000001</v>
      </c>
      <c r="I200">
        <v>84.76271011</v>
      </c>
      <c r="J200">
        <v>2.8306169350000001</v>
      </c>
      <c r="K200">
        <v>2.77640479</v>
      </c>
      <c r="L200">
        <v>9.630268161</v>
      </c>
      <c r="M200">
        <v>98.3278526</v>
      </c>
      <c r="N200">
        <v>0.29355262310000002</v>
      </c>
      <c r="O200">
        <v>1.2911660709999999</v>
      </c>
      <c r="P200">
        <v>8.74287017E-2</v>
      </c>
      <c r="U200">
        <f>ABS(Sheet1[[#This Row],[ARC_r]]-Sheet1[[#This Row],[ARC_u]])</f>
        <v>0</v>
      </c>
      <c r="V200">
        <f>ROUND(Sheet1[[#This Row],[wat_bas_n]],0)</f>
        <v>94</v>
      </c>
      <c r="W200">
        <f>ROUND(Sheet1[[#This Row],[wat_bas_r]],0)</f>
        <v>85</v>
      </c>
      <c r="X200">
        <f>ROUND(Sheet1[[#This Row],[wat_bas_u]],0)</f>
        <v>98</v>
      </c>
      <c r="Y200" s="1" t="str">
        <f t="shared" si="7"/>
        <v>not full access</v>
      </c>
      <c r="Z200" s="1" t="str">
        <f t="shared" si="8"/>
        <v>not full access</v>
      </c>
      <c r="AA200" s="1" t="str">
        <f t="shared" si="9"/>
        <v>not full access</v>
      </c>
    </row>
    <row r="201" spans="1:27" hidden="1" x14ac:dyDescent="0.25">
      <c r="A201" s="1" t="s">
        <v>113</v>
      </c>
      <c r="B201">
        <v>2020</v>
      </c>
      <c r="C201">
        <v>40222.503909999999</v>
      </c>
      <c r="D201">
        <v>70.892997739999998</v>
      </c>
      <c r="E201">
        <v>98.359903250000002</v>
      </c>
      <c r="F201">
        <v>0.89216034950000001</v>
      </c>
      <c r="G201">
        <v>2.427900808E-6</v>
      </c>
      <c r="H201">
        <v>0.74793397130000006</v>
      </c>
      <c r="I201">
        <v>94.831146779999997</v>
      </c>
      <c r="J201">
        <v>2.5992513389999998</v>
      </c>
      <c r="K201">
        <v>0</v>
      </c>
      <c r="L201">
        <v>2.5696018770000002</v>
      </c>
      <c r="M201">
        <v>99.808731030000004</v>
      </c>
      <c r="N201">
        <v>0.19126897000000001</v>
      </c>
      <c r="O201">
        <v>0</v>
      </c>
      <c r="P201">
        <v>0</v>
      </c>
      <c r="Q201">
        <v>5</v>
      </c>
      <c r="R201">
        <v>0.82246198999999931</v>
      </c>
      <c r="S201">
        <v>2.0136873339999992</v>
      </c>
      <c r="T201">
        <v>0.29617568600000083</v>
      </c>
      <c r="U201">
        <f>ABS(Sheet1[[#This Row],[ARC_r]]-Sheet1[[#This Row],[ARC_u]])</f>
        <v>1.7175116479999983</v>
      </c>
      <c r="V201">
        <f>ROUND(Sheet1[[#This Row],[wat_bas_n]],0)</f>
        <v>98</v>
      </c>
      <c r="W201">
        <f>ROUND(Sheet1[[#This Row],[wat_bas_r]],0)</f>
        <v>95</v>
      </c>
      <c r="X201">
        <f>ROUND(Sheet1[[#This Row],[wat_bas_u]],0)</f>
        <v>100</v>
      </c>
      <c r="Y201" s="1" t="str">
        <f t="shared" si="7"/>
        <v>not full access</v>
      </c>
      <c r="Z201" s="1" t="str">
        <f t="shared" si="8"/>
        <v>not full access</v>
      </c>
      <c r="AA201" s="1" t="str">
        <f t="shared" si="9"/>
        <v>not full access</v>
      </c>
    </row>
    <row r="202" spans="1:27" hidden="1" x14ac:dyDescent="0.25">
      <c r="A202" s="1" t="s">
        <v>128</v>
      </c>
      <c r="B202">
        <v>2015</v>
      </c>
      <c r="C202">
        <v>4652.419922</v>
      </c>
      <c r="D202">
        <v>62.537998199999997</v>
      </c>
      <c r="E202">
        <v>97.372127989999996</v>
      </c>
      <c r="F202">
        <v>0</v>
      </c>
      <c r="G202">
        <v>2.6278720080000002</v>
      </c>
      <c r="H202">
        <v>0</v>
      </c>
      <c r="I202">
        <v>98.01681619</v>
      </c>
      <c r="J202">
        <v>0</v>
      </c>
      <c r="K202">
        <v>1.983183812</v>
      </c>
      <c r="L202">
        <v>0</v>
      </c>
      <c r="M202">
        <v>96.98594181</v>
      </c>
      <c r="N202">
        <v>0</v>
      </c>
      <c r="O202">
        <v>3.014058189</v>
      </c>
      <c r="P202">
        <v>0</v>
      </c>
      <c r="U202">
        <f>ABS(Sheet1[[#This Row],[ARC_r]]-Sheet1[[#This Row],[ARC_u]])</f>
        <v>0</v>
      </c>
      <c r="V202">
        <f>ROUND(Sheet1[[#This Row],[wat_bas_n]],0)</f>
        <v>97</v>
      </c>
      <c r="W202">
        <f>ROUND(Sheet1[[#This Row],[wat_bas_r]],0)</f>
        <v>98</v>
      </c>
      <c r="X202">
        <f>ROUND(Sheet1[[#This Row],[wat_bas_u]],0)</f>
        <v>97</v>
      </c>
      <c r="Y202" s="1" t="str">
        <f t="shared" si="7"/>
        <v>not full access</v>
      </c>
      <c r="Z202" s="1" t="str">
        <f t="shared" si="8"/>
        <v>not full access</v>
      </c>
      <c r="AA202" s="1" t="str">
        <f t="shared" si="9"/>
        <v>not full access</v>
      </c>
    </row>
    <row r="203" spans="1:27" hidden="1" x14ac:dyDescent="0.25">
      <c r="A203" s="1" t="s">
        <v>128</v>
      </c>
      <c r="B203">
        <v>2020</v>
      </c>
      <c r="C203">
        <v>4937.7958980000003</v>
      </c>
      <c r="D203">
        <v>63.652999880000003</v>
      </c>
      <c r="E203">
        <v>97.399706510000001</v>
      </c>
      <c r="F203">
        <v>0</v>
      </c>
      <c r="G203">
        <v>2.6002934849999999</v>
      </c>
      <c r="H203">
        <v>0</v>
      </c>
      <c r="I203">
        <v>98.134920750000006</v>
      </c>
      <c r="J203">
        <v>0</v>
      </c>
      <c r="K203">
        <v>1.8650792469999999</v>
      </c>
      <c r="L203">
        <v>0</v>
      </c>
      <c r="M203">
        <v>96.979886030000003</v>
      </c>
      <c r="N203">
        <v>0</v>
      </c>
      <c r="O203">
        <v>3.0201139659999998</v>
      </c>
      <c r="P203">
        <v>0</v>
      </c>
      <c r="Q203">
        <v>5</v>
      </c>
      <c r="R203">
        <v>5.5157040000011646E-3</v>
      </c>
      <c r="S203">
        <v>2.3620912000001229E-2</v>
      </c>
      <c r="T203">
        <v>-1.211155999999391E-3</v>
      </c>
      <c r="U203">
        <f>ABS(Sheet1[[#This Row],[ARC_r]]-Sheet1[[#This Row],[ARC_u]])</f>
        <v>2.483206800000062E-2</v>
      </c>
      <c r="V203">
        <f>ROUND(Sheet1[[#This Row],[wat_bas_n]],0)</f>
        <v>97</v>
      </c>
      <c r="W203">
        <f>ROUND(Sheet1[[#This Row],[wat_bas_r]],0)</f>
        <v>98</v>
      </c>
      <c r="X203">
        <f>ROUND(Sheet1[[#This Row],[wat_bas_u]],0)</f>
        <v>97</v>
      </c>
      <c r="Y203" s="1" t="str">
        <f t="shared" si="7"/>
        <v>not full access</v>
      </c>
      <c r="Z203" s="1" t="str">
        <f t="shared" si="8"/>
        <v>not full access</v>
      </c>
      <c r="AA203" s="1" t="str">
        <f t="shared" si="9"/>
        <v>not full access</v>
      </c>
    </row>
    <row r="204" spans="1:27" x14ac:dyDescent="0.25">
      <c r="A204" s="1" t="s">
        <v>102</v>
      </c>
      <c r="B204">
        <v>2015</v>
      </c>
      <c r="C204">
        <v>83.232002260000002</v>
      </c>
      <c r="D204">
        <v>52.244998930000001</v>
      </c>
      <c r="E204">
        <v>99.075000000000003</v>
      </c>
      <c r="F204">
        <v>0</v>
      </c>
      <c r="G204">
        <v>0.92500000000000004</v>
      </c>
      <c r="H204">
        <v>0</v>
      </c>
      <c r="U204">
        <f>ABS(Sheet1[[#This Row],[ARC_r]]-Sheet1[[#This Row],[ARC_u]])</f>
        <v>0</v>
      </c>
      <c r="V204">
        <f>ROUND(Sheet1[[#This Row],[wat_bas_n]],0)</f>
        <v>99</v>
      </c>
      <c r="W204">
        <f>ROUND(Sheet1[[#This Row],[wat_bas_r]],0)</f>
        <v>0</v>
      </c>
      <c r="X204">
        <f>ROUND(Sheet1[[#This Row],[wat_bas_u]],0)</f>
        <v>0</v>
      </c>
      <c r="Y204" s="1" t="str">
        <f t="shared" si="7"/>
        <v>full access</v>
      </c>
      <c r="Z204" s="1" t="str">
        <f t="shared" si="8"/>
        <v>not full access</v>
      </c>
      <c r="AA204" s="1" t="str">
        <f t="shared" si="9"/>
        <v>not full access</v>
      </c>
    </row>
    <row r="205" spans="1:27" x14ac:dyDescent="0.25">
      <c r="A205" s="1" t="s">
        <v>102</v>
      </c>
      <c r="B205">
        <v>2020</v>
      </c>
      <c r="C205">
        <v>85.031997680000003</v>
      </c>
      <c r="D205">
        <v>52.89800262</v>
      </c>
      <c r="E205">
        <v>99.075000000000003</v>
      </c>
      <c r="F205">
        <v>0</v>
      </c>
      <c r="G205">
        <v>0.92500000000000004</v>
      </c>
      <c r="H205">
        <v>0</v>
      </c>
      <c r="Q205">
        <v>5</v>
      </c>
      <c r="R205">
        <v>0</v>
      </c>
      <c r="U205">
        <f>ABS(Sheet1[[#This Row],[ARC_r]]-Sheet1[[#This Row],[ARC_u]])</f>
        <v>0</v>
      </c>
      <c r="V205">
        <f>ROUND(Sheet1[[#This Row],[wat_bas_n]],0)</f>
        <v>99</v>
      </c>
      <c r="W205">
        <f>ROUND(Sheet1[[#This Row],[wat_bas_r]],0)</f>
        <v>0</v>
      </c>
      <c r="X205">
        <f>ROUND(Sheet1[[#This Row],[wat_bas_u]],0)</f>
        <v>0</v>
      </c>
      <c r="Y205" s="1" t="str">
        <f t="shared" si="7"/>
        <v>full access</v>
      </c>
      <c r="Z205" s="1" t="str">
        <f t="shared" si="8"/>
        <v>not full access</v>
      </c>
      <c r="AA205" s="1" t="str">
        <f t="shared" si="9"/>
        <v>not full access</v>
      </c>
    </row>
    <row r="206" spans="1:27" x14ac:dyDescent="0.25">
      <c r="A206" s="1" t="s">
        <v>25</v>
      </c>
      <c r="B206">
        <v>2015</v>
      </c>
      <c r="C206">
        <v>7978.4960940000001</v>
      </c>
      <c r="D206">
        <v>92.179000849999994</v>
      </c>
      <c r="E206">
        <v>100.0000015</v>
      </c>
      <c r="F206">
        <v>0</v>
      </c>
      <c r="G206">
        <v>0</v>
      </c>
      <c r="H206">
        <v>0</v>
      </c>
      <c r="I206">
        <v>100</v>
      </c>
      <c r="J206">
        <v>0</v>
      </c>
      <c r="K206">
        <v>0</v>
      </c>
      <c r="L206">
        <v>0</v>
      </c>
      <c r="M206">
        <v>100</v>
      </c>
      <c r="N206">
        <v>0</v>
      </c>
      <c r="O206">
        <v>0</v>
      </c>
      <c r="P206">
        <v>0</v>
      </c>
      <c r="U206">
        <f>ABS(Sheet1[[#This Row],[ARC_r]]-Sheet1[[#This Row],[ARC_u]])</f>
        <v>0</v>
      </c>
      <c r="V206">
        <f>ROUND(Sheet1[[#This Row],[wat_bas_n]],0)</f>
        <v>100</v>
      </c>
      <c r="W206">
        <f>ROUND(Sheet1[[#This Row],[wat_bas_r]],0)</f>
        <v>100</v>
      </c>
      <c r="X206">
        <f>ROUND(Sheet1[[#This Row],[wat_bas_u]],0)</f>
        <v>100</v>
      </c>
      <c r="Y206" s="1" t="str">
        <f t="shared" si="7"/>
        <v>full access</v>
      </c>
      <c r="Z206" s="1" t="str">
        <f t="shared" si="8"/>
        <v>full access</v>
      </c>
      <c r="AA206" s="1" t="str">
        <f t="shared" si="9"/>
        <v>full access</v>
      </c>
    </row>
    <row r="207" spans="1:27" x14ac:dyDescent="0.25">
      <c r="A207" s="1" t="s">
        <v>25</v>
      </c>
      <c r="B207">
        <v>2020</v>
      </c>
      <c r="C207">
        <v>8655.5410159999992</v>
      </c>
      <c r="D207">
        <v>92.58699799</v>
      </c>
      <c r="E207">
        <v>100</v>
      </c>
      <c r="F207">
        <v>0</v>
      </c>
      <c r="G207">
        <v>0</v>
      </c>
      <c r="H207">
        <v>0</v>
      </c>
      <c r="I207">
        <v>100</v>
      </c>
      <c r="J207">
        <v>0</v>
      </c>
      <c r="K207">
        <v>0</v>
      </c>
      <c r="L207">
        <v>0</v>
      </c>
      <c r="M207">
        <v>100</v>
      </c>
      <c r="N207">
        <v>0</v>
      </c>
      <c r="O207">
        <v>0</v>
      </c>
      <c r="P207">
        <v>0</v>
      </c>
      <c r="Q207">
        <v>5</v>
      </c>
      <c r="R207">
        <v>-2.999999992425728E-7</v>
      </c>
      <c r="S207">
        <v>0</v>
      </c>
      <c r="T207">
        <v>0</v>
      </c>
      <c r="U207">
        <f>ABS(Sheet1[[#This Row],[ARC_r]]-Sheet1[[#This Row],[ARC_u]])</f>
        <v>0</v>
      </c>
      <c r="V207">
        <f>ROUND(Sheet1[[#This Row],[wat_bas_n]],0)</f>
        <v>100</v>
      </c>
      <c r="W207">
        <f>ROUND(Sheet1[[#This Row],[wat_bas_r]],0)</f>
        <v>100</v>
      </c>
      <c r="X207">
        <f>ROUND(Sheet1[[#This Row],[wat_bas_u]],0)</f>
        <v>100</v>
      </c>
      <c r="Y207" s="1" t="str">
        <f t="shared" si="7"/>
        <v>full access</v>
      </c>
      <c r="Z207" s="1" t="str">
        <f t="shared" si="8"/>
        <v>full access</v>
      </c>
      <c r="AA207" s="1" t="str">
        <f t="shared" si="9"/>
        <v>full access</v>
      </c>
    </row>
    <row r="208" spans="1:27" x14ac:dyDescent="0.25">
      <c r="A208" s="1" t="s">
        <v>67</v>
      </c>
      <c r="B208">
        <v>2015</v>
      </c>
      <c r="C208">
        <v>60578.488279999998</v>
      </c>
      <c r="D208">
        <v>69.565002440000001</v>
      </c>
      <c r="E208">
        <v>99.91703407</v>
      </c>
      <c r="F208">
        <v>0</v>
      </c>
      <c r="G208">
        <v>8.2965925910000002E-2</v>
      </c>
      <c r="H208">
        <v>0</v>
      </c>
      <c r="U208">
        <f>ABS(Sheet1[[#This Row],[ARC_r]]-Sheet1[[#This Row],[ARC_u]])</f>
        <v>0</v>
      </c>
      <c r="V208">
        <f>ROUND(Sheet1[[#This Row],[wat_bas_n]],0)</f>
        <v>100</v>
      </c>
      <c r="W208">
        <f>ROUND(Sheet1[[#This Row],[wat_bas_r]],0)</f>
        <v>0</v>
      </c>
      <c r="X208">
        <f>ROUND(Sheet1[[#This Row],[wat_bas_u]],0)</f>
        <v>0</v>
      </c>
      <c r="Y208" s="1" t="str">
        <f t="shared" si="7"/>
        <v>full access</v>
      </c>
      <c r="Z208" s="1" t="str">
        <f t="shared" si="8"/>
        <v>not full access</v>
      </c>
      <c r="AA208" s="1" t="str">
        <f t="shared" si="9"/>
        <v>not full access</v>
      </c>
    </row>
    <row r="209" spans="1:27" x14ac:dyDescent="0.25">
      <c r="A209" s="1" t="s">
        <v>67</v>
      </c>
      <c r="B209">
        <v>2020</v>
      </c>
      <c r="C209">
        <v>60461.828130000002</v>
      </c>
      <c r="D209">
        <v>71.038993840000003</v>
      </c>
      <c r="E209">
        <v>99.91703407</v>
      </c>
      <c r="F209">
        <v>0</v>
      </c>
      <c r="G209">
        <v>8.2965925910000002E-2</v>
      </c>
      <c r="H209">
        <v>0</v>
      </c>
      <c r="Q209">
        <v>5</v>
      </c>
      <c r="R209">
        <v>0</v>
      </c>
      <c r="U209">
        <f>ABS(Sheet1[[#This Row],[ARC_r]]-Sheet1[[#This Row],[ARC_u]])</f>
        <v>0</v>
      </c>
      <c r="V209">
        <f>ROUND(Sheet1[[#This Row],[wat_bas_n]],0)</f>
        <v>100</v>
      </c>
      <c r="W209">
        <f>ROUND(Sheet1[[#This Row],[wat_bas_r]],0)</f>
        <v>0</v>
      </c>
      <c r="X209">
        <f>ROUND(Sheet1[[#This Row],[wat_bas_u]],0)</f>
        <v>0</v>
      </c>
      <c r="Y209" s="1" t="str">
        <f t="shared" si="7"/>
        <v>full access</v>
      </c>
      <c r="Z209" s="1" t="str">
        <f t="shared" si="8"/>
        <v>not full access</v>
      </c>
      <c r="AA209" s="1" t="str">
        <f t="shared" si="9"/>
        <v>not full access</v>
      </c>
    </row>
    <row r="210" spans="1:27" hidden="1" x14ac:dyDescent="0.25">
      <c r="A210" s="1" t="s">
        <v>181</v>
      </c>
      <c r="B210">
        <v>2015</v>
      </c>
      <c r="C210">
        <v>2891.0239259999998</v>
      </c>
      <c r="D210">
        <v>54.833004000000003</v>
      </c>
      <c r="E210">
        <v>90.416796289999994</v>
      </c>
      <c r="F210">
        <v>5.4073366030000001</v>
      </c>
      <c r="G210">
        <v>2.169821217</v>
      </c>
      <c r="H210">
        <v>2.006045893</v>
      </c>
      <c r="I210">
        <v>84.500709900000004</v>
      </c>
      <c r="J210">
        <v>8.4013357529999997</v>
      </c>
      <c r="K210">
        <v>3.055395678</v>
      </c>
      <c r="L210">
        <v>4.0425586710000001</v>
      </c>
      <c r="M210">
        <v>95.289990239999995</v>
      </c>
      <c r="N210">
        <v>2.9411220149999999</v>
      </c>
      <c r="O210">
        <v>1.440356529</v>
      </c>
      <c r="P210">
        <v>0.32853121530000001</v>
      </c>
      <c r="U210">
        <f>ABS(Sheet1[[#This Row],[ARC_r]]-Sheet1[[#This Row],[ARC_u]])</f>
        <v>0</v>
      </c>
      <c r="V210">
        <f>ROUND(Sheet1[[#This Row],[wat_bas_n]],0)</f>
        <v>90</v>
      </c>
      <c r="W210">
        <f>ROUND(Sheet1[[#This Row],[wat_bas_r]],0)</f>
        <v>85</v>
      </c>
      <c r="X210">
        <f>ROUND(Sheet1[[#This Row],[wat_bas_u]],0)</f>
        <v>95</v>
      </c>
      <c r="Y210" s="1" t="str">
        <f t="shared" si="7"/>
        <v>not full access</v>
      </c>
      <c r="Z210" s="1" t="str">
        <f t="shared" si="8"/>
        <v>not full access</v>
      </c>
      <c r="AA210" s="1" t="str">
        <f t="shared" si="9"/>
        <v>not full access</v>
      </c>
    </row>
    <row r="211" spans="1:27" hidden="1" x14ac:dyDescent="0.25">
      <c r="A211" s="1" t="s">
        <v>181</v>
      </c>
      <c r="B211">
        <v>2020</v>
      </c>
      <c r="C211">
        <v>2961.1608890000002</v>
      </c>
      <c r="D211">
        <v>56.311000819999997</v>
      </c>
      <c r="E211">
        <v>91.029944499999999</v>
      </c>
      <c r="F211">
        <v>5.3675709139999999</v>
      </c>
      <c r="G211">
        <v>1.8640102030000001</v>
      </c>
      <c r="H211">
        <v>1.7384743789999999</v>
      </c>
      <c r="I211">
        <v>85.39991216</v>
      </c>
      <c r="J211">
        <v>8.4907373709999998</v>
      </c>
      <c r="K211">
        <v>2.5689718949999998</v>
      </c>
      <c r="L211">
        <v>3.540378574</v>
      </c>
      <c r="M211">
        <v>95.398015909999998</v>
      </c>
      <c r="N211">
        <v>2.944456223</v>
      </c>
      <c r="O211">
        <v>1.317064322</v>
      </c>
      <c r="P211">
        <v>0.34046355</v>
      </c>
      <c r="Q211">
        <v>5</v>
      </c>
      <c r="R211">
        <v>0.12262964200000109</v>
      </c>
      <c r="S211">
        <v>0.1798404519999991</v>
      </c>
      <c r="T211">
        <v>2.1605134000000699E-2</v>
      </c>
      <c r="U211">
        <f>ABS(Sheet1[[#This Row],[ARC_r]]-Sheet1[[#This Row],[ARC_u]])</f>
        <v>0.1582353179999984</v>
      </c>
      <c r="V211">
        <f>ROUND(Sheet1[[#This Row],[wat_bas_n]],0)</f>
        <v>91</v>
      </c>
      <c r="W211">
        <f>ROUND(Sheet1[[#This Row],[wat_bas_r]],0)</f>
        <v>85</v>
      </c>
      <c r="X211">
        <f>ROUND(Sheet1[[#This Row],[wat_bas_u]],0)</f>
        <v>95</v>
      </c>
      <c r="Y211" s="1" t="str">
        <f t="shared" si="7"/>
        <v>not full access</v>
      </c>
      <c r="Z211" s="1" t="str">
        <f t="shared" si="8"/>
        <v>not full access</v>
      </c>
      <c r="AA211" s="1" t="str">
        <f t="shared" si="9"/>
        <v>not full access</v>
      </c>
    </row>
    <row r="212" spans="1:27" hidden="1" x14ac:dyDescent="0.25">
      <c r="A212" s="1" t="s">
        <v>101</v>
      </c>
      <c r="B212">
        <v>2015</v>
      </c>
      <c r="C212">
        <v>127985.1406</v>
      </c>
      <c r="D212">
        <v>91.380996699999997</v>
      </c>
      <c r="E212">
        <v>98.922805479999994</v>
      </c>
      <c r="F212">
        <v>0</v>
      </c>
      <c r="G212">
        <v>1.0771945169999999</v>
      </c>
      <c r="H212">
        <v>0</v>
      </c>
      <c r="U212">
        <f>ABS(Sheet1[[#This Row],[ARC_r]]-Sheet1[[#This Row],[ARC_u]])</f>
        <v>0</v>
      </c>
      <c r="V212">
        <f>ROUND(Sheet1[[#This Row],[wat_bas_n]],0)</f>
        <v>99</v>
      </c>
      <c r="W212">
        <f>ROUND(Sheet1[[#This Row],[wat_bas_r]],0)</f>
        <v>0</v>
      </c>
      <c r="X212">
        <f>ROUND(Sheet1[[#This Row],[wat_bas_u]],0)</f>
        <v>0</v>
      </c>
      <c r="Y212" s="1" t="str">
        <f t="shared" si="7"/>
        <v>not full access</v>
      </c>
      <c r="Z212" s="1" t="str">
        <f t="shared" si="8"/>
        <v>not full access</v>
      </c>
      <c r="AA212" s="1" t="str">
        <f t="shared" si="9"/>
        <v>not full access</v>
      </c>
    </row>
    <row r="213" spans="1:27" hidden="1" x14ac:dyDescent="0.25">
      <c r="A213" s="1" t="s">
        <v>101</v>
      </c>
      <c r="B213">
        <v>2020</v>
      </c>
      <c r="C213">
        <v>126476.46090000001</v>
      </c>
      <c r="D213">
        <v>91.781997680000003</v>
      </c>
      <c r="E213">
        <v>99.078912450000004</v>
      </c>
      <c r="F213">
        <v>0</v>
      </c>
      <c r="G213">
        <v>0.92108754670000004</v>
      </c>
      <c r="H213">
        <v>0</v>
      </c>
      <c r="Q213">
        <v>5</v>
      </c>
      <c r="R213">
        <v>3.1221394000002081E-2</v>
      </c>
      <c r="U213">
        <f>ABS(Sheet1[[#This Row],[ARC_r]]-Sheet1[[#This Row],[ARC_u]])</f>
        <v>0</v>
      </c>
      <c r="V213">
        <f>ROUND(Sheet1[[#This Row],[wat_bas_n]],0)</f>
        <v>99</v>
      </c>
      <c r="W213">
        <f>ROUND(Sheet1[[#This Row],[wat_bas_r]],0)</f>
        <v>0</v>
      </c>
      <c r="X213">
        <f>ROUND(Sheet1[[#This Row],[wat_bas_u]],0)</f>
        <v>0</v>
      </c>
      <c r="Y213" s="1" t="str">
        <f t="shared" si="7"/>
        <v>not full access</v>
      </c>
      <c r="Z213" s="1" t="str">
        <f t="shared" si="8"/>
        <v>not full access</v>
      </c>
      <c r="AA213" s="1" t="str">
        <f t="shared" si="9"/>
        <v>not full access</v>
      </c>
    </row>
    <row r="214" spans="1:27" hidden="1" x14ac:dyDescent="0.25">
      <c r="A214" s="1" t="s">
        <v>103</v>
      </c>
      <c r="B214">
        <v>2015</v>
      </c>
      <c r="C214">
        <v>9266.5732420000004</v>
      </c>
      <c r="D214">
        <v>90.256004329999996</v>
      </c>
      <c r="E214">
        <v>99.006784909999993</v>
      </c>
      <c r="F214">
        <v>0.15240298360000001</v>
      </c>
      <c r="G214">
        <v>0.78123116479999999</v>
      </c>
      <c r="H214">
        <v>5.958093834E-2</v>
      </c>
      <c r="I214">
        <v>97.362315390000006</v>
      </c>
      <c r="J214">
        <v>0.62427255179999996</v>
      </c>
      <c r="K214">
        <v>1.973552059</v>
      </c>
      <c r="L214">
        <v>3.986E-2</v>
      </c>
      <c r="M214">
        <v>99.184316820000006</v>
      </c>
      <c r="N214">
        <v>0.10146013550000001</v>
      </c>
      <c r="O214">
        <v>0.65251304369999996</v>
      </c>
      <c r="P214">
        <v>6.1710000000000001E-2</v>
      </c>
      <c r="U214">
        <f>ABS(Sheet1[[#This Row],[ARC_r]]-Sheet1[[#This Row],[ARC_u]])</f>
        <v>0</v>
      </c>
      <c r="V214">
        <f>ROUND(Sheet1[[#This Row],[wat_bas_n]],0)</f>
        <v>99</v>
      </c>
      <c r="W214">
        <f>ROUND(Sheet1[[#This Row],[wat_bas_r]],0)</f>
        <v>97</v>
      </c>
      <c r="X214">
        <f>ROUND(Sheet1[[#This Row],[wat_bas_u]],0)</f>
        <v>99</v>
      </c>
      <c r="Y214" s="1" t="str">
        <f t="shared" si="7"/>
        <v>not full access</v>
      </c>
      <c r="Z214" s="1" t="str">
        <f t="shared" si="8"/>
        <v>not full access</v>
      </c>
      <c r="AA214" s="1" t="str">
        <f t="shared" si="9"/>
        <v>full access</v>
      </c>
    </row>
    <row r="215" spans="1:27" hidden="1" x14ac:dyDescent="0.25">
      <c r="A215" s="1" t="s">
        <v>103</v>
      </c>
      <c r="B215">
        <v>2020</v>
      </c>
      <c r="C215">
        <v>10203.139649999999</v>
      </c>
      <c r="D215">
        <v>91.417999269999996</v>
      </c>
      <c r="E215">
        <v>98.940302959999997</v>
      </c>
      <c r="F215">
        <v>0.1462147369</v>
      </c>
      <c r="G215">
        <v>0.8536474704</v>
      </c>
      <c r="H215">
        <v>5.9834831790000001E-2</v>
      </c>
      <c r="I215">
        <v>97.311478690000001</v>
      </c>
      <c r="J215">
        <v>0.62394659450000001</v>
      </c>
      <c r="K215">
        <v>2.0247147160000001</v>
      </c>
      <c r="L215">
        <v>3.986E-2</v>
      </c>
      <c r="M215">
        <v>99.093212589999993</v>
      </c>
      <c r="N215">
        <v>0.1013669408</v>
      </c>
      <c r="O215">
        <v>0.74371047069999996</v>
      </c>
      <c r="P215">
        <v>6.1710000000000001E-2</v>
      </c>
      <c r="Q215">
        <v>5</v>
      </c>
      <c r="R215">
        <v>-1.329638999999929E-2</v>
      </c>
      <c r="S215">
        <v>-1.0167340000000989E-2</v>
      </c>
      <c r="T215">
        <v>-1.822084600000267E-2</v>
      </c>
      <c r="U215">
        <f>ABS(Sheet1[[#This Row],[ARC_r]]-Sheet1[[#This Row],[ARC_u]])</f>
        <v>8.0535060000016812E-3</v>
      </c>
      <c r="V215">
        <f>ROUND(Sheet1[[#This Row],[wat_bas_n]],0)</f>
        <v>99</v>
      </c>
      <c r="W215">
        <f>ROUND(Sheet1[[#This Row],[wat_bas_r]],0)</f>
        <v>97</v>
      </c>
      <c r="X215">
        <f>ROUND(Sheet1[[#This Row],[wat_bas_u]],0)</f>
        <v>99</v>
      </c>
      <c r="Y215" s="1" t="str">
        <f t="shared" si="7"/>
        <v>not full access</v>
      </c>
      <c r="Z215" s="1" t="str">
        <f t="shared" si="8"/>
        <v>not full access</v>
      </c>
      <c r="AA215" s="1" t="str">
        <f t="shared" si="9"/>
        <v>full access</v>
      </c>
    </row>
    <row r="216" spans="1:27" hidden="1" x14ac:dyDescent="0.25">
      <c r="A216" s="1" t="s">
        <v>148</v>
      </c>
      <c r="B216">
        <v>2015</v>
      </c>
      <c r="C216">
        <v>17572.009770000001</v>
      </c>
      <c r="D216">
        <v>57.191001890000003</v>
      </c>
      <c r="E216">
        <v>95.025334409999999</v>
      </c>
      <c r="F216">
        <v>1.812908425</v>
      </c>
      <c r="G216">
        <v>2.9043926519999999</v>
      </c>
      <c r="H216">
        <v>0.25736451110000003</v>
      </c>
      <c r="I216">
        <v>90.747497839999994</v>
      </c>
      <c r="J216">
        <v>1.8667718499999999</v>
      </c>
      <c r="K216">
        <v>6.7845377490000001</v>
      </c>
      <c r="L216">
        <v>0.60119255559999996</v>
      </c>
      <c r="M216">
        <v>98.227409789999996</v>
      </c>
      <c r="N216">
        <v>1.7725902060000001</v>
      </c>
      <c r="O216">
        <v>0</v>
      </c>
      <c r="P216">
        <v>0</v>
      </c>
      <c r="U216">
        <f>ABS(Sheet1[[#This Row],[ARC_r]]-Sheet1[[#This Row],[ARC_u]])</f>
        <v>0</v>
      </c>
      <c r="V216">
        <f>ROUND(Sheet1[[#This Row],[wat_bas_n]],0)</f>
        <v>95</v>
      </c>
      <c r="W216">
        <f>ROUND(Sheet1[[#This Row],[wat_bas_r]],0)</f>
        <v>91</v>
      </c>
      <c r="X216">
        <f>ROUND(Sheet1[[#This Row],[wat_bas_u]],0)</f>
        <v>98</v>
      </c>
      <c r="Y216" s="1" t="str">
        <f t="shared" si="7"/>
        <v>not full access</v>
      </c>
      <c r="Z216" s="1" t="str">
        <f t="shared" si="8"/>
        <v>not full access</v>
      </c>
      <c r="AA216" s="1" t="str">
        <f t="shared" si="9"/>
        <v>not full access</v>
      </c>
    </row>
    <row r="217" spans="1:27" hidden="1" x14ac:dyDescent="0.25">
      <c r="A217" s="1" t="s">
        <v>148</v>
      </c>
      <c r="B217">
        <v>2020</v>
      </c>
      <c r="C217">
        <v>18776.707030000001</v>
      </c>
      <c r="D217">
        <v>57.671001429999997</v>
      </c>
      <c r="E217">
        <v>95.434970320000005</v>
      </c>
      <c r="F217">
        <v>1.9414250390000001</v>
      </c>
      <c r="G217">
        <v>2.5459569339999999</v>
      </c>
      <c r="H217">
        <v>7.7647704710000001E-2</v>
      </c>
      <c r="I217">
        <v>91.939252339999996</v>
      </c>
      <c r="J217">
        <v>1.862616064</v>
      </c>
      <c r="K217">
        <v>6.0146930489999999</v>
      </c>
      <c r="L217">
        <v>0.18343854379999999</v>
      </c>
      <c r="M217">
        <v>98.000731329999994</v>
      </c>
      <c r="N217">
        <v>1.999268673</v>
      </c>
      <c r="O217">
        <v>0</v>
      </c>
      <c r="P217">
        <v>0</v>
      </c>
      <c r="Q217">
        <v>5</v>
      </c>
      <c r="R217">
        <v>8.1927182000001153E-2</v>
      </c>
      <c r="S217">
        <v>0.23835090000000039</v>
      </c>
      <c r="T217">
        <v>-4.5335692000000448E-2</v>
      </c>
      <c r="U217">
        <f>ABS(Sheet1[[#This Row],[ARC_r]]-Sheet1[[#This Row],[ARC_u]])</f>
        <v>0.28368659200000085</v>
      </c>
      <c r="V217">
        <f>ROUND(Sheet1[[#This Row],[wat_bas_n]],0)</f>
        <v>95</v>
      </c>
      <c r="W217">
        <f>ROUND(Sheet1[[#This Row],[wat_bas_r]],0)</f>
        <v>92</v>
      </c>
      <c r="X217">
        <f>ROUND(Sheet1[[#This Row],[wat_bas_u]],0)</f>
        <v>98</v>
      </c>
      <c r="Y217" s="1" t="str">
        <f t="shared" si="7"/>
        <v>not full access</v>
      </c>
      <c r="Z217" s="1" t="str">
        <f t="shared" si="8"/>
        <v>not full access</v>
      </c>
      <c r="AA217" s="1" t="str">
        <f t="shared" si="9"/>
        <v>not full access</v>
      </c>
    </row>
    <row r="218" spans="1:27" hidden="1" x14ac:dyDescent="0.25">
      <c r="A218" s="1" t="s">
        <v>228</v>
      </c>
      <c r="B218">
        <v>2015</v>
      </c>
      <c r="C218">
        <v>47878.339840000001</v>
      </c>
      <c r="D218">
        <v>25.65799904</v>
      </c>
      <c r="E218">
        <v>58.196927979999998</v>
      </c>
      <c r="F218">
        <v>8.7967539769999998</v>
      </c>
      <c r="G218">
        <v>11.522918349999999</v>
      </c>
      <c r="H218">
        <v>21.483399689999999</v>
      </c>
      <c r="I218">
        <v>48.272161910000001</v>
      </c>
      <c r="J218">
        <v>10.37313934</v>
      </c>
      <c r="K218">
        <v>14.21683468</v>
      </c>
      <c r="L218">
        <v>27.13786408</v>
      </c>
      <c r="M218">
        <v>86.953147920000006</v>
      </c>
      <c r="N218">
        <v>4.2293042700000001</v>
      </c>
      <c r="O218">
        <v>3.7175043830000001</v>
      </c>
      <c r="P218">
        <v>5.1000434290000003</v>
      </c>
      <c r="U218">
        <f>ABS(Sheet1[[#This Row],[ARC_r]]-Sheet1[[#This Row],[ARC_u]])</f>
        <v>0</v>
      </c>
      <c r="V218">
        <f>ROUND(Sheet1[[#This Row],[wat_bas_n]],0)</f>
        <v>58</v>
      </c>
      <c r="W218">
        <f>ROUND(Sheet1[[#This Row],[wat_bas_r]],0)</f>
        <v>48</v>
      </c>
      <c r="X218">
        <f>ROUND(Sheet1[[#This Row],[wat_bas_u]],0)</f>
        <v>87</v>
      </c>
      <c r="Y218" s="1" t="str">
        <f t="shared" si="7"/>
        <v>not full access</v>
      </c>
      <c r="Z218" s="1" t="str">
        <f t="shared" si="8"/>
        <v>not full access</v>
      </c>
      <c r="AA218" s="1" t="str">
        <f t="shared" si="9"/>
        <v>not full access</v>
      </c>
    </row>
    <row r="219" spans="1:27" hidden="1" x14ac:dyDescent="0.25">
      <c r="A219" s="1" t="s">
        <v>228</v>
      </c>
      <c r="B219">
        <v>2020</v>
      </c>
      <c r="C219">
        <v>53771.300779999998</v>
      </c>
      <c r="D219">
        <v>27.994998930000001</v>
      </c>
      <c r="E219">
        <v>61.632891579999999</v>
      </c>
      <c r="F219">
        <v>9.54187005</v>
      </c>
      <c r="G219">
        <v>9.7800875240000007</v>
      </c>
      <c r="H219">
        <v>19.045150840000002</v>
      </c>
      <c r="I219">
        <v>51.779978929999999</v>
      </c>
      <c r="J219">
        <v>11.569004189999999</v>
      </c>
      <c r="K219">
        <v>12.519113219999999</v>
      </c>
      <c r="L219">
        <v>24.131903659999999</v>
      </c>
      <c r="M219">
        <v>86.975231449999995</v>
      </c>
      <c r="N219">
        <v>4.327944725</v>
      </c>
      <c r="O219">
        <v>2.7351426299999999</v>
      </c>
      <c r="P219">
        <v>5.9616811930000004</v>
      </c>
      <c r="Q219">
        <v>5</v>
      </c>
      <c r="R219">
        <v>0.6871927200000002</v>
      </c>
      <c r="S219">
        <v>0.7015634039999995</v>
      </c>
      <c r="T219">
        <v>4.4167059999978163E-3</v>
      </c>
      <c r="U219">
        <f>ABS(Sheet1[[#This Row],[ARC_r]]-Sheet1[[#This Row],[ARC_u]])</f>
        <v>0.69714669800000173</v>
      </c>
      <c r="V219">
        <f>ROUND(Sheet1[[#This Row],[wat_bas_n]],0)</f>
        <v>62</v>
      </c>
      <c r="W219">
        <f>ROUND(Sheet1[[#This Row],[wat_bas_r]],0)</f>
        <v>52</v>
      </c>
      <c r="X219">
        <f>ROUND(Sheet1[[#This Row],[wat_bas_u]],0)</f>
        <v>87</v>
      </c>
      <c r="Y219" s="1" t="str">
        <f t="shared" si="7"/>
        <v>not full access</v>
      </c>
      <c r="Z219" s="1" t="str">
        <f t="shared" si="8"/>
        <v>not full access</v>
      </c>
      <c r="AA219" s="1" t="str">
        <f t="shared" si="9"/>
        <v>not full access</v>
      </c>
    </row>
    <row r="220" spans="1:27" hidden="1" x14ac:dyDescent="0.25">
      <c r="A220" s="1" t="s">
        <v>204</v>
      </c>
      <c r="B220">
        <v>2015</v>
      </c>
      <c r="C220">
        <v>110.927002</v>
      </c>
      <c r="D220">
        <v>51.618999479999999</v>
      </c>
      <c r="E220">
        <v>73.848096589999997</v>
      </c>
      <c r="F220">
        <v>2.3408915690000001</v>
      </c>
      <c r="G220">
        <v>23.811011839999999</v>
      </c>
      <c r="H220">
        <v>0</v>
      </c>
      <c r="I220">
        <v>57.922252589999999</v>
      </c>
      <c r="J220">
        <v>1.6395879280000001</v>
      </c>
      <c r="K220">
        <v>40.438159480000003</v>
      </c>
      <c r="L220">
        <v>0</v>
      </c>
      <c r="M220">
        <v>88.774932000000007</v>
      </c>
      <c r="N220">
        <v>2.9982032959999998</v>
      </c>
      <c r="O220">
        <v>8.2268647060000006</v>
      </c>
      <c r="P220">
        <v>0</v>
      </c>
      <c r="U220">
        <f>ABS(Sheet1[[#This Row],[ARC_r]]-Sheet1[[#This Row],[ARC_u]])</f>
        <v>0</v>
      </c>
      <c r="V220">
        <f>ROUND(Sheet1[[#This Row],[wat_bas_n]],0)</f>
        <v>74</v>
      </c>
      <c r="W220">
        <f>ROUND(Sheet1[[#This Row],[wat_bas_r]],0)</f>
        <v>58</v>
      </c>
      <c r="X220">
        <f>ROUND(Sheet1[[#This Row],[wat_bas_u]],0)</f>
        <v>89</v>
      </c>
      <c r="Y220" s="1" t="str">
        <f t="shared" si="7"/>
        <v>not full access</v>
      </c>
      <c r="Z220" s="1" t="str">
        <f t="shared" si="8"/>
        <v>not full access</v>
      </c>
      <c r="AA220" s="1" t="str">
        <f t="shared" si="9"/>
        <v>not full access</v>
      </c>
    </row>
    <row r="221" spans="1:27" hidden="1" x14ac:dyDescent="0.25">
      <c r="A221" s="1" t="s">
        <v>204</v>
      </c>
      <c r="B221">
        <v>2020</v>
      </c>
      <c r="C221">
        <v>119.44599909999999</v>
      </c>
      <c r="D221">
        <v>55.593997960000003</v>
      </c>
      <c r="E221">
        <v>77.970920849999999</v>
      </c>
      <c r="F221">
        <v>4.0768996250000002</v>
      </c>
      <c r="G221">
        <v>17.952179529999999</v>
      </c>
      <c r="H221">
        <v>0</v>
      </c>
      <c r="I221">
        <v>60.99418489</v>
      </c>
      <c r="J221">
        <v>2.0966097989999999</v>
      </c>
      <c r="K221">
        <v>36.909205319999998</v>
      </c>
      <c r="L221">
        <v>0</v>
      </c>
      <c r="M221">
        <v>91.531174849999999</v>
      </c>
      <c r="N221">
        <v>5.6586664610000001</v>
      </c>
      <c r="O221">
        <v>2.8101586909999998</v>
      </c>
      <c r="P221">
        <v>0</v>
      </c>
      <c r="Q221">
        <v>5</v>
      </c>
      <c r="R221">
        <v>0.82456485200000029</v>
      </c>
      <c r="S221">
        <v>0.61438646000000008</v>
      </c>
      <c r="T221">
        <v>0.55124856999999849</v>
      </c>
      <c r="U221">
        <f>ABS(Sheet1[[#This Row],[ARC_r]]-Sheet1[[#This Row],[ARC_u]])</f>
        <v>6.3137890000001584E-2</v>
      </c>
      <c r="V221">
        <f>ROUND(Sheet1[[#This Row],[wat_bas_n]],0)</f>
        <v>78</v>
      </c>
      <c r="W221">
        <f>ROUND(Sheet1[[#This Row],[wat_bas_r]],0)</f>
        <v>61</v>
      </c>
      <c r="X221">
        <f>ROUND(Sheet1[[#This Row],[wat_bas_u]],0)</f>
        <v>92</v>
      </c>
      <c r="Y221" s="1" t="str">
        <f t="shared" si="7"/>
        <v>not full access</v>
      </c>
      <c r="Z221" s="1" t="str">
        <f t="shared" si="8"/>
        <v>not full access</v>
      </c>
      <c r="AA221" s="1" t="str">
        <f t="shared" si="9"/>
        <v>not full access</v>
      </c>
    </row>
    <row r="222" spans="1:27" x14ac:dyDescent="0.25">
      <c r="A222" s="1" t="s">
        <v>45</v>
      </c>
      <c r="B222">
        <v>2015</v>
      </c>
      <c r="C222">
        <v>3835.5878910000001</v>
      </c>
      <c r="D222">
        <v>100</v>
      </c>
      <c r="E222">
        <v>100</v>
      </c>
      <c r="F222">
        <v>0</v>
      </c>
      <c r="G222">
        <v>0</v>
      </c>
      <c r="H222">
        <v>0</v>
      </c>
      <c r="U222">
        <f>ABS(Sheet1[[#This Row],[ARC_r]]-Sheet1[[#This Row],[ARC_u]])</f>
        <v>0</v>
      </c>
      <c r="V222">
        <f>ROUND(Sheet1[[#This Row],[wat_bas_n]],0)</f>
        <v>100</v>
      </c>
      <c r="W222">
        <f>ROUND(Sheet1[[#This Row],[wat_bas_r]],0)</f>
        <v>0</v>
      </c>
      <c r="X222">
        <f>ROUND(Sheet1[[#This Row],[wat_bas_u]],0)</f>
        <v>0</v>
      </c>
      <c r="Y222" s="1" t="str">
        <f t="shared" si="7"/>
        <v>full access</v>
      </c>
      <c r="Z222" s="1" t="str">
        <f t="shared" si="8"/>
        <v>not full access</v>
      </c>
      <c r="AA222" s="1" t="str">
        <f t="shared" si="9"/>
        <v>not full access</v>
      </c>
    </row>
    <row r="223" spans="1:27" x14ac:dyDescent="0.25">
      <c r="A223" s="1" t="s">
        <v>45</v>
      </c>
      <c r="B223">
        <v>2020</v>
      </c>
      <c r="C223">
        <v>4270.5629879999997</v>
      </c>
      <c r="D223">
        <v>100</v>
      </c>
      <c r="E223">
        <v>100</v>
      </c>
      <c r="F223">
        <v>0</v>
      </c>
      <c r="G223">
        <v>0</v>
      </c>
      <c r="H223">
        <v>0</v>
      </c>
      <c r="Q223">
        <v>5</v>
      </c>
      <c r="R223">
        <v>0</v>
      </c>
      <c r="U223">
        <f>ABS(Sheet1[[#This Row],[ARC_r]]-Sheet1[[#This Row],[ARC_u]])</f>
        <v>0</v>
      </c>
      <c r="V223">
        <f>ROUND(Sheet1[[#This Row],[wat_bas_n]],0)</f>
        <v>100</v>
      </c>
      <c r="W223">
        <f>ROUND(Sheet1[[#This Row],[wat_bas_r]],0)</f>
        <v>0</v>
      </c>
      <c r="X223">
        <f>ROUND(Sheet1[[#This Row],[wat_bas_u]],0)</f>
        <v>0</v>
      </c>
      <c r="Y223" s="1" t="str">
        <f t="shared" si="7"/>
        <v>full access</v>
      </c>
      <c r="Z223" s="1" t="str">
        <f t="shared" si="8"/>
        <v>not full access</v>
      </c>
      <c r="AA223" s="1" t="str">
        <f t="shared" si="9"/>
        <v>not full access</v>
      </c>
    </row>
    <row r="224" spans="1:27" hidden="1" x14ac:dyDescent="0.25">
      <c r="A224" s="1" t="s">
        <v>178</v>
      </c>
      <c r="B224">
        <v>2015</v>
      </c>
      <c r="C224">
        <v>5959.1259769999997</v>
      </c>
      <c r="D224">
        <v>35.777000430000001</v>
      </c>
      <c r="E224">
        <v>88.441761249999999</v>
      </c>
      <c r="F224">
        <v>1.7899358359999999</v>
      </c>
      <c r="G224">
        <v>2.2480629049999998</v>
      </c>
      <c r="H224">
        <v>7.5202400129999996</v>
      </c>
      <c r="I224">
        <v>83.105217640000006</v>
      </c>
      <c r="J224">
        <v>2.4159736540000001</v>
      </c>
      <c r="K224">
        <v>3.3531687830000001</v>
      </c>
      <c r="L224">
        <v>11.12563993</v>
      </c>
      <c r="M224">
        <v>98.021346449999996</v>
      </c>
      <c r="N224">
        <v>0.66614053719999999</v>
      </c>
      <c r="O224">
        <v>0.26429650360000001</v>
      </c>
      <c r="P224">
        <v>1.04821651</v>
      </c>
      <c r="U224">
        <f>ABS(Sheet1[[#This Row],[ARC_r]]-Sheet1[[#This Row],[ARC_u]])</f>
        <v>0</v>
      </c>
      <c r="V224">
        <f>ROUND(Sheet1[[#This Row],[wat_bas_n]],0)</f>
        <v>88</v>
      </c>
      <c r="W224">
        <f>ROUND(Sheet1[[#This Row],[wat_bas_r]],0)</f>
        <v>83</v>
      </c>
      <c r="X224">
        <f>ROUND(Sheet1[[#This Row],[wat_bas_u]],0)</f>
        <v>98</v>
      </c>
      <c r="Y224" s="1" t="str">
        <f t="shared" si="7"/>
        <v>not full access</v>
      </c>
      <c r="Z224" s="1" t="str">
        <f t="shared" si="8"/>
        <v>not full access</v>
      </c>
      <c r="AA224" s="1" t="str">
        <f t="shared" si="9"/>
        <v>not full access</v>
      </c>
    </row>
    <row r="225" spans="1:27" hidden="1" x14ac:dyDescent="0.25">
      <c r="A225" s="1" t="s">
        <v>178</v>
      </c>
      <c r="B225">
        <v>2020</v>
      </c>
      <c r="C225">
        <v>6524.1909180000002</v>
      </c>
      <c r="D225">
        <v>36.855998990000003</v>
      </c>
      <c r="E225">
        <v>91.699305219999999</v>
      </c>
      <c r="F225">
        <v>1.900734111</v>
      </c>
      <c r="G225">
        <v>1.8656486999999999</v>
      </c>
      <c r="H225">
        <v>4.5343119649999997</v>
      </c>
      <c r="I225">
        <v>87.258429000000007</v>
      </c>
      <c r="J225">
        <v>2.606070485</v>
      </c>
      <c r="K225">
        <v>2.9545936840000002</v>
      </c>
      <c r="L225">
        <v>7.1809068319999998</v>
      </c>
      <c r="M225">
        <v>99.307692309999993</v>
      </c>
      <c r="N225">
        <v>0.6923076923</v>
      </c>
      <c r="O225">
        <v>0</v>
      </c>
      <c r="P225">
        <v>0</v>
      </c>
      <c r="Q225">
        <v>5</v>
      </c>
      <c r="R225">
        <v>0.65150879400000006</v>
      </c>
      <c r="S225">
        <v>0.83064227200000007</v>
      </c>
      <c r="T225">
        <v>0.25726917199999938</v>
      </c>
      <c r="U225">
        <f>ABS(Sheet1[[#This Row],[ARC_r]]-Sheet1[[#This Row],[ARC_u]])</f>
        <v>0.57337310000000064</v>
      </c>
      <c r="V225">
        <f>ROUND(Sheet1[[#This Row],[wat_bas_n]],0)</f>
        <v>92</v>
      </c>
      <c r="W225">
        <f>ROUND(Sheet1[[#This Row],[wat_bas_r]],0)</f>
        <v>87</v>
      </c>
      <c r="X225">
        <f>ROUND(Sheet1[[#This Row],[wat_bas_u]],0)</f>
        <v>99</v>
      </c>
      <c r="Y225" s="1" t="str">
        <f t="shared" si="7"/>
        <v>not full access</v>
      </c>
      <c r="Z225" s="1" t="str">
        <f t="shared" si="8"/>
        <v>not full access</v>
      </c>
      <c r="AA225" s="1" t="str">
        <f t="shared" si="9"/>
        <v>not full access</v>
      </c>
    </row>
    <row r="226" spans="1:27" hidden="1" x14ac:dyDescent="0.25">
      <c r="A226" s="1" t="s">
        <v>194</v>
      </c>
      <c r="B226">
        <v>2015</v>
      </c>
      <c r="C226">
        <v>6741.1601559999999</v>
      </c>
      <c r="D226">
        <v>33.10799789</v>
      </c>
      <c r="E226">
        <v>77.460572209999995</v>
      </c>
      <c r="F226">
        <v>3.0523403340000002</v>
      </c>
      <c r="G226">
        <v>14.22792235</v>
      </c>
      <c r="H226">
        <v>5.2591651080000004</v>
      </c>
      <c r="I226">
        <v>70.239686550000002</v>
      </c>
      <c r="J226">
        <v>4.1702933629999999</v>
      </c>
      <c r="K226">
        <v>18.202221389999998</v>
      </c>
      <c r="L226">
        <v>7.3877986939999998</v>
      </c>
      <c r="M226">
        <v>92.049779979999997</v>
      </c>
      <c r="N226">
        <v>0.79360784900000003</v>
      </c>
      <c r="O226">
        <v>6.1981767950000002</v>
      </c>
      <c r="P226">
        <v>0.95843537109999999</v>
      </c>
      <c r="U226">
        <f>ABS(Sheet1[[#This Row],[ARC_r]]-Sheet1[[#This Row],[ARC_u]])</f>
        <v>0</v>
      </c>
      <c r="V226">
        <f>ROUND(Sheet1[[#This Row],[wat_bas_n]],0)</f>
        <v>77</v>
      </c>
      <c r="W226">
        <f>ROUND(Sheet1[[#This Row],[wat_bas_r]],0)</f>
        <v>70</v>
      </c>
      <c r="X226">
        <f>ROUND(Sheet1[[#This Row],[wat_bas_u]],0)</f>
        <v>92</v>
      </c>
      <c r="Y226" s="1" t="str">
        <f t="shared" si="7"/>
        <v>not full access</v>
      </c>
      <c r="Z226" s="1" t="str">
        <f t="shared" si="8"/>
        <v>not full access</v>
      </c>
      <c r="AA226" s="1" t="str">
        <f t="shared" si="9"/>
        <v>not full access</v>
      </c>
    </row>
    <row r="227" spans="1:27" hidden="1" x14ac:dyDescent="0.25">
      <c r="A227" s="1" t="s">
        <v>194</v>
      </c>
      <c r="B227">
        <v>2020</v>
      </c>
      <c r="C227">
        <v>7275.5561520000001</v>
      </c>
      <c r="D227">
        <v>36.290000919999997</v>
      </c>
      <c r="E227">
        <v>85.219743179999995</v>
      </c>
      <c r="F227">
        <v>3.566857739</v>
      </c>
      <c r="G227">
        <v>10.62886799</v>
      </c>
      <c r="H227">
        <v>0.58453109380000001</v>
      </c>
      <c r="I227">
        <v>78.472959419999995</v>
      </c>
      <c r="J227">
        <v>5.5985837859999998</v>
      </c>
      <c r="K227">
        <v>15.010969599999999</v>
      </c>
      <c r="L227">
        <v>0.91748719570000004</v>
      </c>
      <c r="M227">
        <v>97.064262220000003</v>
      </c>
      <c r="N227">
        <v>0</v>
      </c>
      <c r="O227">
        <v>2.935737778</v>
      </c>
      <c r="P227">
        <v>0</v>
      </c>
      <c r="Q227">
        <v>5</v>
      </c>
      <c r="R227">
        <v>1.551834194</v>
      </c>
      <c r="S227">
        <v>1.6466545739999989</v>
      </c>
      <c r="T227">
        <v>1.0028964480000011</v>
      </c>
      <c r="U227">
        <f>ABS(Sheet1[[#This Row],[ARC_r]]-Sheet1[[#This Row],[ARC_u]])</f>
        <v>0.64375812599999782</v>
      </c>
      <c r="V227">
        <f>ROUND(Sheet1[[#This Row],[wat_bas_n]],0)</f>
        <v>85</v>
      </c>
      <c r="W227">
        <f>ROUND(Sheet1[[#This Row],[wat_bas_r]],0)</f>
        <v>78</v>
      </c>
      <c r="X227">
        <f>ROUND(Sheet1[[#This Row],[wat_bas_u]],0)</f>
        <v>97</v>
      </c>
      <c r="Y227" s="1" t="str">
        <f t="shared" si="7"/>
        <v>not full access</v>
      </c>
      <c r="Z227" s="1" t="str">
        <f t="shared" si="8"/>
        <v>not full access</v>
      </c>
      <c r="AA227" s="1" t="str">
        <f t="shared" si="9"/>
        <v>not full access</v>
      </c>
    </row>
    <row r="228" spans="1:27" hidden="1" x14ac:dyDescent="0.25">
      <c r="A228" s="1" t="s">
        <v>107</v>
      </c>
      <c r="B228">
        <v>2015</v>
      </c>
      <c r="C228">
        <v>1997.6750489999999</v>
      </c>
      <c r="D228">
        <v>67.979995729999999</v>
      </c>
      <c r="E228">
        <v>98.525117280000003</v>
      </c>
      <c r="F228">
        <v>0.67870742309999998</v>
      </c>
      <c r="G228">
        <v>0.79617529310000001</v>
      </c>
      <c r="H228">
        <v>0</v>
      </c>
      <c r="I228">
        <v>97.854719009999997</v>
      </c>
      <c r="J228">
        <v>0</v>
      </c>
      <c r="K228">
        <v>2.145280992</v>
      </c>
      <c r="L228">
        <v>0</v>
      </c>
      <c r="M228">
        <v>98.840893339999994</v>
      </c>
      <c r="N228">
        <v>0.99839286199999999</v>
      </c>
      <c r="O228">
        <v>0.1607138001</v>
      </c>
      <c r="P228">
        <v>0</v>
      </c>
      <c r="U228">
        <f>ABS(Sheet1[[#This Row],[ARC_r]]-Sheet1[[#This Row],[ARC_u]])</f>
        <v>0</v>
      </c>
      <c r="V228">
        <f>ROUND(Sheet1[[#This Row],[wat_bas_n]],0)</f>
        <v>99</v>
      </c>
      <c r="W228">
        <f>ROUND(Sheet1[[#This Row],[wat_bas_r]],0)</f>
        <v>98</v>
      </c>
      <c r="X228">
        <f>ROUND(Sheet1[[#This Row],[wat_bas_u]],0)</f>
        <v>99</v>
      </c>
      <c r="Y228" s="1" t="str">
        <f t="shared" si="7"/>
        <v>not full access</v>
      </c>
      <c r="Z228" s="1" t="str">
        <f t="shared" si="8"/>
        <v>not full access</v>
      </c>
      <c r="AA228" s="1" t="str">
        <f t="shared" si="9"/>
        <v>not full access</v>
      </c>
    </row>
    <row r="229" spans="1:27" hidden="1" x14ac:dyDescent="0.25">
      <c r="A229" s="1" t="s">
        <v>107</v>
      </c>
      <c r="B229">
        <v>2020</v>
      </c>
      <c r="C229">
        <v>1886.2020259999999</v>
      </c>
      <c r="D229">
        <v>68.315002440000001</v>
      </c>
      <c r="E229">
        <v>98.782601150000005</v>
      </c>
      <c r="F229">
        <v>0.68230074240000005</v>
      </c>
      <c r="G229">
        <v>0.53509810369999999</v>
      </c>
      <c r="H229">
        <v>0</v>
      </c>
      <c r="I229">
        <v>98.579223139999996</v>
      </c>
      <c r="J229">
        <v>0</v>
      </c>
      <c r="K229">
        <v>1.4207768599999999</v>
      </c>
      <c r="L229">
        <v>0</v>
      </c>
      <c r="M229">
        <v>98.876924689999996</v>
      </c>
      <c r="N229">
        <v>0.99875681510000003</v>
      </c>
      <c r="O229">
        <v>0.1243184908</v>
      </c>
      <c r="P229">
        <v>0</v>
      </c>
      <c r="Q229">
        <v>5</v>
      </c>
      <c r="R229">
        <v>5.14967740000003E-2</v>
      </c>
      <c r="S229">
        <v>0.1449008259999999</v>
      </c>
      <c r="T229">
        <v>7.206270000000359E-3</v>
      </c>
      <c r="U229">
        <f>ABS(Sheet1[[#This Row],[ARC_r]]-Sheet1[[#This Row],[ARC_u]])</f>
        <v>0.13769455599999955</v>
      </c>
      <c r="V229">
        <f>ROUND(Sheet1[[#This Row],[wat_bas_n]],0)</f>
        <v>99</v>
      </c>
      <c r="W229">
        <f>ROUND(Sheet1[[#This Row],[wat_bas_r]],0)</f>
        <v>99</v>
      </c>
      <c r="X229">
        <f>ROUND(Sheet1[[#This Row],[wat_bas_u]],0)</f>
        <v>99</v>
      </c>
      <c r="Y229" s="1" t="str">
        <f t="shared" si="7"/>
        <v>not full access</v>
      </c>
      <c r="Z229" s="1" t="str">
        <f t="shared" si="8"/>
        <v>not full access</v>
      </c>
      <c r="AA229" s="1" t="str">
        <f t="shared" si="9"/>
        <v>not full access</v>
      </c>
    </row>
    <row r="230" spans="1:27" hidden="1" x14ac:dyDescent="0.25">
      <c r="A230" s="1" t="s">
        <v>172</v>
      </c>
      <c r="B230">
        <v>2015</v>
      </c>
      <c r="C230">
        <v>6532.6811520000001</v>
      </c>
      <c r="D230">
        <v>88.106002810000007</v>
      </c>
      <c r="E230">
        <v>91.224322509999993</v>
      </c>
      <c r="F230">
        <v>7.2900646499999997</v>
      </c>
      <c r="G230">
        <v>1.3401928400000001</v>
      </c>
      <c r="H230">
        <v>0.14541999999999999</v>
      </c>
      <c r="U230">
        <f>ABS(Sheet1[[#This Row],[ARC_r]]-Sheet1[[#This Row],[ARC_u]])</f>
        <v>0</v>
      </c>
      <c r="V230">
        <f>ROUND(Sheet1[[#This Row],[wat_bas_n]],0)</f>
        <v>91</v>
      </c>
      <c r="W230">
        <f>ROUND(Sheet1[[#This Row],[wat_bas_r]],0)</f>
        <v>0</v>
      </c>
      <c r="X230">
        <f>ROUND(Sheet1[[#This Row],[wat_bas_u]],0)</f>
        <v>0</v>
      </c>
      <c r="Y230" s="1" t="str">
        <f t="shared" si="7"/>
        <v>not full access</v>
      </c>
      <c r="Z230" s="1" t="str">
        <f t="shared" si="8"/>
        <v>not full access</v>
      </c>
      <c r="AA230" s="1" t="str">
        <f t="shared" si="9"/>
        <v>not full access</v>
      </c>
    </row>
    <row r="231" spans="1:27" hidden="1" x14ac:dyDescent="0.25">
      <c r="A231" s="1" t="s">
        <v>172</v>
      </c>
      <c r="B231">
        <v>2020</v>
      </c>
      <c r="C231">
        <v>6825.4418949999999</v>
      </c>
      <c r="D231">
        <v>88.924995420000002</v>
      </c>
      <c r="E231">
        <v>92.6</v>
      </c>
      <c r="F231">
        <v>7.4</v>
      </c>
      <c r="G231">
        <v>0</v>
      </c>
      <c r="H231">
        <v>0</v>
      </c>
      <c r="Q231">
        <v>5</v>
      </c>
      <c r="R231">
        <v>0.2751354980000002</v>
      </c>
      <c r="U231">
        <f>ABS(Sheet1[[#This Row],[ARC_r]]-Sheet1[[#This Row],[ARC_u]])</f>
        <v>0</v>
      </c>
      <c r="V231">
        <f>ROUND(Sheet1[[#This Row],[wat_bas_n]],0)</f>
        <v>93</v>
      </c>
      <c r="W231">
        <f>ROUND(Sheet1[[#This Row],[wat_bas_r]],0)</f>
        <v>0</v>
      </c>
      <c r="X231">
        <f>ROUND(Sheet1[[#This Row],[wat_bas_u]],0)</f>
        <v>0</v>
      </c>
      <c r="Y231" s="1" t="str">
        <f t="shared" si="7"/>
        <v>not full access</v>
      </c>
      <c r="Z231" s="1" t="str">
        <f t="shared" si="8"/>
        <v>not full access</v>
      </c>
      <c r="AA231" s="1" t="str">
        <f t="shared" si="9"/>
        <v>not full access</v>
      </c>
    </row>
    <row r="232" spans="1:27" hidden="1" x14ac:dyDescent="0.25">
      <c r="A232" s="1" t="s">
        <v>210</v>
      </c>
      <c r="B232">
        <v>2015</v>
      </c>
      <c r="C232">
        <v>2059.0109859999998</v>
      </c>
      <c r="D232">
        <v>26.908000950000002</v>
      </c>
      <c r="E232">
        <v>70.545689400000001</v>
      </c>
      <c r="F232">
        <v>10.86331049</v>
      </c>
      <c r="G232">
        <v>14.534382900000001</v>
      </c>
      <c r="H232">
        <v>4.0566172079999996</v>
      </c>
      <c r="I232">
        <v>63.420883150000002</v>
      </c>
      <c r="J232">
        <v>13.04933941</v>
      </c>
      <c r="K232">
        <v>18.164904929999999</v>
      </c>
      <c r="L232">
        <v>5.3648725109999997</v>
      </c>
      <c r="M232">
        <v>89.899276139999998</v>
      </c>
      <c r="N232">
        <v>4.9252542349999997</v>
      </c>
      <c r="O232">
        <v>4.6725536160000001</v>
      </c>
      <c r="P232">
        <v>0.50291600700000005</v>
      </c>
      <c r="U232">
        <f>ABS(Sheet1[[#This Row],[ARC_r]]-Sheet1[[#This Row],[ARC_u]])</f>
        <v>0</v>
      </c>
      <c r="V232">
        <f>ROUND(Sheet1[[#This Row],[wat_bas_n]],0)</f>
        <v>71</v>
      </c>
      <c r="W232">
        <f>ROUND(Sheet1[[#This Row],[wat_bas_r]],0)</f>
        <v>63</v>
      </c>
      <c r="X232">
        <f>ROUND(Sheet1[[#This Row],[wat_bas_u]],0)</f>
        <v>90</v>
      </c>
      <c r="Y232" s="1" t="str">
        <f t="shared" si="7"/>
        <v>not full access</v>
      </c>
      <c r="Z232" s="1" t="str">
        <f t="shared" si="8"/>
        <v>not full access</v>
      </c>
      <c r="AA232" s="1" t="str">
        <f t="shared" si="9"/>
        <v>not full access</v>
      </c>
    </row>
    <row r="233" spans="1:27" hidden="1" x14ac:dyDescent="0.25">
      <c r="A233" s="1" t="s">
        <v>210</v>
      </c>
      <c r="B233">
        <v>2020</v>
      </c>
      <c r="C233">
        <v>2142.251953</v>
      </c>
      <c r="D233">
        <v>29.027999879999999</v>
      </c>
      <c r="E233">
        <v>72.176039270000004</v>
      </c>
      <c r="F233">
        <v>10.40592597</v>
      </c>
      <c r="G233">
        <v>12.21725464</v>
      </c>
      <c r="H233">
        <v>5.2007801159999998</v>
      </c>
      <c r="I233">
        <v>63.650354819999997</v>
      </c>
      <c r="J233">
        <v>13.55843013</v>
      </c>
      <c r="K233">
        <v>15.73132479</v>
      </c>
      <c r="L233">
        <v>7.0598902539999999</v>
      </c>
      <c r="M233">
        <v>93.020908550000001</v>
      </c>
      <c r="N233">
        <v>2.698211997</v>
      </c>
      <c r="O233">
        <v>3.625530038</v>
      </c>
      <c r="P233">
        <v>0.65534941999999996</v>
      </c>
      <c r="Q233">
        <v>5</v>
      </c>
      <c r="R233">
        <v>0.32606997400000071</v>
      </c>
      <c r="S233">
        <v>4.5894333999999051E-2</v>
      </c>
      <c r="T233">
        <v>0.62432648200000074</v>
      </c>
      <c r="U233">
        <f>ABS(Sheet1[[#This Row],[ARC_r]]-Sheet1[[#This Row],[ARC_u]])</f>
        <v>0.57843214800000164</v>
      </c>
      <c r="V233">
        <f>ROUND(Sheet1[[#This Row],[wat_bas_n]],0)</f>
        <v>72</v>
      </c>
      <c r="W233">
        <f>ROUND(Sheet1[[#This Row],[wat_bas_r]],0)</f>
        <v>64</v>
      </c>
      <c r="X233">
        <f>ROUND(Sheet1[[#This Row],[wat_bas_u]],0)</f>
        <v>93</v>
      </c>
      <c r="Y233" s="1" t="str">
        <f t="shared" si="7"/>
        <v>not full access</v>
      </c>
      <c r="Z233" s="1" t="str">
        <f t="shared" si="8"/>
        <v>not full access</v>
      </c>
      <c r="AA233" s="1" t="str">
        <f t="shared" si="9"/>
        <v>not full access</v>
      </c>
    </row>
    <row r="234" spans="1:27" hidden="1" x14ac:dyDescent="0.25">
      <c r="A234" s="1" t="s">
        <v>207</v>
      </c>
      <c r="B234">
        <v>2015</v>
      </c>
      <c r="C234">
        <v>4472.2290039999998</v>
      </c>
      <c r="D234">
        <v>49.819999690000003</v>
      </c>
      <c r="E234">
        <v>72.569791940000002</v>
      </c>
      <c r="F234">
        <v>7.3644226789999996</v>
      </c>
      <c r="G234">
        <v>6.5372338440000002</v>
      </c>
      <c r="H234">
        <v>13.52855154</v>
      </c>
      <c r="I234">
        <v>61.263181959999997</v>
      </c>
      <c r="J234">
        <v>5.1260422940000003</v>
      </c>
      <c r="K234">
        <v>7.5241487850000004</v>
      </c>
      <c r="L234">
        <v>26.08662696</v>
      </c>
      <c r="M234">
        <v>83.95810401</v>
      </c>
      <c r="N234">
        <v>9.6189777050000007</v>
      </c>
      <c r="O234">
        <v>5.5431874099999998</v>
      </c>
      <c r="P234">
        <v>0.87973087640000003</v>
      </c>
      <c r="U234">
        <f>ABS(Sheet1[[#This Row],[ARC_r]]-Sheet1[[#This Row],[ARC_u]])</f>
        <v>0</v>
      </c>
      <c r="V234">
        <f>ROUND(Sheet1[[#This Row],[wat_bas_n]],0)</f>
        <v>73</v>
      </c>
      <c r="W234">
        <f>ROUND(Sheet1[[#This Row],[wat_bas_r]],0)</f>
        <v>61</v>
      </c>
      <c r="X234">
        <f>ROUND(Sheet1[[#This Row],[wat_bas_u]],0)</f>
        <v>84</v>
      </c>
      <c r="Y234" s="1" t="str">
        <f t="shared" si="7"/>
        <v>not full access</v>
      </c>
      <c r="Z234" s="1" t="str">
        <f t="shared" si="8"/>
        <v>not full access</v>
      </c>
      <c r="AA234" s="1" t="str">
        <f t="shared" si="9"/>
        <v>not full access</v>
      </c>
    </row>
    <row r="235" spans="1:27" hidden="1" x14ac:dyDescent="0.25">
      <c r="A235" s="1" t="s">
        <v>207</v>
      </c>
      <c r="B235">
        <v>2020</v>
      </c>
      <c r="C235">
        <v>5057.6767579999996</v>
      </c>
      <c r="D235">
        <v>52.088996889999997</v>
      </c>
      <c r="E235">
        <v>75.261791590000001</v>
      </c>
      <c r="F235">
        <v>8.7006574749999999</v>
      </c>
      <c r="G235">
        <v>3.488080869</v>
      </c>
      <c r="H235">
        <v>12.549470060000001</v>
      </c>
      <c r="I235">
        <v>64.100216889999999</v>
      </c>
      <c r="J235">
        <v>6.5377757970000001</v>
      </c>
      <c r="K235">
        <v>3.3837098750000001</v>
      </c>
      <c r="L235">
        <v>25.978297439999999</v>
      </c>
      <c r="M235">
        <v>85.528109630000003</v>
      </c>
      <c r="N235">
        <v>10.69005698</v>
      </c>
      <c r="O235">
        <v>3.58408039</v>
      </c>
      <c r="P235">
        <v>0.19775300060000001</v>
      </c>
      <c r="Q235">
        <v>5</v>
      </c>
      <c r="R235">
        <v>0.53839992999999997</v>
      </c>
      <c r="S235">
        <v>0.56740698600000028</v>
      </c>
      <c r="T235">
        <v>0.31400112400000069</v>
      </c>
      <c r="U235">
        <f>ABS(Sheet1[[#This Row],[ARC_r]]-Sheet1[[#This Row],[ARC_u]])</f>
        <v>0.25340586199999959</v>
      </c>
      <c r="V235">
        <f>ROUND(Sheet1[[#This Row],[wat_bas_n]],0)</f>
        <v>75</v>
      </c>
      <c r="W235">
        <f>ROUND(Sheet1[[#This Row],[wat_bas_r]],0)</f>
        <v>64</v>
      </c>
      <c r="X235">
        <f>ROUND(Sheet1[[#This Row],[wat_bas_u]],0)</f>
        <v>86</v>
      </c>
      <c r="Y235" s="1" t="str">
        <f t="shared" si="7"/>
        <v>not full access</v>
      </c>
      <c r="Z235" s="1" t="str">
        <f t="shared" si="8"/>
        <v>not full access</v>
      </c>
      <c r="AA235" s="1" t="str">
        <f t="shared" si="9"/>
        <v>not full access</v>
      </c>
    </row>
    <row r="236" spans="1:27" hidden="1" x14ac:dyDescent="0.25">
      <c r="A236" s="1" t="s">
        <v>71</v>
      </c>
      <c r="B236">
        <v>2015</v>
      </c>
      <c r="C236">
        <v>6418.3149409999996</v>
      </c>
      <c r="D236">
        <v>79.270004270000001</v>
      </c>
      <c r="E236">
        <v>97.281615160000001</v>
      </c>
      <c r="F236">
        <v>0</v>
      </c>
      <c r="G236">
        <v>2.7183848410000002</v>
      </c>
      <c r="H236">
        <v>0</v>
      </c>
      <c r="U236">
        <f>ABS(Sheet1[[#This Row],[ARC_r]]-Sheet1[[#This Row],[ARC_u]])</f>
        <v>0</v>
      </c>
      <c r="V236">
        <f>ROUND(Sheet1[[#This Row],[wat_bas_n]],0)</f>
        <v>97</v>
      </c>
      <c r="W236">
        <f>ROUND(Sheet1[[#This Row],[wat_bas_r]],0)</f>
        <v>0</v>
      </c>
      <c r="X236">
        <f>ROUND(Sheet1[[#This Row],[wat_bas_u]],0)</f>
        <v>0</v>
      </c>
      <c r="Y236" s="1" t="str">
        <f t="shared" si="7"/>
        <v>not full access</v>
      </c>
      <c r="Z236" s="1" t="str">
        <f t="shared" si="8"/>
        <v>not full access</v>
      </c>
      <c r="AA236" s="1" t="str">
        <f t="shared" si="9"/>
        <v>not full access</v>
      </c>
    </row>
    <row r="237" spans="1:27" hidden="1" x14ac:dyDescent="0.25">
      <c r="A237" s="1" t="s">
        <v>71</v>
      </c>
      <c r="B237">
        <v>2020</v>
      </c>
      <c r="C237">
        <v>6871.2871089999999</v>
      </c>
      <c r="D237">
        <v>80.691001889999995</v>
      </c>
      <c r="E237">
        <v>99.891523800000002</v>
      </c>
      <c r="F237">
        <v>0</v>
      </c>
      <c r="G237">
        <v>0.1084762012</v>
      </c>
      <c r="H237">
        <v>0</v>
      </c>
      <c r="Q237">
        <v>5</v>
      </c>
      <c r="R237">
        <v>0.52198172800000009</v>
      </c>
      <c r="U237">
        <f>ABS(Sheet1[[#This Row],[ARC_r]]-Sheet1[[#This Row],[ARC_u]])</f>
        <v>0</v>
      </c>
      <c r="V237">
        <f>ROUND(Sheet1[[#This Row],[wat_bas_n]],0)</f>
        <v>100</v>
      </c>
      <c r="W237">
        <f>ROUND(Sheet1[[#This Row],[wat_bas_r]],0)</f>
        <v>0</v>
      </c>
      <c r="X237">
        <f>ROUND(Sheet1[[#This Row],[wat_bas_u]],0)</f>
        <v>0</v>
      </c>
      <c r="Y237" s="1" t="str">
        <f t="shared" si="7"/>
        <v>not full access</v>
      </c>
      <c r="Z237" s="1" t="str">
        <f t="shared" si="8"/>
        <v>not full access</v>
      </c>
      <c r="AA237" s="1" t="str">
        <f t="shared" si="9"/>
        <v>not full access</v>
      </c>
    </row>
    <row r="238" spans="1:27" x14ac:dyDescent="0.25">
      <c r="A238" s="1" t="s">
        <v>36</v>
      </c>
      <c r="B238">
        <v>2015</v>
      </c>
      <c r="C238">
        <v>37.465000150000002</v>
      </c>
      <c r="D238">
        <v>14.303000450000001</v>
      </c>
      <c r="E238">
        <v>100</v>
      </c>
      <c r="F238">
        <v>0</v>
      </c>
      <c r="G238">
        <v>0</v>
      </c>
      <c r="H238">
        <v>0</v>
      </c>
      <c r="U238">
        <f>ABS(Sheet1[[#This Row],[ARC_r]]-Sheet1[[#This Row],[ARC_u]])</f>
        <v>0</v>
      </c>
      <c r="V238">
        <f>ROUND(Sheet1[[#This Row],[wat_bas_n]],0)</f>
        <v>100</v>
      </c>
      <c r="W238">
        <f>ROUND(Sheet1[[#This Row],[wat_bas_r]],0)</f>
        <v>0</v>
      </c>
      <c r="X238">
        <f>ROUND(Sheet1[[#This Row],[wat_bas_u]],0)</f>
        <v>0</v>
      </c>
      <c r="Y238" s="1" t="str">
        <f t="shared" si="7"/>
        <v>full access</v>
      </c>
      <c r="Z238" s="1" t="str">
        <f t="shared" si="8"/>
        <v>not full access</v>
      </c>
      <c r="AA238" s="1" t="str">
        <f t="shared" si="9"/>
        <v>not full access</v>
      </c>
    </row>
    <row r="239" spans="1:27" x14ac:dyDescent="0.25">
      <c r="A239" s="1" t="s">
        <v>36</v>
      </c>
      <c r="B239">
        <v>2020</v>
      </c>
      <c r="C239">
        <v>38.137001040000001</v>
      </c>
      <c r="D239">
        <v>14.416000370000001</v>
      </c>
      <c r="E239">
        <v>100</v>
      </c>
      <c r="F239">
        <v>0</v>
      </c>
      <c r="G239">
        <v>0</v>
      </c>
      <c r="H239">
        <v>0</v>
      </c>
      <c r="Q239">
        <v>5</v>
      </c>
      <c r="R239">
        <v>0</v>
      </c>
      <c r="U239">
        <f>ABS(Sheet1[[#This Row],[ARC_r]]-Sheet1[[#This Row],[ARC_u]])</f>
        <v>0</v>
      </c>
      <c r="V239">
        <f>ROUND(Sheet1[[#This Row],[wat_bas_n]],0)</f>
        <v>100</v>
      </c>
      <c r="W239">
        <f>ROUND(Sheet1[[#This Row],[wat_bas_r]],0)</f>
        <v>0</v>
      </c>
      <c r="X239">
        <f>ROUND(Sheet1[[#This Row],[wat_bas_u]],0)</f>
        <v>0</v>
      </c>
      <c r="Y239" s="1" t="str">
        <f t="shared" si="7"/>
        <v>full access</v>
      </c>
      <c r="Z239" s="1" t="str">
        <f t="shared" si="8"/>
        <v>not full access</v>
      </c>
      <c r="AA239" s="1" t="str">
        <f t="shared" si="9"/>
        <v>not full access</v>
      </c>
    </row>
    <row r="240" spans="1:27" hidden="1" x14ac:dyDescent="0.25">
      <c r="A240" s="1" t="s">
        <v>115</v>
      </c>
      <c r="B240">
        <v>2015</v>
      </c>
      <c r="C240">
        <v>2931.8720699999999</v>
      </c>
      <c r="D240">
        <v>67.229995729999999</v>
      </c>
      <c r="E240">
        <v>96.604138579999997</v>
      </c>
      <c r="F240">
        <v>0</v>
      </c>
      <c r="G240">
        <v>3.3958614219999999</v>
      </c>
      <c r="H240">
        <v>0</v>
      </c>
      <c r="I240">
        <v>90.718484410000002</v>
      </c>
      <c r="J240">
        <v>0</v>
      </c>
      <c r="K240">
        <v>9.2815155889999996</v>
      </c>
      <c r="L240">
        <v>0</v>
      </c>
      <c r="M240">
        <v>99.472990350000003</v>
      </c>
      <c r="N240">
        <v>0</v>
      </c>
      <c r="O240">
        <v>0.5270096501</v>
      </c>
      <c r="P240">
        <v>0</v>
      </c>
      <c r="U240">
        <f>ABS(Sheet1[[#This Row],[ARC_r]]-Sheet1[[#This Row],[ARC_u]])</f>
        <v>0</v>
      </c>
      <c r="V240">
        <f>ROUND(Sheet1[[#This Row],[wat_bas_n]],0)</f>
        <v>97</v>
      </c>
      <c r="W240">
        <f>ROUND(Sheet1[[#This Row],[wat_bas_r]],0)</f>
        <v>91</v>
      </c>
      <c r="X240">
        <f>ROUND(Sheet1[[#This Row],[wat_bas_u]],0)</f>
        <v>99</v>
      </c>
      <c r="Y240" s="1" t="str">
        <f t="shared" si="7"/>
        <v>not full access</v>
      </c>
      <c r="Z240" s="1" t="str">
        <f t="shared" si="8"/>
        <v>not full access</v>
      </c>
      <c r="AA240" s="1" t="str">
        <f t="shared" si="9"/>
        <v>full access</v>
      </c>
    </row>
    <row r="241" spans="1:27" hidden="1" x14ac:dyDescent="0.25">
      <c r="A241" s="1" t="s">
        <v>115</v>
      </c>
      <c r="B241">
        <v>2020</v>
      </c>
      <c r="C241">
        <v>2722.2910160000001</v>
      </c>
      <c r="D241">
        <v>68.045997619999994</v>
      </c>
      <c r="E241">
        <v>98.013347240000002</v>
      </c>
      <c r="F241">
        <v>0</v>
      </c>
      <c r="G241">
        <v>1.9866527599999999</v>
      </c>
      <c r="H241">
        <v>0</v>
      </c>
      <c r="I241">
        <v>93.78278023</v>
      </c>
      <c r="J241">
        <v>0</v>
      </c>
      <c r="K241">
        <v>6.2172197709999999</v>
      </c>
      <c r="L241">
        <v>0</v>
      </c>
      <c r="M241">
        <v>100</v>
      </c>
      <c r="N241">
        <v>0</v>
      </c>
      <c r="O241">
        <v>0</v>
      </c>
      <c r="P241">
        <v>0</v>
      </c>
      <c r="Q241">
        <v>5</v>
      </c>
      <c r="R241">
        <v>0.2818417320000009</v>
      </c>
      <c r="S241">
        <v>0.61285916399999962</v>
      </c>
      <c r="T241">
        <v>0.1054019299999993</v>
      </c>
      <c r="U241">
        <f>ABS(Sheet1[[#This Row],[ARC_r]]-Sheet1[[#This Row],[ARC_u]])</f>
        <v>0.50745723400000031</v>
      </c>
      <c r="V241">
        <f>ROUND(Sheet1[[#This Row],[wat_bas_n]],0)</f>
        <v>98</v>
      </c>
      <c r="W241">
        <f>ROUND(Sheet1[[#This Row],[wat_bas_r]],0)</f>
        <v>94</v>
      </c>
      <c r="X241">
        <f>ROUND(Sheet1[[#This Row],[wat_bas_u]],0)</f>
        <v>100</v>
      </c>
      <c r="Y241" s="1" t="str">
        <f t="shared" si="7"/>
        <v>not full access</v>
      </c>
      <c r="Z241" s="1" t="str">
        <f t="shared" si="8"/>
        <v>not full access</v>
      </c>
      <c r="AA241" s="1" t="str">
        <f t="shared" si="9"/>
        <v>full access</v>
      </c>
    </row>
    <row r="242" spans="1:27" x14ac:dyDescent="0.25">
      <c r="A242" s="1" t="s">
        <v>66</v>
      </c>
      <c r="B242">
        <v>2015</v>
      </c>
      <c r="C242">
        <v>566.74102779999998</v>
      </c>
      <c r="D242">
        <v>90.179000849999994</v>
      </c>
      <c r="E242">
        <v>99.925170660000006</v>
      </c>
      <c r="F242">
        <v>0</v>
      </c>
      <c r="G242">
        <v>7.4829340019999996E-2</v>
      </c>
      <c r="H242">
        <v>0</v>
      </c>
      <c r="I242">
        <v>99.238095240000007</v>
      </c>
      <c r="J242">
        <v>0</v>
      </c>
      <c r="K242">
        <v>0.7619047619</v>
      </c>
      <c r="L242">
        <v>0</v>
      </c>
      <c r="M242">
        <v>100</v>
      </c>
      <c r="N242">
        <v>0</v>
      </c>
      <c r="O242">
        <v>0</v>
      </c>
      <c r="P242">
        <v>0</v>
      </c>
      <c r="U242">
        <f>ABS(Sheet1[[#This Row],[ARC_r]]-Sheet1[[#This Row],[ARC_u]])</f>
        <v>0</v>
      </c>
      <c r="V242">
        <f>ROUND(Sheet1[[#This Row],[wat_bas_n]],0)</f>
        <v>100</v>
      </c>
      <c r="W242">
        <f>ROUND(Sheet1[[#This Row],[wat_bas_r]],0)</f>
        <v>99</v>
      </c>
      <c r="X242">
        <f>ROUND(Sheet1[[#This Row],[wat_bas_u]],0)</f>
        <v>100</v>
      </c>
      <c r="Y242" s="1" t="str">
        <f t="shared" si="7"/>
        <v>full access</v>
      </c>
      <c r="Z242" s="1" t="str">
        <f t="shared" si="8"/>
        <v>not full access</v>
      </c>
      <c r="AA242" s="1" t="str">
        <f t="shared" si="9"/>
        <v>full access</v>
      </c>
    </row>
    <row r="243" spans="1:27" x14ac:dyDescent="0.25">
      <c r="A243" s="1" t="s">
        <v>66</v>
      </c>
      <c r="B243">
        <v>2020</v>
      </c>
      <c r="C243">
        <v>625.97601320000001</v>
      </c>
      <c r="D243">
        <v>91.452995299999998</v>
      </c>
      <c r="E243">
        <v>99.879932539999999</v>
      </c>
      <c r="F243">
        <v>0</v>
      </c>
      <c r="G243">
        <v>0.1200674649</v>
      </c>
      <c r="H243">
        <v>0</v>
      </c>
      <c r="I243">
        <v>98.595238100000003</v>
      </c>
      <c r="J243">
        <v>0</v>
      </c>
      <c r="K243">
        <v>1.404761905</v>
      </c>
      <c r="L243">
        <v>0</v>
      </c>
      <c r="M243">
        <v>100</v>
      </c>
      <c r="N243">
        <v>0</v>
      </c>
      <c r="O243">
        <v>0</v>
      </c>
      <c r="P243">
        <v>0</v>
      </c>
      <c r="Q243">
        <v>5</v>
      </c>
      <c r="R243">
        <v>-9.0476240000015203E-3</v>
      </c>
      <c r="S243">
        <v>-0.12857142800000079</v>
      </c>
      <c r="T243">
        <v>0</v>
      </c>
      <c r="U243">
        <f>ABS(Sheet1[[#This Row],[ARC_r]]-Sheet1[[#This Row],[ARC_u]])</f>
        <v>0.12857142800000079</v>
      </c>
      <c r="V243">
        <f>ROUND(Sheet1[[#This Row],[wat_bas_n]],0)</f>
        <v>100</v>
      </c>
      <c r="W243">
        <f>ROUND(Sheet1[[#This Row],[wat_bas_r]],0)</f>
        <v>99</v>
      </c>
      <c r="X243">
        <f>ROUND(Sheet1[[#This Row],[wat_bas_u]],0)</f>
        <v>100</v>
      </c>
      <c r="Y243" s="1" t="str">
        <f t="shared" si="7"/>
        <v>full access</v>
      </c>
      <c r="Z243" s="1" t="str">
        <f t="shared" si="8"/>
        <v>not full access</v>
      </c>
      <c r="AA243" s="1" t="str">
        <f t="shared" si="9"/>
        <v>full access</v>
      </c>
    </row>
    <row r="244" spans="1:27" hidden="1" x14ac:dyDescent="0.25">
      <c r="A244" s="1" t="s">
        <v>237</v>
      </c>
      <c r="B244">
        <v>2015</v>
      </c>
      <c r="C244">
        <v>24234.08008</v>
      </c>
      <c r="D244">
        <v>35.192996979999997</v>
      </c>
      <c r="E244">
        <v>48.891773540000003</v>
      </c>
      <c r="F244">
        <v>2.6771603800000001</v>
      </c>
      <c r="G244">
        <v>30.406736510000002</v>
      </c>
      <c r="H244">
        <v>18.024329569999999</v>
      </c>
      <c r="I244">
        <v>33.144577730000002</v>
      </c>
      <c r="J244">
        <v>1.743479446</v>
      </c>
      <c r="K244">
        <v>39.697999690000003</v>
      </c>
      <c r="L244">
        <v>25.41394313</v>
      </c>
      <c r="M244">
        <v>77.889830720000006</v>
      </c>
      <c r="N244">
        <v>4.3965098730000003</v>
      </c>
      <c r="O244">
        <v>13.29711369</v>
      </c>
      <c r="P244">
        <v>4.4165457190000001</v>
      </c>
      <c r="U244">
        <f>ABS(Sheet1[[#This Row],[ARC_r]]-Sheet1[[#This Row],[ARC_u]])</f>
        <v>0</v>
      </c>
      <c r="V244">
        <f>ROUND(Sheet1[[#This Row],[wat_bas_n]],0)</f>
        <v>49</v>
      </c>
      <c r="W244">
        <f>ROUND(Sheet1[[#This Row],[wat_bas_r]],0)</f>
        <v>33</v>
      </c>
      <c r="X244">
        <f>ROUND(Sheet1[[#This Row],[wat_bas_u]],0)</f>
        <v>78</v>
      </c>
      <c r="Y244" s="1" t="str">
        <f t="shared" si="7"/>
        <v>not full access</v>
      </c>
      <c r="Z244" s="1" t="str">
        <f t="shared" si="8"/>
        <v>not full access</v>
      </c>
      <c r="AA244" s="1" t="str">
        <f t="shared" si="9"/>
        <v>not full access</v>
      </c>
    </row>
    <row r="245" spans="1:27" hidden="1" x14ac:dyDescent="0.25">
      <c r="A245" s="1" t="s">
        <v>237</v>
      </c>
      <c r="B245">
        <v>2020</v>
      </c>
      <c r="C245">
        <v>27691.019530000001</v>
      </c>
      <c r="D245">
        <v>38.534000399999996</v>
      </c>
      <c r="E245">
        <v>53.385884910000001</v>
      </c>
      <c r="F245">
        <v>2.7179729799999999</v>
      </c>
      <c r="G245">
        <v>32.311459669999998</v>
      </c>
      <c r="H245">
        <v>11.58468244</v>
      </c>
      <c r="I245">
        <v>36.406420279999999</v>
      </c>
      <c r="J245">
        <v>1.601776163</v>
      </c>
      <c r="K245">
        <v>43.953893450000002</v>
      </c>
      <c r="L245">
        <v>18.037910109999999</v>
      </c>
      <c r="M245">
        <v>80.470006940000005</v>
      </c>
      <c r="N245">
        <v>4.4984302979999997</v>
      </c>
      <c r="O245">
        <v>13.74049434</v>
      </c>
      <c r="P245">
        <v>1.291068417</v>
      </c>
      <c r="Q245">
        <v>5</v>
      </c>
      <c r="R245">
        <v>0.89882227399999981</v>
      </c>
      <c r="S245">
        <v>0.6523685099999994</v>
      </c>
      <c r="T245">
        <v>0.51603524399999967</v>
      </c>
      <c r="U245">
        <f>ABS(Sheet1[[#This Row],[ARC_r]]-Sheet1[[#This Row],[ARC_u]])</f>
        <v>0.13633326599999973</v>
      </c>
      <c r="V245">
        <f>ROUND(Sheet1[[#This Row],[wat_bas_n]],0)</f>
        <v>53</v>
      </c>
      <c r="W245">
        <f>ROUND(Sheet1[[#This Row],[wat_bas_r]],0)</f>
        <v>36</v>
      </c>
      <c r="X245">
        <f>ROUND(Sheet1[[#This Row],[wat_bas_u]],0)</f>
        <v>80</v>
      </c>
      <c r="Y245" s="1" t="str">
        <f t="shared" si="7"/>
        <v>not full access</v>
      </c>
      <c r="Z245" s="1" t="str">
        <f t="shared" si="8"/>
        <v>not full access</v>
      </c>
      <c r="AA245" s="1" t="str">
        <f t="shared" si="9"/>
        <v>not full access</v>
      </c>
    </row>
    <row r="246" spans="1:27" hidden="1" x14ac:dyDescent="0.25">
      <c r="A246" s="1" t="s">
        <v>215</v>
      </c>
      <c r="B246">
        <v>2015</v>
      </c>
      <c r="C246">
        <v>16745.304690000001</v>
      </c>
      <c r="D246">
        <v>16.312999730000001</v>
      </c>
      <c r="E246">
        <v>66.154959140000003</v>
      </c>
      <c r="F246">
        <v>19.716038309999998</v>
      </c>
      <c r="G246">
        <v>10.55451427</v>
      </c>
      <c r="H246">
        <v>3.5744882769999999</v>
      </c>
      <c r="I246">
        <v>62.240608639999998</v>
      </c>
      <c r="J246">
        <v>21.69810966</v>
      </c>
      <c r="K246">
        <v>11.875220280000001</v>
      </c>
      <c r="L246">
        <v>4.186061413</v>
      </c>
      <c r="M246">
        <v>86.235879850000003</v>
      </c>
      <c r="N246">
        <v>9.5478494880000007</v>
      </c>
      <c r="O246">
        <v>3.7792023349999999</v>
      </c>
      <c r="P246">
        <v>0.43706832449999999</v>
      </c>
      <c r="U246">
        <f>ABS(Sheet1[[#This Row],[ARC_r]]-Sheet1[[#This Row],[ARC_u]])</f>
        <v>0</v>
      </c>
      <c r="V246">
        <f>ROUND(Sheet1[[#This Row],[wat_bas_n]],0)</f>
        <v>66</v>
      </c>
      <c r="W246">
        <f>ROUND(Sheet1[[#This Row],[wat_bas_r]],0)</f>
        <v>62</v>
      </c>
      <c r="X246">
        <f>ROUND(Sheet1[[#This Row],[wat_bas_u]],0)</f>
        <v>86</v>
      </c>
      <c r="Y246" s="1" t="str">
        <f t="shared" si="7"/>
        <v>not full access</v>
      </c>
      <c r="Z246" s="1" t="str">
        <f t="shared" si="8"/>
        <v>not full access</v>
      </c>
      <c r="AA246" s="1" t="str">
        <f t="shared" si="9"/>
        <v>not full access</v>
      </c>
    </row>
    <row r="247" spans="1:27" hidden="1" x14ac:dyDescent="0.25">
      <c r="A247" s="1" t="s">
        <v>215</v>
      </c>
      <c r="B247">
        <v>2020</v>
      </c>
      <c r="C247">
        <v>19129.95508</v>
      </c>
      <c r="D247">
        <v>17.42700005</v>
      </c>
      <c r="E247">
        <v>70.047728509999999</v>
      </c>
      <c r="F247">
        <v>21.95081497</v>
      </c>
      <c r="G247">
        <v>5.7763044069999996</v>
      </c>
      <c r="H247">
        <v>2.2251521099999998</v>
      </c>
      <c r="I247">
        <v>66.585043760000005</v>
      </c>
      <c r="J247">
        <v>24.414158029999999</v>
      </c>
      <c r="K247">
        <v>6.3838741460000001</v>
      </c>
      <c r="L247">
        <v>2.6169240660000002</v>
      </c>
      <c r="M247">
        <v>86.454698210000004</v>
      </c>
      <c r="N247">
        <v>10.278948249999999</v>
      </c>
      <c r="O247">
        <v>2.8975039960000002</v>
      </c>
      <c r="P247">
        <v>0.36884954460000002</v>
      </c>
      <c r="Q247">
        <v>5</v>
      </c>
      <c r="R247">
        <v>0.77855387399999931</v>
      </c>
      <c r="S247">
        <v>0.8688870240000014</v>
      </c>
      <c r="T247">
        <v>4.3763672000000052E-2</v>
      </c>
      <c r="U247">
        <f>ABS(Sheet1[[#This Row],[ARC_r]]-Sheet1[[#This Row],[ARC_u]])</f>
        <v>0.82512335200000131</v>
      </c>
      <c r="V247">
        <f>ROUND(Sheet1[[#This Row],[wat_bas_n]],0)</f>
        <v>70</v>
      </c>
      <c r="W247">
        <f>ROUND(Sheet1[[#This Row],[wat_bas_r]],0)</f>
        <v>67</v>
      </c>
      <c r="X247">
        <f>ROUND(Sheet1[[#This Row],[wat_bas_u]],0)</f>
        <v>86</v>
      </c>
      <c r="Y247" s="1" t="str">
        <f t="shared" si="7"/>
        <v>not full access</v>
      </c>
      <c r="Z247" s="1" t="str">
        <f t="shared" si="8"/>
        <v>not full access</v>
      </c>
      <c r="AA247" s="1" t="str">
        <f t="shared" si="9"/>
        <v>not full access</v>
      </c>
    </row>
    <row r="248" spans="1:27" hidden="1" x14ac:dyDescent="0.25">
      <c r="A248" s="1" t="s">
        <v>131</v>
      </c>
      <c r="B248">
        <v>2015</v>
      </c>
      <c r="C248">
        <v>30270.964840000001</v>
      </c>
      <c r="D248">
        <v>74.212997439999995</v>
      </c>
      <c r="E248">
        <v>97.052202559999998</v>
      </c>
      <c r="F248">
        <v>0.36300550040000001</v>
      </c>
      <c r="G248">
        <v>2.584791939</v>
      </c>
      <c r="I248">
        <v>90.918309219999998</v>
      </c>
      <c r="J248">
        <v>0.54880267140000005</v>
      </c>
      <c r="K248">
        <v>8.5328881049999996</v>
      </c>
      <c r="M248">
        <v>99.183566049999996</v>
      </c>
      <c r="N248">
        <v>0.29844603629999999</v>
      </c>
      <c r="O248">
        <v>0.427987911</v>
      </c>
      <c r="P248">
        <v>0.09</v>
      </c>
      <c r="U248">
        <f>ABS(Sheet1[[#This Row],[ARC_r]]-Sheet1[[#This Row],[ARC_u]])</f>
        <v>0</v>
      </c>
      <c r="V248">
        <f>ROUND(Sheet1[[#This Row],[wat_bas_n]],0)</f>
        <v>97</v>
      </c>
      <c r="W248">
        <f>ROUND(Sheet1[[#This Row],[wat_bas_r]],0)</f>
        <v>91</v>
      </c>
      <c r="X248">
        <f>ROUND(Sheet1[[#This Row],[wat_bas_u]],0)</f>
        <v>99</v>
      </c>
      <c r="Y248" s="1" t="str">
        <f t="shared" si="7"/>
        <v>not full access</v>
      </c>
      <c r="Z248" s="1" t="str">
        <f t="shared" si="8"/>
        <v>not full access</v>
      </c>
      <c r="AA248" s="1" t="str">
        <f t="shared" si="9"/>
        <v>full access</v>
      </c>
    </row>
    <row r="249" spans="1:27" hidden="1" x14ac:dyDescent="0.25">
      <c r="A249" s="1" t="s">
        <v>131</v>
      </c>
      <c r="B249">
        <v>2020</v>
      </c>
      <c r="C249">
        <v>32365.998049999998</v>
      </c>
      <c r="D249">
        <v>77.159996030000002</v>
      </c>
      <c r="E249">
        <v>97.09990707</v>
      </c>
      <c r="F249">
        <v>0.35453968650000001</v>
      </c>
      <c r="G249">
        <v>2.5455532409999999</v>
      </c>
      <c r="I249">
        <v>90.197448120000004</v>
      </c>
      <c r="J249">
        <v>0.54445139710000001</v>
      </c>
      <c r="K249">
        <v>9.2581004779999994</v>
      </c>
      <c r="M249">
        <v>99.14309591</v>
      </c>
      <c r="N249">
        <v>0.29832426049999999</v>
      </c>
      <c r="O249">
        <v>0.46857983190000002</v>
      </c>
      <c r="P249">
        <v>0.09</v>
      </c>
      <c r="Q249">
        <v>5</v>
      </c>
      <c r="R249">
        <v>9.5409020000005278E-3</v>
      </c>
      <c r="S249">
        <v>-0.14417221999999871</v>
      </c>
      <c r="T249">
        <v>-8.0940279999992988E-3</v>
      </c>
      <c r="U249">
        <f>ABS(Sheet1[[#This Row],[ARC_r]]-Sheet1[[#This Row],[ARC_u]])</f>
        <v>0.1360781919999994</v>
      </c>
      <c r="V249">
        <f>ROUND(Sheet1[[#This Row],[wat_bas_n]],0)</f>
        <v>97</v>
      </c>
      <c r="W249">
        <f>ROUND(Sheet1[[#This Row],[wat_bas_r]],0)</f>
        <v>90</v>
      </c>
      <c r="X249">
        <f>ROUND(Sheet1[[#This Row],[wat_bas_u]],0)</f>
        <v>99</v>
      </c>
      <c r="Y249" s="1" t="str">
        <f t="shared" si="7"/>
        <v>not full access</v>
      </c>
      <c r="Z249" s="1" t="str">
        <f t="shared" si="8"/>
        <v>not full access</v>
      </c>
      <c r="AA249" s="1" t="str">
        <f t="shared" si="9"/>
        <v>full access</v>
      </c>
    </row>
    <row r="250" spans="1:27" hidden="1" x14ac:dyDescent="0.25">
      <c r="A250" s="1" t="s">
        <v>90</v>
      </c>
      <c r="B250">
        <v>2015</v>
      </c>
      <c r="C250">
        <v>454.91400149999998</v>
      </c>
      <c r="D250">
        <v>38.528999329999998</v>
      </c>
      <c r="E250">
        <v>98.814244290000005</v>
      </c>
      <c r="F250">
        <v>0.11215787989999999</v>
      </c>
      <c r="G250">
        <v>1.0735978349999999</v>
      </c>
      <c r="H250">
        <v>0</v>
      </c>
      <c r="I250">
        <v>98.879699270000003</v>
      </c>
      <c r="J250">
        <v>0.16698528160000001</v>
      </c>
      <c r="K250">
        <v>0.95331545299999998</v>
      </c>
      <c r="L250">
        <v>0</v>
      </c>
      <c r="M250">
        <v>98.709805689999996</v>
      </c>
      <c r="N250">
        <v>2.4683622329999998E-2</v>
      </c>
      <c r="O250">
        <v>1.265510688</v>
      </c>
      <c r="P250">
        <v>0</v>
      </c>
      <c r="U250">
        <f>ABS(Sheet1[[#This Row],[ARC_r]]-Sheet1[[#This Row],[ARC_u]])</f>
        <v>0</v>
      </c>
      <c r="V250">
        <f>ROUND(Sheet1[[#This Row],[wat_bas_n]],0)</f>
        <v>99</v>
      </c>
      <c r="W250">
        <f>ROUND(Sheet1[[#This Row],[wat_bas_r]],0)</f>
        <v>99</v>
      </c>
      <c r="X250">
        <f>ROUND(Sheet1[[#This Row],[wat_bas_u]],0)</f>
        <v>99</v>
      </c>
      <c r="Y250" s="1" t="str">
        <f t="shared" si="7"/>
        <v>not full access</v>
      </c>
      <c r="Z250" s="1" t="str">
        <f t="shared" si="8"/>
        <v>not full access</v>
      </c>
      <c r="AA250" s="1" t="str">
        <f t="shared" si="9"/>
        <v>not full access</v>
      </c>
    </row>
    <row r="251" spans="1:27" hidden="1" x14ac:dyDescent="0.25">
      <c r="A251" s="1" t="s">
        <v>90</v>
      </c>
      <c r="B251">
        <v>2020</v>
      </c>
      <c r="C251">
        <v>540.54199219999998</v>
      </c>
      <c r="D251">
        <v>40.668998719999998</v>
      </c>
      <c r="E251">
        <v>99.544438600000007</v>
      </c>
      <c r="F251">
        <v>4.8050691299999997E-2</v>
      </c>
      <c r="G251">
        <v>0.40751070499999997</v>
      </c>
      <c r="H251">
        <v>0</v>
      </c>
      <c r="I251">
        <v>99.919012499999994</v>
      </c>
      <c r="J251">
        <v>8.0987500000000004E-2</v>
      </c>
      <c r="K251">
        <v>0</v>
      </c>
      <c r="L251">
        <v>0</v>
      </c>
      <c r="M251">
        <v>98.997988930000005</v>
      </c>
      <c r="N251">
        <v>0</v>
      </c>
      <c r="O251">
        <v>1.0020110689999999</v>
      </c>
      <c r="P251">
        <v>0</v>
      </c>
      <c r="Q251">
        <v>5</v>
      </c>
      <c r="R251">
        <v>0.1460388620000003</v>
      </c>
      <c r="S251">
        <v>0.2078626459999981</v>
      </c>
      <c r="T251">
        <v>5.7636648000001858E-2</v>
      </c>
      <c r="U251">
        <f>ABS(Sheet1[[#This Row],[ARC_r]]-Sheet1[[#This Row],[ARC_u]])</f>
        <v>0.15022599799999625</v>
      </c>
      <c r="V251">
        <f>ROUND(Sheet1[[#This Row],[wat_bas_n]],0)</f>
        <v>100</v>
      </c>
      <c r="W251">
        <f>ROUND(Sheet1[[#This Row],[wat_bas_r]],0)</f>
        <v>100</v>
      </c>
      <c r="X251">
        <f>ROUND(Sheet1[[#This Row],[wat_bas_u]],0)</f>
        <v>99</v>
      </c>
      <c r="Y251" s="1" t="str">
        <f t="shared" si="7"/>
        <v>not full access</v>
      </c>
      <c r="Z251" s="1" t="str">
        <f t="shared" si="8"/>
        <v>not full access</v>
      </c>
      <c r="AA251" s="1" t="str">
        <f t="shared" si="9"/>
        <v>not full access</v>
      </c>
    </row>
    <row r="252" spans="1:27" hidden="1" x14ac:dyDescent="0.25">
      <c r="A252" s="1" t="s">
        <v>198</v>
      </c>
      <c r="B252">
        <v>2015</v>
      </c>
      <c r="C252">
        <v>17438.771479999999</v>
      </c>
      <c r="D252">
        <v>39.990997309999997</v>
      </c>
      <c r="E252">
        <v>74.399512220000005</v>
      </c>
      <c r="F252">
        <v>4.1718464529999997</v>
      </c>
      <c r="G252">
        <v>19.37992934</v>
      </c>
      <c r="H252">
        <v>2.0487119809999998</v>
      </c>
      <c r="I252">
        <v>63.395714030000001</v>
      </c>
      <c r="J252">
        <v>4.4493824149999996</v>
      </c>
      <c r="K252">
        <v>28.94484164</v>
      </c>
      <c r="L252">
        <v>3.2100619199999998</v>
      </c>
      <c r="M252">
        <v>90.911405529999996</v>
      </c>
      <c r="N252">
        <v>3.7553866569999999</v>
      </c>
      <c r="O252">
        <v>5.0271739789999996</v>
      </c>
      <c r="P252">
        <v>0.306033834</v>
      </c>
      <c r="U252">
        <f>ABS(Sheet1[[#This Row],[ARC_r]]-Sheet1[[#This Row],[ARC_u]])</f>
        <v>0</v>
      </c>
      <c r="V252">
        <f>ROUND(Sheet1[[#This Row],[wat_bas_n]],0)</f>
        <v>74</v>
      </c>
      <c r="W252">
        <f>ROUND(Sheet1[[#This Row],[wat_bas_r]],0)</f>
        <v>63</v>
      </c>
      <c r="X252">
        <f>ROUND(Sheet1[[#This Row],[wat_bas_u]],0)</f>
        <v>91</v>
      </c>
      <c r="Y252" s="1" t="str">
        <f t="shared" si="7"/>
        <v>not full access</v>
      </c>
      <c r="Z252" s="1" t="str">
        <f t="shared" si="8"/>
        <v>not full access</v>
      </c>
      <c r="AA252" s="1" t="str">
        <f t="shared" si="9"/>
        <v>not full access</v>
      </c>
    </row>
    <row r="253" spans="1:27" hidden="1" x14ac:dyDescent="0.25">
      <c r="A253" s="1" t="s">
        <v>198</v>
      </c>
      <c r="B253">
        <v>2020</v>
      </c>
      <c r="C253">
        <v>20250.833979999999</v>
      </c>
      <c r="D253">
        <v>43.909004209999999</v>
      </c>
      <c r="E253">
        <v>82.547291029999997</v>
      </c>
      <c r="F253">
        <v>3.8547345270000002</v>
      </c>
      <c r="G253">
        <v>12.246971350000001</v>
      </c>
      <c r="H253">
        <v>1.3510030900000001</v>
      </c>
      <c r="I253">
        <v>72.080895209999994</v>
      </c>
      <c r="J253">
        <v>3.7824122299999998</v>
      </c>
      <c r="K253">
        <v>21.72810084</v>
      </c>
      <c r="L253">
        <v>2.4085917170000002</v>
      </c>
      <c r="M253">
        <v>95.917454750000005</v>
      </c>
      <c r="N253">
        <v>3.947121723</v>
      </c>
      <c r="O253">
        <v>0.13542353139999999</v>
      </c>
      <c r="P253">
        <v>0</v>
      </c>
      <c r="Q253">
        <v>5</v>
      </c>
      <c r="R253">
        <v>1.6295557619999981</v>
      </c>
      <c r="S253">
        <v>1.7370362359999989</v>
      </c>
      <c r="T253">
        <v>1.0012098440000019</v>
      </c>
      <c r="U253">
        <f>ABS(Sheet1[[#This Row],[ARC_r]]-Sheet1[[#This Row],[ARC_u]])</f>
        <v>0.735826391999997</v>
      </c>
      <c r="V253">
        <f>ROUND(Sheet1[[#This Row],[wat_bas_n]],0)</f>
        <v>83</v>
      </c>
      <c r="W253">
        <f>ROUND(Sheet1[[#This Row],[wat_bas_r]],0)</f>
        <v>72</v>
      </c>
      <c r="X253">
        <f>ROUND(Sheet1[[#This Row],[wat_bas_u]],0)</f>
        <v>96</v>
      </c>
      <c r="Y253" s="1" t="str">
        <f t="shared" si="7"/>
        <v>not full access</v>
      </c>
      <c r="Z253" s="1" t="str">
        <f t="shared" si="8"/>
        <v>not full access</v>
      </c>
      <c r="AA253" s="1" t="str">
        <f t="shared" si="9"/>
        <v>not full access</v>
      </c>
    </row>
    <row r="254" spans="1:27" x14ac:dyDescent="0.25">
      <c r="A254" s="1" t="s">
        <v>30</v>
      </c>
      <c r="B254">
        <v>2015</v>
      </c>
      <c r="C254">
        <v>433.55899049999999</v>
      </c>
      <c r="D254">
        <v>94.414001459999994</v>
      </c>
      <c r="E254">
        <v>100</v>
      </c>
      <c r="F254">
        <v>0</v>
      </c>
      <c r="G254">
        <v>0</v>
      </c>
      <c r="H254">
        <v>0</v>
      </c>
      <c r="I254">
        <v>100</v>
      </c>
      <c r="J254">
        <v>0</v>
      </c>
      <c r="K254">
        <v>0</v>
      </c>
      <c r="L254">
        <v>0</v>
      </c>
      <c r="M254">
        <v>100</v>
      </c>
      <c r="N254">
        <v>0</v>
      </c>
      <c r="O254">
        <v>0</v>
      </c>
      <c r="P254">
        <v>0</v>
      </c>
      <c r="U254">
        <f>ABS(Sheet1[[#This Row],[ARC_r]]-Sheet1[[#This Row],[ARC_u]])</f>
        <v>0</v>
      </c>
      <c r="V254">
        <f>ROUND(Sheet1[[#This Row],[wat_bas_n]],0)</f>
        <v>100</v>
      </c>
      <c r="W254">
        <f>ROUND(Sheet1[[#This Row],[wat_bas_r]],0)</f>
        <v>100</v>
      </c>
      <c r="X254">
        <f>ROUND(Sheet1[[#This Row],[wat_bas_u]],0)</f>
        <v>100</v>
      </c>
      <c r="Y254" s="1" t="str">
        <f t="shared" si="7"/>
        <v>full access</v>
      </c>
      <c r="Z254" s="1" t="str">
        <f t="shared" si="8"/>
        <v>full access</v>
      </c>
      <c r="AA254" s="1" t="str">
        <f t="shared" si="9"/>
        <v>full access</v>
      </c>
    </row>
    <row r="255" spans="1:27" x14ac:dyDescent="0.25">
      <c r="A255" s="1" t="s">
        <v>30</v>
      </c>
      <c r="B255">
        <v>2020</v>
      </c>
      <c r="C255">
        <v>441.53900149999998</v>
      </c>
      <c r="D255">
        <v>94.744003300000003</v>
      </c>
      <c r="E255">
        <v>100.0000004</v>
      </c>
      <c r="F255">
        <v>0</v>
      </c>
      <c r="G255">
        <v>0</v>
      </c>
      <c r="H255">
        <v>0</v>
      </c>
      <c r="I255">
        <v>100</v>
      </c>
      <c r="J255">
        <v>0</v>
      </c>
      <c r="K255">
        <v>0</v>
      </c>
      <c r="L255">
        <v>0</v>
      </c>
      <c r="M255">
        <v>100</v>
      </c>
      <c r="N255">
        <v>0</v>
      </c>
      <c r="O255">
        <v>0</v>
      </c>
      <c r="P255">
        <v>0</v>
      </c>
      <c r="Q255">
        <v>5</v>
      </c>
      <c r="R255">
        <v>8.0000000934887789E-8</v>
      </c>
      <c r="S255">
        <v>0</v>
      </c>
      <c r="T255">
        <v>0</v>
      </c>
      <c r="U255">
        <f>ABS(Sheet1[[#This Row],[ARC_r]]-Sheet1[[#This Row],[ARC_u]])</f>
        <v>0</v>
      </c>
      <c r="V255">
        <f>ROUND(Sheet1[[#This Row],[wat_bas_n]],0)</f>
        <v>100</v>
      </c>
      <c r="W255">
        <f>ROUND(Sheet1[[#This Row],[wat_bas_r]],0)</f>
        <v>100</v>
      </c>
      <c r="X255">
        <f>ROUND(Sheet1[[#This Row],[wat_bas_u]],0)</f>
        <v>100</v>
      </c>
      <c r="Y255" s="1" t="str">
        <f t="shared" si="7"/>
        <v>full access</v>
      </c>
      <c r="Z255" s="1" t="str">
        <f t="shared" si="8"/>
        <v>full access</v>
      </c>
      <c r="AA255" s="1" t="str">
        <f t="shared" si="9"/>
        <v>full access</v>
      </c>
    </row>
    <row r="256" spans="1:27" hidden="1" x14ac:dyDescent="0.25">
      <c r="A256" s="1" t="s">
        <v>188</v>
      </c>
      <c r="B256">
        <v>2015</v>
      </c>
      <c r="C256">
        <v>57.444000240000001</v>
      </c>
      <c r="D256">
        <v>75.810997009999994</v>
      </c>
      <c r="E256">
        <v>88.342523619999994</v>
      </c>
      <c r="F256">
        <v>11.18141559</v>
      </c>
      <c r="G256">
        <v>0.47606079179999999</v>
      </c>
      <c r="H256">
        <v>0</v>
      </c>
      <c r="I256">
        <v>94.278360000000006</v>
      </c>
      <c r="J256">
        <v>5.38164</v>
      </c>
      <c r="K256">
        <v>0.34</v>
      </c>
      <c r="L256">
        <v>0</v>
      </c>
      <c r="M256">
        <v>86.448577369999995</v>
      </c>
      <c r="N256">
        <v>13.03194895</v>
      </c>
      <c r="O256">
        <v>0.51947368419999995</v>
      </c>
      <c r="P256">
        <v>0</v>
      </c>
      <c r="U256">
        <f>ABS(Sheet1[[#This Row],[ARC_r]]-Sheet1[[#This Row],[ARC_u]])</f>
        <v>0</v>
      </c>
      <c r="V256">
        <f>ROUND(Sheet1[[#This Row],[wat_bas_n]],0)</f>
        <v>88</v>
      </c>
      <c r="W256">
        <f>ROUND(Sheet1[[#This Row],[wat_bas_r]],0)</f>
        <v>94</v>
      </c>
      <c r="X256">
        <f>ROUND(Sheet1[[#This Row],[wat_bas_u]],0)</f>
        <v>86</v>
      </c>
      <c r="Y256" s="1" t="str">
        <f t="shared" si="7"/>
        <v>not full access</v>
      </c>
      <c r="Z256" s="1" t="str">
        <f t="shared" si="8"/>
        <v>not full access</v>
      </c>
      <c r="AA256" s="1" t="str">
        <f t="shared" si="9"/>
        <v>not full access</v>
      </c>
    </row>
    <row r="257" spans="1:27" hidden="1" x14ac:dyDescent="0.25">
      <c r="A257" s="1" t="s">
        <v>188</v>
      </c>
      <c r="B257">
        <v>2020</v>
      </c>
      <c r="C257">
        <v>59.194000240000001</v>
      </c>
      <c r="D257">
        <v>77.793991090000006</v>
      </c>
      <c r="E257">
        <v>88.572046979999996</v>
      </c>
      <c r="F257">
        <v>11.387979</v>
      </c>
      <c r="G257">
        <v>3.9974025849999997E-2</v>
      </c>
      <c r="H257">
        <v>0</v>
      </c>
      <c r="I257">
        <v>94.429720000000003</v>
      </c>
      <c r="J257">
        <v>5.3902799999999997</v>
      </c>
      <c r="K257">
        <v>0.18</v>
      </c>
      <c r="L257">
        <v>0</v>
      </c>
      <c r="M257">
        <v>86.9</v>
      </c>
      <c r="N257">
        <v>13.1</v>
      </c>
      <c r="O257">
        <v>0</v>
      </c>
      <c r="P257">
        <v>0</v>
      </c>
      <c r="Q257">
        <v>5</v>
      </c>
      <c r="R257">
        <v>4.5904672000000347E-2</v>
      </c>
      <c r="S257">
        <v>3.0271999999999369E-2</v>
      </c>
      <c r="T257">
        <v>9.0284526000002072E-2</v>
      </c>
      <c r="U257">
        <f>ABS(Sheet1[[#This Row],[ARC_r]]-Sheet1[[#This Row],[ARC_u]])</f>
        <v>6.0012526000002703E-2</v>
      </c>
      <c r="V257">
        <f>ROUND(Sheet1[[#This Row],[wat_bas_n]],0)</f>
        <v>89</v>
      </c>
      <c r="W257">
        <f>ROUND(Sheet1[[#This Row],[wat_bas_r]],0)</f>
        <v>94</v>
      </c>
      <c r="X257">
        <f>ROUND(Sheet1[[#This Row],[wat_bas_u]],0)</f>
        <v>87</v>
      </c>
      <c r="Y257" s="1" t="str">
        <f t="shared" si="7"/>
        <v>not full access</v>
      </c>
      <c r="Z257" s="1" t="str">
        <f t="shared" si="8"/>
        <v>not full access</v>
      </c>
      <c r="AA257" s="1" t="str">
        <f t="shared" si="9"/>
        <v>not full access</v>
      </c>
    </row>
    <row r="258" spans="1:27" x14ac:dyDescent="0.25">
      <c r="A258" s="1" t="s">
        <v>76</v>
      </c>
      <c r="B258">
        <v>2015</v>
      </c>
      <c r="C258">
        <v>378.48300169999999</v>
      </c>
      <c r="D258">
        <v>88.981002810000007</v>
      </c>
      <c r="E258">
        <v>99.796030000000002</v>
      </c>
      <c r="F258">
        <v>0</v>
      </c>
      <c r="G258">
        <v>0.20396999539999999</v>
      </c>
      <c r="H258">
        <v>0</v>
      </c>
      <c r="U258">
        <f>ABS(Sheet1[[#This Row],[ARC_r]]-Sheet1[[#This Row],[ARC_u]])</f>
        <v>0</v>
      </c>
      <c r="V258">
        <f>ROUND(Sheet1[[#This Row],[wat_bas_n]],0)</f>
        <v>100</v>
      </c>
      <c r="W258">
        <f>ROUND(Sheet1[[#This Row],[wat_bas_r]],0)</f>
        <v>0</v>
      </c>
      <c r="X258">
        <f>ROUND(Sheet1[[#This Row],[wat_bas_u]],0)</f>
        <v>0</v>
      </c>
      <c r="Y258" s="1" t="str">
        <f t="shared" ref="Y258:Y321" si="10">IF(AND(COUNTIFS($A:$A,A258)&gt;1, COUNTIFS($A:$A,A258,$E:$E,"&gt;99")=COUNTIFS($A:$A,A258)), "full access", "not full access")</f>
        <v>full access</v>
      </c>
      <c r="Z258" s="1" t="str">
        <f t="shared" ref="Z258:Z321" si="11">IF(AND(COUNTIFS($A:$A,A258)&gt;1, COUNTIFS($A:$A,A258,$I:$I,"&gt;99")=COUNTIFS($A:$A,A258)), "full access", "not full access")</f>
        <v>not full access</v>
      </c>
      <c r="AA258" s="1" t="str">
        <f t="shared" ref="AA258:AA321" si="12">IF(AND(COUNTIFS($A:$A,A258)&gt;1, COUNTIFS($A:$A,A258,$M:$M,"&gt;99")=COUNTIFS($A:$A,A258)), "full access", "not full access")</f>
        <v>not full access</v>
      </c>
    </row>
    <row r="259" spans="1:27" x14ac:dyDescent="0.25">
      <c r="A259" s="1" t="s">
        <v>76</v>
      </c>
      <c r="B259">
        <v>2020</v>
      </c>
      <c r="C259">
        <v>375.26501459999997</v>
      </c>
      <c r="D259">
        <v>89.13999939</v>
      </c>
      <c r="E259">
        <v>99.841970779999997</v>
      </c>
      <c r="F259">
        <v>0</v>
      </c>
      <c r="G259">
        <v>0.15802921580000001</v>
      </c>
      <c r="H259">
        <v>0</v>
      </c>
      <c r="Q259">
        <v>5</v>
      </c>
      <c r="R259">
        <v>9.1881559999990262E-3</v>
      </c>
      <c r="U259">
        <f>ABS(Sheet1[[#This Row],[ARC_r]]-Sheet1[[#This Row],[ARC_u]])</f>
        <v>0</v>
      </c>
      <c r="V259">
        <f>ROUND(Sheet1[[#This Row],[wat_bas_n]],0)</f>
        <v>100</v>
      </c>
      <c r="W259">
        <f>ROUND(Sheet1[[#This Row],[wat_bas_r]],0)</f>
        <v>0</v>
      </c>
      <c r="X259">
        <f>ROUND(Sheet1[[#This Row],[wat_bas_u]],0)</f>
        <v>0</v>
      </c>
      <c r="Y259" s="1" t="str">
        <f t="shared" si="10"/>
        <v>full access</v>
      </c>
      <c r="Z259" s="1" t="str">
        <f t="shared" si="11"/>
        <v>not full access</v>
      </c>
      <c r="AA259" s="1" t="str">
        <f t="shared" si="12"/>
        <v>not full access</v>
      </c>
    </row>
    <row r="260" spans="1:27" hidden="1" x14ac:dyDescent="0.25">
      <c r="A260" s="1" t="s">
        <v>211</v>
      </c>
      <c r="B260">
        <v>2015</v>
      </c>
      <c r="C260">
        <v>4046.3039549999999</v>
      </c>
      <c r="D260">
        <v>51.0890007</v>
      </c>
      <c r="E260">
        <v>66.973309400000005</v>
      </c>
      <c r="F260">
        <v>14.811653570000001</v>
      </c>
      <c r="G260">
        <v>17.637023750000001</v>
      </c>
      <c r="H260">
        <v>0.57801328240000005</v>
      </c>
      <c r="I260">
        <v>46.69284218</v>
      </c>
      <c r="J260">
        <v>18.20063085</v>
      </c>
      <c r="K260">
        <v>33.924761500000002</v>
      </c>
      <c r="L260">
        <v>1.1817654639999999</v>
      </c>
      <c r="M260">
        <v>86.389188590000003</v>
      </c>
      <c r="N260">
        <v>11.56715369</v>
      </c>
      <c r="O260">
        <v>2.043657719</v>
      </c>
      <c r="P260">
        <v>0</v>
      </c>
      <c r="U260">
        <f>ABS(Sheet1[[#This Row],[ARC_r]]-Sheet1[[#This Row],[ARC_u]])</f>
        <v>0</v>
      </c>
      <c r="V260">
        <f>ROUND(Sheet1[[#This Row],[wat_bas_n]],0)</f>
        <v>67</v>
      </c>
      <c r="W260">
        <f>ROUND(Sheet1[[#This Row],[wat_bas_r]],0)</f>
        <v>47</v>
      </c>
      <c r="X260">
        <f>ROUND(Sheet1[[#This Row],[wat_bas_u]],0)</f>
        <v>86</v>
      </c>
      <c r="Y260" s="1" t="str">
        <f t="shared" si="10"/>
        <v>not full access</v>
      </c>
      <c r="Z260" s="1" t="str">
        <f t="shared" si="11"/>
        <v>not full access</v>
      </c>
      <c r="AA260" s="1" t="str">
        <f t="shared" si="12"/>
        <v>not full access</v>
      </c>
    </row>
    <row r="261" spans="1:27" hidden="1" x14ac:dyDescent="0.25">
      <c r="A261" s="1" t="s">
        <v>211</v>
      </c>
      <c r="B261">
        <v>2020</v>
      </c>
      <c r="C261">
        <v>4649.6601559999999</v>
      </c>
      <c r="D261">
        <v>55.326995850000003</v>
      </c>
      <c r="E261">
        <v>71.681049229999999</v>
      </c>
      <c r="F261">
        <v>13.476891930000001</v>
      </c>
      <c r="G261">
        <v>14.820326809999999</v>
      </c>
      <c r="H261">
        <v>2.173203433E-2</v>
      </c>
      <c r="I261">
        <v>49.911338899999997</v>
      </c>
      <c r="J261">
        <v>18.49039689</v>
      </c>
      <c r="K261">
        <v>31.549617300000001</v>
      </c>
      <c r="L261">
        <v>4.8646907220000001E-2</v>
      </c>
      <c r="M261">
        <v>89.258694649999995</v>
      </c>
      <c r="N261">
        <v>9.4288080829999998</v>
      </c>
      <c r="O261">
        <v>1.3124972699999999</v>
      </c>
      <c r="P261">
        <v>0</v>
      </c>
      <c r="Q261">
        <v>5</v>
      </c>
      <c r="R261">
        <v>0.94154796599999879</v>
      </c>
      <c r="S261">
        <v>0.64369934399999951</v>
      </c>
      <c r="T261">
        <v>0.57390121199999844</v>
      </c>
      <c r="U261">
        <f>ABS(Sheet1[[#This Row],[ARC_r]]-Sheet1[[#This Row],[ARC_u]])</f>
        <v>6.9798132000001067E-2</v>
      </c>
      <c r="V261">
        <f>ROUND(Sheet1[[#This Row],[wat_bas_n]],0)</f>
        <v>72</v>
      </c>
      <c r="W261">
        <f>ROUND(Sheet1[[#This Row],[wat_bas_r]],0)</f>
        <v>50</v>
      </c>
      <c r="X261">
        <f>ROUND(Sheet1[[#This Row],[wat_bas_u]],0)</f>
        <v>89</v>
      </c>
      <c r="Y261" s="1" t="str">
        <f t="shared" si="10"/>
        <v>not full access</v>
      </c>
      <c r="Z261" s="1" t="str">
        <f t="shared" si="11"/>
        <v>not full access</v>
      </c>
      <c r="AA261" s="1" t="str">
        <f t="shared" si="12"/>
        <v>not full access</v>
      </c>
    </row>
    <row r="262" spans="1:27" x14ac:dyDescent="0.25">
      <c r="A262" s="1" t="s">
        <v>74</v>
      </c>
      <c r="B262">
        <v>2015</v>
      </c>
      <c r="C262">
        <v>1259.4570309999999</v>
      </c>
      <c r="D262">
        <v>41</v>
      </c>
      <c r="E262">
        <v>99.866481820000004</v>
      </c>
      <c r="F262">
        <v>0</v>
      </c>
      <c r="G262">
        <v>0.13351818090000001</v>
      </c>
      <c r="H262">
        <v>0</v>
      </c>
      <c r="I262">
        <v>99.827682339999996</v>
      </c>
      <c r="J262">
        <v>0</v>
      </c>
      <c r="K262">
        <v>0.17231766179999999</v>
      </c>
      <c r="L262">
        <v>0</v>
      </c>
      <c r="M262">
        <v>99.922315220000002</v>
      </c>
      <c r="N262">
        <v>0</v>
      </c>
      <c r="O262">
        <v>7.7684781189999996E-2</v>
      </c>
      <c r="P262">
        <v>0</v>
      </c>
      <c r="U262">
        <f>ABS(Sheet1[[#This Row],[ARC_r]]-Sheet1[[#This Row],[ARC_u]])</f>
        <v>0</v>
      </c>
      <c r="V262">
        <f>ROUND(Sheet1[[#This Row],[wat_bas_n]],0)</f>
        <v>100</v>
      </c>
      <c r="W262">
        <f>ROUND(Sheet1[[#This Row],[wat_bas_r]],0)</f>
        <v>100</v>
      </c>
      <c r="X262">
        <f>ROUND(Sheet1[[#This Row],[wat_bas_u]],0)</f>
        <v>100</v>
      </c>
      <c r="Y262" s="1" t="str">
        <f t="shared" si="10"/>
        <v>full access</v>
      </c>
      <c r="Z262" s="1" t="str">
        <f t="shared" si="11"/>
        <v>full access</v>
      </c>
      <c r="AA262" s="1" t="str">
        <f t="shared" si="12"/>
        <v>full access</v>
      </c>
    </row>
    <row r="263" spans="1:27" x14ac:dyDescent="0.25">
      <c r="A263" s="1" t="s">
        <v>74</v>
      </c>
      <c r="B263">
        <v>2020</v>
      </c>
      <c r="C263">
        <v>1271.7669679999999</v>
      </c>
      <c r="D263">
        <v>40.759998320000001</v>
      </c>
      <c r="E263">
        <v>99.866254699999999</v>
      </c>
      <c r="F263">
        <v>0</v>
      </c>
      <c r="G263">
        <v>0.13374530139999999</v>
      </c>
      <c r="H263">
        <v>0</v>
      </c>
      <c r="I263">
        <v>99.827682339999996</v>
      </c>
      <c r="J263">
        <v>0</v>
      </c>
      <c r="K263">
        <v>0.17231766179999999</v>
      </c>
      <c r="L263">
        <v>0</v>
      </c>
      <c r="M263">
        <v>99.922315220000002</v>
      </c>
      <c r="N263">
        <v>0</v>
      </c>
      <c r="O263">
        <v>7.7684781189999996E-2</v>
      </c>
      <c r="P263">
        <v>0</v>
      </c>
      <c r="Q263">
        <v>5</v>
      </c>
      <c r="R263">
        <v>-4.5424000001048617E-5</v>
      </c>
      <c r="S263">
        <v>0</v>
      </c>
      <c r="T263">
        <v>0</v>
      </c>
      <c r="U263">
        <f>ABS(Sheet1[[#This Row],[ARC_r]]-Sheet1[[#This Row],[ARC_u]])</f>
        <v>0</v>
      </c>
      <c r="V263">
        <f>ROUND(Sheet1[[#This Row],[wat_bas_n]],0)</f>
        <v>100</v>
      </c>
      <c r="W263">
        <f>ROUND(Sheet1[[#This Row],[wat_bas_r]],0)</f>
        <v>100</v>
      </c>
      <c r="X263">
        <f>ROUND(Sheet1[[#This Row],[wat_bas_u]],0)</f>
        <v>100</v>
      </c>
      <c r="Y263" s="1" t="str">
        <f t="shared" si="10"/>
        <v>full access</v>
      </c>
      <c r="Z263" s="1" t="str">
        <f t="shared" si="11"/>
        <v>full access</v>
      </c>
      <c r="AA263" s="1" t="str">
        <f t="shared" si="12"/>
        <v>full access</v>
      </c>
    </row>
    <row r="264" spans="1:27" hidden="1" x14ac:dyDescent="0.25">
      <c r="A264" s="1" t="s">
        <v>138</v>
      </c>
      <c r="B264">
        <v>2015</v>
      </c>
      <c r="C264">
        <v>240.01100159999999</v>
      </c>
      <c r="D264">
        <v>46.989002229999997</v>
      </c>
      <c r="E264">
        <v>96.837811279999997</v>
      </c>
      <c r="F264">
        <v>0</v>
      </c>
      <c r="G264">
        <v>0.28201846689999999</v>
      </c>
      <c r="H264">
        <v>2.880170256</v>
      </c>
      <c r="U264">
        <f>ABS(Sheet1[[#This Row],[ARC_r]]-Sheet1[[#This Row],[ARC_u]])</f>
        <v>0</v>
      </c>
      <c r="V264">
        <f>ROUND(Sheet1[[#This Row],[wat_bas_n]],0)</f>
        <v>97</v>
      </c>
      <c r="W264">
        <f>ROUND(Sheet1[[#This Row],[wat_bas_r]],0)</f>
        <v>0</v>
      </c>
      <c r="X264">
        <f>ROUND(Sheet1[[#This Row],[wat_bas_u]],0)</f>
        <v>0</v>
      </c>
      <c r="Y264" s="1" t="str">
        <f t="shared" si="10"/>
        <v>not full access</v>
      </c>
      <c r="Z264" s="1" t="str">
        <f t="shared" si="11"/>
        <v>not full access</v>
      </c>
      <c r="AA264" s="1" t="str">
        <f t="shared" si="12"/>
        <v>not full access</v>
      </c>
    </row>
    <row r="265" spans="1:27" hidden="1" x14ac:dyDescent="0.25">
      <c r="A265" s="1" t="s">
        <v>138</v>
      </c>
      <c r="B265">
        <v>2020</v>
      </c>
      <c r="C265">
        <v>272.81298829999997</v>
      </c>
      <c r="D265">
        <v>45.750999450000002</v>
      </c>
      <c r="E265">
        <v>96.371179710000007</v>
      </c>
      <c r="F265">
        <v>0</v>
      </c>
      <c r="G265">
        <v>3.6288202950000001</v>
      </c>
      <c r="Q265">
        <v>5</v>
      </c>
      <c r="R265">
        <v>-9.3326313999997981E-2</v>
      </c>
      <c r="U265">
        <f>ABS(Sheet1[[#This Row],[ARC_r]]-Sheet1[[#This Row],[ARC_u]])</f>
        <v>0</v>
      </c>
      <c r="V265">
        <f>ROUND(Sheet1[[#This Row],[wat_bas_n]],0)</f>
        <v>96</v>
      </c>
      <c r="W265">
        <f>ROUND(Sheet1[[#This Row],[wat_bas_r]],0)</f>
        <v>0</v>
      </c>
      <c r="X265">
        <f>ROUND(Sheet1[[#This Row],[wat_bas_u]],0)</f>
        <v>0</v>
      </c>
      <c r="Y265" s="1" t="str">
        <f t="shared" si="10"/>
        <v>not full access</v>
      </c>
      <c r="Z265" s="1" t="str">
        <f t="shared" si="11"/>
        <v>not full access</v>
      </c>
      <c r="AA265" s="1" t="str">
        <f t="shared" si="12"/>
        <v>not full access</v>
      </c>
    </row>
    <row r="266" spans="1:27" hidden="1" x14ac:dyDescent="0.25">
      <c r="A266" s="1" t="s">
        <v>87</v>
      </c>
      <c r="B266">
        <v>2015</v>
      </c>
      <c r="C266">
        <v>121858.25</v>
      </c>
      <c r="D266">
        <v>79.284996030000002</v>
      </c>
      <c r="E266">
        <v>98.025443539999998</v>
      </c>
      <c r="F266">
        <v>0</v>
      </c>
      <c r="G266">
        <v>1.4123609640000001</v>
      </c>
      <c r="H266">
        <v>0.56219549209999997</v>
      </c>
      <c r="I266">
        <v>93.286694030000007</v>
      </c>
      <c r="J266">
        <v>0</v>
      </c>
      <c r="K266">
        <v>4.3109388519999996</v>
      </c>
      <c r="L266">
        <v>2.4023671210000002</v>
      </c>
      <c r="M266">
        <v>99.263552899999993</v>
      </c>
      <c r="N266">
        <v>0</v>
      </c>
      <c r="O266">
        <v>0.65503800599999995</v>
      </c>
      <c r="P266">
        <v>8.140909465E-2</v>
      </c>
      <c r="U266">
        <f>ABS(Sheet1[[#This Row],[ARC_r]]-Sheet1[[#This Row],[ARC_u]])</f>
        <v>0</v>
      </c>
      <c r="V266">
        <f>ROUND(Sheet1[[#This Row],[wat_bas_n]],0)</f>
        <v>98</v>
      </c>
      <c r="W266">
        <f>ROUND(Sheet1[[#This Row],[wat_bas_r]],0)</f>
        <v>93</v>
      </c>
      <c r="X266">
        <f>ROUND(Sheet1[[#This Row],[wat_bas_u]],0)</f>
        <v>99</v>
      </c>
      <c r="Y266" s="1" t="str">
        <f t="shared" si="10"/>
        <v>not full access</v>
      </c>
      <c r="Z266" s="1" t="str">
        <f t="shared" si="11"/>
        <v>not full access</v>
      </c>
      <c r="AA266" s="1" t="str">
        <f t="shared" si="12"/>
        <v>full access</v>
      </c>
    </row>
    <row r="267" spans="1:27" hidden="1" x14ac:dyDescent="0.25">
      <c r="A267" s="1" t="s">
        <v>87</v>
      </c>
      <c r="B267">
        <v>2020</v>
      </c>
      <c r="C267">
        <v>128932.75</v>
      </c>
      <c r="D267">
        <v>80.730995179999994</v>
      </c>
      <c r="E267">
        <v>99.679568279999998</v>
      </c>
      <c r="F267">
        <v>0</v>
      </c>
      <c r="G267">
        <v>0.3204317169</v>
      </c>
      <c r="H267">
        <v>0</v>
      </c>
      <c r="I267">
        <v>98.337068930000001</v>
      </c>
      <c r="J267">
        <v>0</v>
      </c>
      <c r="K267">
        <v>1.6629310669999999</v>
      </c>
      <c r="L267">
        <v>0</v>
      </c>
      <c r="M267">
        <v>100</v>
      </c>
      <c r="N267">
        <v>0</v>
      </c>
      <c r="O267">
        <v>0</v>
      </c>
      <c r="P267">
        <v>0</v>
      </c>
      <c r="Q267">
        <v>5</v>
      </c>
      <c r="R267">
        <v>0.33082494800000012</v>
      </c>
      <c r="S267">
        <v>1.0100749799999991</v>
      </c>
      <c r="T267">
        <v>0.14728942000000131</v>
      </c>
      <c r="U267">
        <f>ABS(Sheet1[[#This Row],[ARC_r]]-Sheet1[[#This Row],[ARC_u]])</f>
        <v>0.86278555999999773</v>
      </c>
      <c r="V267">
        <f>ROUND(Sheet1[[#This Row],[wat_bas_n]],0)</f>
        <v>100</v>
      </c>
      <c r="W267">
        <f>ROUND(Sheet1[[#This Row],[wat_bas_r]],0)</f>
        <v>98</v>
      </c>
      <c r="X267">
        <f>ROUND(Sheet1[[#This Row],[wat_bas_u]],0)</f>
        <v>100</v>
      </c>
      <c r="Y267" s="1" t="str">
        <f t="shared" si="10"/>
        <v>not full access</v>
      </c>
      <c r="Z267" s="1" t="str">
        <f t="shared" si="11"/>
        <v>not full access</v>
      </c>
      <c r="AA267" s="1" t="str">
        <f t="shared" si="12"/>
        <v>full access</v>
      </c>
    </row>
    <row r="268" spans="1:27" hidden="1" x14ac:dyDescent="0.25">
      <c r="A268" s="1" t="s">
        <v>189</v>
      </c>
      <c r="B268">
        <v>2015</v>
      </c>
      <c r="C268">
        <v>108.8860016</v>
      </c>
      <c r="D268">
        <v>22.455999370000001</v>
      </c>
      <c r="E268">
        <v>88.308156679999996</v>
      </c>
      <c r="F268">
        <v>0</v>
      </c>
      <c r="G268">
        <v>11.69184332</v>
      </c>
      <c r="U268">
        <f>ABS(Sheet1[[#This Row],[ARC_r]]-Sheet1[[#This Row],[ARC_u]])</f>
        <v>0</v>
      </c>
      <c r="V268">
        <f>ROUND(Sheet1[[#This Row],[wat_bas_n]],0)</f>
        <v>88</v>
      </c>
      <c r="W268">
        <f>ROUND(Sheet1[[#This Row],[wat_bas_r]],0)</f>
        <v>0</v>
      </c>
      <c r="X268">
        <f>ROUND(Sheet1[[#This Row],[wat_bas_u]],0)</f>
        <v>0</v>
      </c>
      <c r="Y268" s="1" t="str">
        <f t="shared" si="10"/>
        <v>not full access</v>
      </c>
      <c r="Z268" s="1" t="str">
        <f t="shared" si="11"/>
        <v>not full access</v>
      </c>
      <c r="AA268" s="1" t="str">
        <f t="shared" si="12"/>
        <v>not full access</v>
      </c>
    </row>
    <row r="269" spans="1:27" hidden="1" x14ac:dyDescent="0.25">
      <c r="A269" s="1" t="s">
        <v>189</v>
      </c>
      <c r="B269">
        <v>2019</v>
      </c>
      <c r="C269">
        <v>113.810997</v>
      </c>
      <c r="D269">
        <v>22.812000269999999</v>
      </c>
      <c r="E269">
        <v>88.308156679999996</v>
      </c>
      <c r="F269">
        <v>0</v>
      </c>
      <c r="G269">
        <v>11.69184332</v>
      </c>
      <c r="Q269">
        <v>4</v>
      </c>
      <c r="R269">
        <v>0</v>
      </c>
      <c r="U269">
        <f>ABS(Sheet1[[#This Row],[ARC_r]]-Sheet1[[#This Row],[ARC_u]])</f>
        <v>0</v>
      </c>
      <c r="V269">
        <f>ROUND(Sheet1[[#This Row],[wat_bas_n]],0)</f>
        <v>88</v>
      </c>
      <c r="W269">
        <f>ROUND(Sheet1[[#This Row],[wat_bas_r]],0)</f>
        <v>0</v>
      </c>
      <c r="X269">
        <f>ROUND(Sheet1[[#This Row],[wat_bas_u]],0)</f>
        <v>0</v>
      </c>
      <c r="Y269" s="1" t="str">
        <f t="shared" si="10"/>
        <v>not full access</v>
      </c>
      <c r="Z269" s="1" t="str">
        <f t="shared" si="11"/>
        <v>not full access</v>
      </c>
      <c r="AA269" s="1" t="str">
        <f t="shared" si="12"/>
        <v>not full access</v>
      </c>
    </row>
    <row r="270" spans="1:27" x14ac:dyDescent="0.25">
      <c r="A270" s="1" t="s">
        <v>37</v>
      </c>
      <c r="B270">
        <v>2015</v>
      </c>
      <c r="C270">
        <v>37.722999569999999</v>
      </c>
      <c r="D270">
        <v>100</v>
      </c>
      <c r="E270">
        <v>100</v>
      </c>
      <c r="F270">
        <v>0</v>
      </c>
      <c r="G270">
        <v>0</v>
      </c>
      <c r="H270">
        <v>0</v>
      </c>
      <c r="M270">
        <v>100</v>
      </c>
      <c r="N270">
        <v>0</v>
      </c>
      <c r="O270">
        <v>0</v>
      </c>
      <c r="P270">
        <v>0</v>
      </c>
      <c r="U270">
        <f>ABS(Sheet1[[#This Row],[ARC_r]]-Sheet1[[#This Row],[ARC_u]])</f>
        <v>0</v>
      </c>
      <c r="V270">
        <f>ROUND(Sheet1[[#This Row],[wat_bas_n]],0)</f>
        <v>100</v>
      </c>
      <c r="W270">
        <f>ROUND(Sheet1[[#This Row],[wat_bas_r]],0)</f>
        <v>0</v>
      </c>
      <c r="X270">
        <f>ROUND(Sheet1[[#This Row],[wat_bas_u]],0)</f>
        <v>100</v>
      </c>
      <c r="Y270" s="1" t="str">
        <f t="shared" si="10"/>
        <v>full access</v>
      </c>
      <c r="Z270" s="1" t="str">
        <f t="shared" si="11"/>
        <v>not full access</v>
      </c>
      <c r="AA270" s="1" t="str">
        <f t="shared" si="12"/>
        <v>full access</v>
      </c>
    </row>
    <row r="271" spans="1:27" x14ac:dyDescent="0.25">
      <c r="A271" s="1" t="s">
        <v>37</v>
      </c>
      <c r="B271">
        <v>2020</v>
      </c>
      <c r="C271">
        <v>39.243999479999999</v>
      </c>
      <c r="D271">
        <v>100</v>
      </c>
      <c r="E271">
        <v>100</v>
      </c>
      <c r="F271">
        <v>0</v>
      </c>
      <c r="G271">
        <v>0</v>
      </c>
      <c r="H271">
        <v>0</v>
      </c>
      <c r="M271">
        <v>100</v>
      </c>
      <c r="N271">
        <v>0</v>
      </c>
      <c r="O271">
        <v>0</v>
      </c>
      <c r="P271">
        <v>0</v>
      </c>
      <c r="Q271">
        <v>5</v>
      </c>
      <c r="R271">
        <v>0</v>
      </c>
      <c r="T271">
        <v>0</v>
      </c>
      <c r="U271">
        <f>ABS(Sheet1[[#This Row],[ARC_r]]-Sheet1[[#This Row],[ARC_u]])</f>
        <v>0</v>
      </c>
      <c r="V271">
        <f>ROUND(Sheet1[[#This Row],[wat_bas_n]],0)</f>
        <v>100</v>
      </c>
      <c r="W271">
        <f>ROUND(Sheet1[[#This Row],[wat_bas_r]],0)</f>
        <v>0</v>
      </c>
      <c r="X271">
        <f>ROUND(Sheet1[[#This Row],[wat_bas_u]],0)</f>
        <v>100</v>
      </c>
      <c r="Y271" s="1" t="str">
        <f t="shared" si="10"/>
        <v>full access</v>
      </c>
      <c r="Z271" s="1" t="str">
        <f t="shared" si="11"/>
        <v>not full access</v>
      </c>
      <c r="AA271" s="1" t="str">
        <f t="shared" si="12"/>
        <v>full access</v>
      </c>
    </row>
    <row r="272" spans="1:27" hidden="1" x14ac:dyDescent="0.25">
      <c r="A272" s="1" t="s">
        <v>191</v>
      </c>
      <c r="B272">
        <v>2015</v>
      </c>
      <c r="C272">
        <v>2998.4331050000001</v>
      </c>
      <c r="D272">
        <v>68.229995729999999</v>
      </c>
      <c r="E272">
        <v>80.813012090000001</v>
      </c>
      <c r="F272">
        <v>3.905181378</v>
      </c>
      <c r="G272">
        <v>7.5786445809999998</v>
      </c>
      <c r="H272">
        <v>7.7031619500000001</v>
      </c>
      <c r="I272">
        <v>52.093888010000001</v>
      </c>
      <c r="J272">
        <v>5.3335891499999999</v>
      </c>
      <c r="K272">
        <v>18.718643360000002</v>
      </c>
      <c r="L272">
        <v>23.85387948</v>
      </c>
      <c r="M272">
        <v>94.185527239999999</v>
      </c>
      <c r="N272">
        <v>3.240070405</v>
      </c>
      <c r="O272">
        <v>2.3915155440000002</v>
      </c>
      <c r="P272">
        <v>0.1828868106</v>
      </c>
      <c r="U272">
        <f>ABS(Sheet1[[#This Row],[ARC_r]]-Sheet1[[#This Row],[ARC_u]])</f>
        <v>0</v>
      </c>
      <c r="V272">
        <f>ROUND(Sheet1[[#This Row],[wat_bas_n]],0)</f>
        <v>81</v>
      </c>
      <c r="W272">
        <f>ROUND(Sheet1[[#This Row],[wat_bas_r]],0)</f>
        <v>52</v>
      </c>
      <c r="X272">
        <f>ROUND(Sheet1[[#This Row],[wat_bas_u]],0)</f>
        <v>94</v>
      </c>
      <c r="Y272" s="1" t="str">
        <f t="shared" si="10"/>
        <v>not full access</v>
      </c>
      <c r="Z272" s="1" t="str">
        <f t="shared" si="11"/>
        <v>not full access</v>
      </c>
      <c r="AA272" s="1" t="str">
        <f t="shared" si="12"/>
        <v>not full access</v>
      </c>
    </row>
    <row r="273" spans="1:27" hidden="1" x14ac:dyDescent="0.25">
      <c r="A273" s="1" t="s">
        <v>191</v>
      </c>
      <c r="B273">
        <v>2020</v>
      </c>
      <c r="C273">
        <v>3278.2919919999999</v>
      </c>
      <c r="D273">
        <v>68.656997680000003</v>
      </c>
      <c r="E273">
        <v>85.495625270000005</v>
      </c>
      <c r="F273">
        <v>2.1464289299999999</v>
      </c>
      <c r="G273">
        <v>6.6333667140000001</v>
      </c>
      <c r="H273">
        <v>5.7245790809999999</v>
      </c>
      <c r="I273">
        <v>61.070751139999999</v>
      </c>
      <c r="J273">
        <v>3.0841705720000001</v>
      </c>
      <c r="K273">
        <v>17.580781160000001</v>
      </c>
      <c r="L273">
        <v>18.264297129999999</v>
      </c>
      <c r="M273">
        <v>96.645965579999995</v>
      </c>
      <c r="N273">
        <v>1.718335079</v>
      </c>
      <c r="O273">
        <v>1.635699341</v>
      </c>
      <c r="P273">
        <v>0</v>
      </c>
      <c r="Q273">
        <v>5</v>
      </c>
      <c r="R273">
        <v>0.93652263600000085</v>
      </c>
      <c r="S273">
        <v>1.795372626</v>
      </c>
      <c r="T273">
        <v>0.4920876679999992</v>
      </c>
      <c r="U273">
        <f>ABS(Sheet1[[#This Row],[ARC_r]]-Sheet1[[#This Row],[ARC_u]])</f>
        <v>1.3032849580000008</v>
      </c>
      <c r="V273">
        <f>ROUND(Sheet1[[#This Row],[wat_bas_n]],0)</f>
        <v>85</v>
      </c>
      <c r="W273">
        <f>ROUND(Sheet1[[#This Row],[wat_bas_r]],0)</f>
        <v>61</v>
      </c>
      <c r="X273">
        <f>ROUND(Sheet1[[#This Row],[wat_bas_u]],0)</f>
        <v>97</v>
      </c>
      <c r="Y273" s="1" t="str">
        <f t="shared" si="10"/>
        <v>not full access</v>
      </c>
      <c r="Z273" s="1" t="str">
        <f t="shared" si="11"/>
        <v>not full access</v>
      </c>
      <c r="AA273" s="1" t="str">
        <f t="shared" si="12"/>
        <v>not full access</v>
      </c>
    </row>
    <row r="274" spans="1:27" hidden="1" x14ac:dyDescent="0.25">
      <c r="A274" s="1" t="s">
        <v>106</v>
      </c>
      <c r="B274">
        <v>2015</v>
      </c>
      <c r="C274">
        <v>626.9569702</v>
      </c>
      <c r="D274">
        <v>65.805999760000006</v>
      </c>
      <c r="E274">
        <v>97.391295369999995</v>
      </c>
      <c r="F274">
        <v>1.68690191</v>
      </c>
      <c r="G274">
        <v>0.88144584619999999</v>
      </c>
      <c r="H274">
        <v>4.035686954E-2</v>
      </c>
      <c r="I274">
        <v>95.96066218</v>
      </c>
      <c r="J274">
        <v>1.539303155</v>
      </c>
      <c r="K274">
        <v>2.3820114100000001</v>
      </c>
      <c r="L274">
        <v>0.1180232558</v>
      </c>
      <c r="M274">
        <v>98.134678449999996</v>
      </c>
      <c r="N274">
        <v>1.763596913</v>
      </c>
      <c r="O274">
        <v>0.10172463599999999</v>
      </c>
      <c r="P274">
        <v>0</v>
      </c>
      <c r="U274">
        <f>ABS(Sheet1[[#This Row],[ARC_r]]-Sheet1[[#This Row],[ARC_u]])</f>
        <v>0</v>
      </c>
      <c r="V274">
        <f>ROUND(Sheet1[[#This Row],[wat_bas_n]],0)</f>
        <v>97</v>
      </c>
      <c r="W274">
        <f>ROUND(Sheet1[[#This Row],[wat_bas_r]],0)</f>
        <v>96</v>
      </c>
      <c r="X274">
        <f>ROUND(Sheet1[[#This Row],[wat_bas_u]],0)</f>
        <v>98</v>
      </c>
      <c r="Y274" s="1" t="str">
        <f t="shared" si="10"/>
        <v>not full access</v>
      </c>
      <c r="Z274" s="1" t="str">
        <f t="shared" si="11"/>
        <v>not full access</v>
      </c>
      <c r="AA274" s="1" t="str">
        <f t="shared" si="12"/>
        <v>not full access</v>
      </c>
    </row>
    <row r="275" spans="1:27" hidden="1" x14ac:dyDescent="0.25">
      <c r="A275" s="1" t="s">
        <v>106</v>
      </c>
      <c r="B275">
        <v>2020</v>
      </c>
      <c r="C275">
        <v>628.06201169999997</v>
      </c>
      <c r="D275">
        <v>67.488006589999998</v>
      </c>
      <c r="E275">
        <v>98.856916519999999</v>
      </c>
      <c r="F275">
        <v>0.54547882039999995</v>
      </c>
      <c r="G275">
        <v>0.59231201099999997</v>
      </c>
      <c r="H275">
        <v>5.2926508940000002E-3</v>
      </c>
      <c r="I275">
        <v>98.161887539999995</v>
      </c>
      <c r="J275">
        <v>0</v>
      </c>
      <c r="K275">
        <v>1.821833386</v>
      </c>
      <c r="L275">
        <v>1.6279069770000001E-2</v>
      </c>
      <c r="M275">
        <v>99.191739589999997</v>
      </c>
      <c r="N275">
        <v>0.80826041280000005</v>
      </c>
      <c r="O275">
        <v>0</v>
      </c>
      <c r="P275">
        <v>0</v>
      </c>
      <c r="Q275">
        <v>5</v>
      </c>
      <c r="R275">
        <v>0.29312423000000082</v>
      </c>
      <c r="S275">
        <v>0.44024507199999902</v>
      </c>
      <c r="T275">
        <v>0.2114122280000004</v>
      </c>
      <c r="U275">
        <f>ABS(Sheet1[[#This Row],[ARC_r]]-Sheet1[[#This Row],[ARC_u]])</f>
        <v>0.22883284399999862</v>
      </c>
      <c r="V275">
        <f>ROUND(Sheet1[[#This Row],[wat_bas_n]],0)</f>
        <v>99</v>
      </c>
      <c r="W275">
        <f>ROUND(Sheet1[[#This Row],[wat_bas_r]],0)</f>
        <v>98</v>
      </c>
      <c r="X275">
        <f>ROUND(Sheet1[[#This Row],[wat_bas_u]],0)</f>
        <v>99</v>
      </c>
      <c r="Y275" s="1" t="str">
        <f t="shared" si="10"/>
        <v>not full access</v>
      </c>
      <c r="Z275" s="1" t="str">
        <f t="shared" si="11"/>
        <v>not full access</v>
      </c>
      <c r="AA275" s="1" t="str">
        <f t="shared" si="12"/>
        <v>not full access</v>
      </c>
    </row>
    <row r="276" spans="1:27" hidden="1" x14ac:dyDescent="0.25">
      <c r="A276" s="1" t="s">
        <v>114</v>
      </c>
      <c r="B276">
        <v>2015</v>
      </c>
      <c r="C276">
        <v>4.9660000799999997</v>
      </c>
      <c r="D276">
        <v>9.0410003660000005</v>
      </c>
      <c r="E276">
        <v>98.070820560000001</v>
      </c>
      <c r="F276">
        <v>0</v>
      </c>
      <c r="G276">
        <v>1.9291794390000001</v>
      </c>
      <c r="H276">
        <v>0</v>
      </c>
      <c r="U276">
        <f>ABS(Sheet1[[#This Row],[ARC_r]]-Sheet1[[#This Row],[ARC_u]])</f>
        <v>0</v>
      </c>
      <c r="V276">
        <f>ROUND(Sheet1[[#This Row],[wat_bas_n]],0)</f>
        <v>98</v>
      </c>
      <c r="W276">
        <f>ROUND(Sheet1[[#This Row],[wat_bas_r]],0)</f>
        <v>0</v>
      </c>
      <c r="X276">
        <f>ROUND(Sheet1[[#This Row],[wat_bas_u]],0)</f>
        <v>0</v>
      </c>
      <c r="Y276" s="1" t="str">
        <f t="shared" si="10"/>
        <v>not full access</v>
      </c>
      <c r="Z276" s="1" t="str">
        <f t="shared" si="11"/>
        <v>not full access</v>
      </c>
      <c r="AA276" s="1" t="str">
        <f t="shared" si="12"/>
        <v>not full access</v>
      </c>
    </row>
    <row r="277" spans="1:27" hidden="1" x14ac:dyDescent="0.25">
      <c r="A277" s="1" t="s">
        <v>114</v>
      </c>
      <c r="B277">
        <v>2020</v>
      </c>
      <c r="C277">
        <v>4.9990000720000003</v>
      </c>
      <c r="D277">
        <v>9.1149997710000008</v>
      </c>
      <c r="E277">
        <v>98.077482619999998</v>
      </c>
      <c r="F277">
        <v>0</v>
      </c>
      <c r="G277">
        <v>1.922517378</v>
      </c>
      <c r="H277">
        <v>0</v>
      </c>
      <c r="Q277">
        <v>5</v>
      </c>
      <c r="R277">
        <v>1.332411999999294E-3</v>
      </c>
      <c r="U277">
        <f>ABS(Sheet1[[#This Row],[ARC_r]]-Sheet1[[#This Row],[ARC_u]])</f>
        <v>0</v>
      </c>
      <c r="V277">
        <f>ROUND(Sheet1[[#This Row],[wat_bas_n]],0)</f>
        <v>98</v>
      </c>
      <c r="W277">
        <f>ROUND(Sheet1[[#This Row],[wat_bas_r]],0)</f>
        <v>0</v>
      </c>
      <c r="X277">
        <f>ROUND(Sheet1[[#This Row],[wat_bas_u]],0)</f>
        <v>0</v>
      </c>
      <c r="Y277" s="1" t="str">
        <f t="shared" si="10"/>
        <v>not full access</v>
      </c>
      <c r="Z277" s="1" t="str">
        <f t="shared" si="11"/>
        <v>not full access</v>
      </c>
      <c r="AA277" s="1" t="str">
        <f t="shared" si="12"/>
        <v>not full access</v>
      </c>
    </row>
    <row r="278" spans="1:27" hidden="1" x14ac:dyDescent="0.25">
      <c r="A278" s="1" t="s">
        <v>184</v>
      </c>
      <c r="B278">
        <v>2015</v>
      </c>
      <c r="C278">
        <v>34663.609380000002</v>
      </c>
      <c r="D278">
        <v>60.808998109999997</v>
      </c>
      <c r="E278">
        <v>83.75113288</v>
      </c>
      <c r="F278">
        <v>5.9371884149999996</v>
      </c>
      <c r="G278">
        <v>8.5178818580000009</v>
      </c>
      <c r="H278">
        <v>1.793796851</v>
      </c>
      <c r="I278">
        <v>64.172528740000004</v>
      </c>
      <c r="J278">
        <v>12.25581871</v>
      </c>
      <c r="K278">
        <v>19.029579640000001</v>
      </c>
      <c r="L278">
        <v>4.5420729140000002</v>
      </c>
      <c r="M278">
        <v>96.369415020000005</v>
      </c>
      <c r="N278">
        <v>1.864872571</v>
      </c>
      <c r="O278">
        <v>1.743161481</v>
      </c>
      <c r="P278">
        <v>2.255092798E-2</v>
      </c>
      <c r="U278">
        <f>ABS(Sheet1[[#This Row],[ARC_r]]-Sheet1[[#This Row],[ARC_u]])</f>
        <v>0</v>
      </c>
      <c r="V278">
        <f>ROUND(Sheet1[[#This Row],[wat_bas_n]],0)</f>
        <v>84</v>
      </c>
      <c r="W278">
        <f>ROUND(Sheet1[[#This Row],[wat_bas_r]],0)</f>
        <v>64</v>
      </c>
      <c r="X278">
        <f>ROUND(Sheet1[[#This Row],[wat_bas_u]],0)</f>
        <v>96</v>
      </c>
      <c r="Y278" s="1" t="str">
        <f t="shared" si="10"/>
        <v>not full access</v>
      </c>
      <c r="Z278" s="1" t="str">
        <f t="shared" si="11"/>
        <v>not full access</v>
      </c>
      <c r="AA278" s="1" t="str">
        <f t="shared" si="12"/>
        <v>not full access</v>
      </c>
    </row>
    <row r="279" spans="1:27" hidden="1" x14ac:dyDescent="0.25">
      <c r="A279" s="1" t="s">
        <v>184</v>
      </c>
      <c r="B279">
        <v>2020</v>
      </c>
      <c r="C279">
        <v>36910.558590000001</v>
      </c>
      <c r="D279">
        <v>63.531997680000003</v>
      </c>
      <c r="E279">
        <v>90.402344679999999</v>
      </c>
      <c r="F279">
        <v>5.2635496010000002</v>
      </c>
      <c r="G279">
        <v>2.8776725000000001</v>
      </c>
      <c r="H279">
        <v>1.456433219</v>
      </c>
      <c r="I279">
        <v>77.346128960000001</v>
      </c>
      <c r="J279">
        <v>12.03707816</v>
      </c>
      <c r="K279">
        <v>6.6230633729999999</v>
      </c>
      <c r="L279">
        <v>3.9937295019999999</v>
      </c>
      <c r="M279">
        <v>97.896746010000001</v>
      </c>
      <c r="N279">
        <v>1.375477117</v>
      </c>
      <c r="O279">
        <v>0.72777687589999995</v>
      </c>
      <c r="P279">
        <v>0</v>
      </c>
      <c r="Q279">
        <v>5</v>
      </c>
      <c r="R279">
        <v>1.33024236</v>
      </c>
      <c r="S279">
        <v>2.6347200439999989</v>
      </c>
      <c r="T279">
        <v>0.30546619799999919</v>
      </c>
      <c r="U279">
        <f>ABS(Sheet1[[#This Row],[ARC_r]]-Sheet1[[#This Row],[ARC_u]])</f>
        <v>2.3292538459999999</v>
      </c>
      <c r="V279">
        <f>ROUND(Sheet1[[#This Row],[wat_bas_n]],0)</f>
        <v>90</v>
      </c>
      <c r="W279">
        <f>ROUND(Sheet1[[#This Row],[wat_bas_r]],0)</f>
        <v>77</v>
      </c>
      <c r="X279">
        <f>ROUND(Sheet1[[#This Row],[wat_bas_u]],0)</f>
        <v>98</v>
      </c>
      <c r="Y279" s="1" t="str">
        <f t="shared" si="10"/>
        <v>not full access</v>
      </c>
      <c r="Z279" s="1" t="str">
        <f t="shared" si="11"/>
        <v>not full access</v>
      </c>
      <c r="AA279" s="1" t="str">
        <f t="shared" si="12"/>
        <v>not full access</v>
      </c>
    </row>
    <row r="280" spans="1:27" hidden="1" x14ac:dyDescent="0.25">
      <c r="A280" s="1" t="s">
        <v>226</v>
      </c>
      <c r="B280">
        <v>2015</v>
      </c>
      <c r="C280">
        <v>27042.001950000002</v>
      </c>
      <c r="D280">
        <v>34.400001529999997</v>
      </c>
      <c r="E280">
        <v>51.176175209999997</v>
      </c>
      <c r="F280">
        <v>10.3714084</v>
      </c>
      <c r="G280">
        <v>26.513493149999999</v>
      </c>
      <c r="H280">
        <v>11.938923239999999</v>
      </c>
      <c r="I280">
        <v>35.97137876</v>
      </c>
      <c r="J280">
        <v>12.36707992</v>
      </c>
      <c r="K280">
        <v>34.814873949999999</v>
      </c>
      <c r="L280">
        <v>16.846667360000001</v>
      </c>
      <c r="M280">
        <v>80.171365829999999</v>
      </c>
      <c r="N280">
        <v>6.5657095710000002</v>
      </c>
      <c r="O280">
        <v>10.68295442</v>
      </c>
      <c r="P280">
        <v>2.5799701810000002</v>
      </c>
      <c r="U280">
        <f>ABS(Sheet1[[#This Row],[ARC_r]]-Sheet1[[#This Row],[ARC_u]])</f>
        <v>0</v>
      </c>
      <c r="V280">
        <f>ROUND(Sheet1[[#This Row],[wat_bas_n]],0)</f>
        <v>51</v>
      </c>
      <c r="W280">
        <f>ROUND(Sheet1[[#This Row],[wat_bas_r]],0)</f>
        <v>36</v>
      </c>
      <c r="X280">
        <f>ROUND(Sheet1[[#This Row],[wat_bas_u]],0)</f>
        <v>80</v>
      </c>
      <c r="Y280" s="1" t="str">
        <f t="shared" si="10"/>
        <v>not full access</v>
      </c>
      <c r="Z280" s="1" t="str">
        <f t="shared" si="11"/>
        <v>not full access</v>
      </c>
      <c r="AA280" s="1" t="str">
        <f t="shared" si="12"/>
        <v>not full access</v>
      </c>
    </row>
    <row r="281" spans="1:27" hidden="1" x14ac:dyDescent="0.25">
      <c r="A281" s="1" t="s">
        <v>226</v>
      </c>
      <c r="B281">
        <v>2020</v>
      </c>
      <c r="C281">
        <v>31255.435549999998</v>
      </c>
      <c r="D281">
        <v>37.073997499999997</v>
      </c>
      <c r="E281">
        <v>63.369425630000002</v>
      </c>
      <c r="F281">
        <v>9.9757845070000002</v>
      </c>
      <c r="G281">
        <v>16.726145110000001</v>
      </c>
      <c r="H281">
        <v>9.9286447590000009</v>
      </c>
      <c r="I281">
        <v>48.8666865</v>
      </c>
      <c r="J281">
        <v>12.64088359</v>
      </c>
      <c r="K281">
        <v>23.686256400000001</v>
      </c>
      <c r="L281">
        <v>14.80617352</v>
      </c>
      <c r="M281">
        <v>87.98504792</v>
      </c>
      <c r="N281">
        <v>5.4522910270000002</v>
      </c>
      <c r="O281">
        <v>4.9126846439999996</v>
      </c>
      <c r="P281">
        <v>1.649976404</v>
      </c>
      <c r="Q281">
        <v>5</v>
      </c>
      <c r="R281">
        <v>2.4386500840000012</v>
      </c>
      <c r="S281">
        <v>2.5790615479999999</v>
      </c>
      <c r="T281">
        <v>1.5627364180000001</v>
      </c>
      <c r="U281">
        <f>ABS(Sheet1[[#This Row],[ARC_r]]-Sheet1[[#This Row],[ARC_u]])</f>
        <v>1.0163251299999998</v>
      </c>
      <c r="V281">
        <f>ROUND(Sheet1[[#This Row],[wat_bas_n]],0)</f>
        <v>63</v>
      </c>
      <c r="W281">
        <f>ROUND(Sheet1[[#This Row],[wat_bas_r]],0)</f>
        <v>49</v>
      </c>
      <c r="X281">
        <f>ROUND(Sheet1[[#This Row],[wat_bas_u]],0)</f>
        <v>88</v>
      </c>
      <c r="Y281" s="1" t="str">
        <f t="shared" si="10"/>
        <v>not full access</v>
      </c>
      <c r="Z281" s="1" t="str">
        <f t="shared" si="11"/>
        <v>not full access</v>
      </c>
      <c r="AA281" s="1" t="str">
        <f t="shared" si="12"/>
        <v>not full access</v>
      </c>
    </row>
    <row r="282" spans="1:27" hidden="1" x14ac:dyDescent="0.25">
      <c r="A282" s="1" t="s">
        <v>197</v>
      </c>
      <c r="B282">
        <v>2015</v>
      </c>
      <c r="C282">
        <v>52680.722659999999</v>
      </c>
      <c r="D282">
        <v>29.857999800000002</v>
      </c>
      <c r="E282">
        <v>73.587470499999995</v>
      </c>
      <c r="F282">
        <v>6.8355322689999998</v>
      </c>
      <c r="G282">
        <v>8.269037119</v>
      </c>
      <c r="H282">
        <v>11.30796011</v>
      </c>
      <c r="I282">
        <v>67.249613539999999</v>
      </c>
      <c r="J282">
        <v>8.0422803540000007</v>
      </c>
      <c r="K282">
        <v>10.1459869</v>
      </c>
      <c r="L282">
        <v>14.562119210000001</v>
      </c>
      <c r="M282">
        <v>88.476276290000001</v>
      </c>
      <c r="N282">
        <v>4.0006563789999996</v>
      </c>
      <c r="O282">
        <v>3.859732696</v>
      </c>
      <c r="P282">
        <v>3.6633346320000002</v>
      </c>
      <c r="U282">
        <f>ABS(Sheet1[[#This Row],[ARC_r]]-Sheet1[[#This Row],[ARC_u]])</f>
        <v>0</v>
      </c>
      <c r="V282">
        <f>ROUND(Sheet1[[#This Row],[wat_bas_n]],0)</f>
        <v>74</v>
      </c>
      <c r="W282">
        <f>ROUND(Sheet1[[#This Row],[wat_bas_r]],0)</f>
        <v>67</v>
      </c>
      <c r="X282">
        <f>ROUND(Sheet1[[#This Row],[wat_bas_u]],0)</f>
        <v>88</v>
      </c>
      <c r="Y282" s="1" t="str">
        <f t="shared" si="10"/>
        <v>not full access</v>
      </c>
      <c r="Z282" s="1" t="str">
        <f t="shared" si="11"/>
        <v>not full access</v>
      </c>
      <c r="AA282" s="1" t="str">
        <f t="shared" si="12"/>
        <v>not full access</v>
      </c>
    </row>
    <row r="283" spans="1:27" hidden="1" x14ac:dyDescent="0.25">
      <c r="A283" s="1" t="s">
        <v>197</v>
      </c>
      <c r="B283">
        <v>2020</v>
      </c>
      <c r="C283">
        <v>54409.792970000002</v>
      </c>
      <c r="D283">
        <v>31.14100075</v>
      </c>
      <c r="E283">
        <v>83.718191910000002</v>
      </c>
      <c r="F283">
        <v>1.595436949</v>
      </c>
      <c r="G283">
        <v>5.1094247800000003</v>
      </c>
      <c r="H283">
        <v>9.5769463619999993</v>
      </c>
      <c r="I283">
        <v>78.422564690000002</v>
      </c>
      <c r="J283">
        <v>2.3169621419999999</v>
      </c>
      <c r="K283">
        <v>6.5923936940000001</v>
      </c>
      <c r="L283">
        <v>12.66807947</v>
      </c>
      <c r="M283">
        <v>95.427886060000006</v>
      </c>
      <c r="N283">
        <v>0</v>
      </c>
      <c r="O283">
        <v>1.8302830059999999</v>
      </c>
      <c r="P283">
        <v>2.741830931</v>
      </c>
      <c r="Q283">
        <v>5</v>
      </c>
      <c r="R283">
        <v>2.026144282000002</v>
      </c>
      <c r="S283">
        <v>2.2345902300000011</v>
      </c>
      <c r="T283">
        <v>1.3903219540000009</v>
      </c>
      <c r="U283">
        <f>ABS(Sheet1[[#This Row],[ARC_r]]-Sheet1[[#This Row],[ARC_u]])</f>
        <v>0.84426827600000021</v>
      </c>
      <c r="V283">
        <f>ROUND(Sheet1[[#This Row],[wat_bas_n]],0)</f>
        <v>84</v>
      </c>
      <c r="W283">
        <f>ROUND(Sheet1[[#This Row],[wat_bas_r]],0)</f>
        <v>78</v>
      </c>
      <c r="X283">
        <f>ROUND(Sheet1[[#This Row],[wat_bas_u]],0)</f>
        <v>95</v>
      </c>
      <c r="Y283" s="1" t="str">
        <f t="shared" si="10"/>
        <v>not full access</v>
      </c>
      <c r="Z283" s="1" t="str">
        <f t="shared" si="11"/>
        <v>not full access</v>
      </c>
      <c r="AA283" s="1" t="str">
        <f t="shared" si="12"/>
        <v>not full access</v>
      </c>
    </row>
    <row r="284" spans="1:27" hidden="1" x14ac:dyDescent="0.25">
      <c r="A284" s="1" t="s">
        <v>196</v>
      </c>
      <c r="B284">
        <v>2015</v>
      </c>
      <c r="C284">
        <v>2314.9008789999998</v>
      </c>
      <c r="D284">
        <v>46.90000534</v>
      </c>
      <c r="E284">
        <v>82.524135150000006</v>
      </c>
      <c r="F284">
        <v>7.2754761539999997</v>
      </c>
      <c r="G284">
        <v>4.4164614110000002</v>
      </c>
      <c r="H284">
        <v>5.7839272810000004</v>
      </c>
      <c r="I284">
        <v>70.141031380000001</v>
      </c>
      <c r="J284">
        <v>11.72007222</v>
      </c>
      <c r="K284">
        <v>7.6143896370000004</v>
      </c>
      <c r="L284">
        <v>10.52450676</v>
      </c>
      <c r="M284">
        <v>96.544235619999995</v>
      </c>
      <c r="N284">
        <v>2.2433222979999998</v>
      </c>
      <c r="O284">
        <v>0.79577988889999995</v>
      </c>
      <c r="P284">
        <v>0.41666219110000002</v>
      </c>
      <c r="U284">
        <f>ABS(Sheet1[[#This Row],[ARC_r]]-Sheet1[[#This Row],[ARC_u]])</f>
        <v>0</v>
      </c>
      <c r="V284">
        <f>ROUND(Sheet1[[#This Row],[wat_bas_n]],0)</f>
        <v>83</v>
      </c>
      <c r="W284">
        <f>ROUND(Sheet1[[#This Row],[wat_bas_r]],0)</f>
        <v>70</v>
      </c>
      <c r="X284">
        <f>ROUND(Sheet1[[#This Row],[wat_bas_u]],0)</f>
        <v>97</v>
      </c>
      <c r="Y284" s="1" t="str">
        <f t="shared" si="10"/>
        <v>not full access</v>
      </c>
      <c r="Z284" s="1" t="str">
        <f t="shared" si="11"/>
        <v>not full access</v>
      </c>
      <c r="AA284" s="1" t="str">
        <f t="shared" si="12"/>
        <v>not full access</v>
      </c>
    </row>
    <row r="285" spans="1:27" hidden="1" x14ac:dyDescent="0.25">
      <c r="A285" s="1" t="s">
        <v>196</v>
      </c>
      <c r="B285">
        <v>2020</v>
      </c>
      <c r="C285">
        <v>2540.9160160000001</v>
      </c>
      <c r="D285">
        <v>52.033000950000002</v>
      </c>
      <c r="E285">
        <v>84.270036279999999</v>
      </c>
      <c r="F285">
        <v>7.0876275099999999</v>
      </c>
      <c r="G285">
        <v>3.740143722</v>
      </c>
      <c r="H285">
        <v>4.9021924849999996</v>
      </c>
      <c r="I285">
        <v>71.256167430000005</v>
      </c>
      <c r="J285">
        <v>11.97218925</v>
      </c>
      <c r="K285">
        <v>7.0818037589999996</v>
      </c>
      <c r="L285">
        <v>9.6898395629999996</v>
      </c>
      <c r="M285">
        <v>96.266965350000007</v>
      </c>
      <c r="N285">
        <v>2.5847589649999998</v>
      </c>
      <c r="O285">
        <v>0.65961026379999999</v>
      </c>
      <c r="P285">
        <v>0.4886654211</v>
      </c>
      <c r="Q285">
        <v>5</v>
      </c>
      <c r="R285">
        <v>0.34918022599999859</v>
      </c>
      <c r="S285">
        <v>0.22302721000000081</v>
      </c>
      <c r="T285">
        <v>-5.5454053999997657E-2</v>
      </c>
      <c r="U285">
        <f>ABS(Sheet1[[#This Row],[ARC_r]]-Sheet1[[#This Row],[ARC_u]])</f>
        <v>0.27848126399999845</v>
      </c>
      <c r="V285">
        <f>ROUND(Sheet1[[#This Row],[wat_bas_n]],0)</f>
        <v>84</v>
      </c>
      <c r="W285">
        <f>ROUND(Sheet1[[#This Row],[wat_bas_r]],0)</f>
        <v>71</v>
      </c>
      <c r="X285">
        <f>ROUND(Sheet1[[#This Row],[wat_bas_u]],0)</f>
        <v>96</v>
      </c>
      <c r="Y285" s="1" t="str">
        <f t="shared" si="10"/>
        <v>not full access</v>
      </c>
      <c r="Z285" s="1" t="str">
        <f t="shared" si="11"/>
        <v>not full access</v>
      </c>
      <c r="AA285" s="1" t="str">
        <f t="shared" si="12"/>
        <v>not full access</v>
      </c>
    </row>
    <row r="286" spans="1:27" x14ac:dyDescent="0.25">
      <c r="A286" s="1" t="s">
        <v>32</v>
      </c>
      <c r="B286">
        <v>2015</v>
      </c>
      <c r="C286">
        <v>10.373999599999999</v>
      </c>
      <c r="D286">
        <v>100</v>
      </c>
      <c r="E286">
        <v>100</v>
      </c>
      <c r="F286">
        <v>0</v>
      </c>
      <c r="G286">
        <v>0</v>
      </c>
      <c r="H286">
        <v>0</v>
      </c>
      <c r="M286">
        <v>100</v>
      </c>
      <c r="N286">
        <v>0</v>
      </c>
      <c r="O286">
        <v>0</v>
      </c>
      <c r="P286">
        <v>0</v>
      </c>
      <c r="U286">
        <f>ABS(Sheet1[[#This Row],[ARC_r]]-Sheet1[[#This Row],[ARC_u]])</f>
        <v>0</v>
      </c>
      <c r="V286">
        <f>ROUND(Sheet1[[#This Row],[wat_bas_n]],0)</f>
        <v>100</v>
      </c>
      <c r="W286">
        <f>ROUND(Sheet1[[#This Row],[wat_bas_r]],0)</f>
        <v>0</v>
      </c>
      <c r="X286">
        <f>ROUND(Sheet1[[#This Row],[wat_bas_u]],0)</f>
        <v>100</v>
      </c>
      <c r="Y286" s="1" t="str">
        <f t="shared" si="10"/>
        <v>full access</v>
      </c>
      <c r="Z286" s="1" t="str">
        <f t="shared" si="11"/>
        <v>not full access</v>
      </c>
      <c r="AA286" s="1" t="str">
        <f t="shared" si="12"/>
        <v>full access</v>
      </c>
    </row>
    <row r="287" spans="1:27" x14ac:dyDescent="0.25">
      <c r="A287" s="1" t="s">
        <v>32</v>
      </c>
      <c r="B287">
        <v>2020</v>
      </c>
      <c r="C287">
        <v>10.833999629999999</v>
      </c>
      <c r="D287">
        <v>100</v>
      </c>
      <c r="E287">
        <v>100</v>
      </c>
      <c r="F287">
        <v>0</v>
      </c>
      <c r="G287">
        <v>0</v>
      </c>
      <c r="H287">
        <v>0</v>
      </c>
      <c r="M287">
        <v>100</v>
      </c>
      <c r="N287">
        <v>0</v>
      </c>
      <c r="O287">
        <v>0</v>
      </c>
      <c r="P287">
        <v>0</v>
      </c>
      <c r="Q287">
        <v>5</v>
      </c>
      <c r="R287">
        <v>0</v>
      </c>
      <c r="T287">
        <v>0</v>
      </c>
      <c r="U287">
        <f>ABS(Sheet1[[#This Row],[ARC_r]]-Sheet1[[#This Row],[ARC_u]])</f>
        <v>0</v>
      </c>
      <c r="V287">
        <f>ROUND(Sheet1[[#This Row],[wat_bas_n]],0)</f>
        <v>100</v>
      </c>
      <c r="W287">
        <f>ROUND(Sheet1[[#This Row],[wat_bas_r]],0)</f>
        <v>0</v>
      </c>
      <c r="X287">
        <f>ROUND(Sheet1[[#This Row],[wat_bas_u]],0)</f>
        <v>100</v>
      </c>
      <c r="Y287" s="1" t="str">
        <f t="shared" si="10"/>
        <v>full access</v>
      </c>
      <c r="Z287" s="1" t="str">
        <f t="shared" si="11"/>
        <v>not full access</v>
      </c>
      <c r="AA287" s="1" t="str">
        <f t="shared" si="12"/>
        <v>full access</v>
      </c>
    </row>
    <row r="288" spans="1:27" hidden="1" x14ac:dyDescent="0.25">
      <c r="A288" s="1" t="s">
        <v>186</v>
      </c>
      <c r="B288">
        <v>2015</v>
      </c>
      <c r="C288">
        <v>27015.033200000002</v>
      </c>
      <c r="D288">
        <v>18.556999210000001</v>
      </c>
      <c r="E288">
        <v>87.808467590000006</v>
      </c>
      <c r="F288">
        <v>3.1679044589999998</v>
      </c>
      <c r="G288">
        <v>7.2642085280000002</v>
      </c>
      <c r="H288">
        <v>1.759419423</v>
      </c>
      <c r="I288">
        <v>87.241979639999997</v>
      </c>
      <c r="J288">
        <v>3.3102712580000002</v>
      </c>
      <c r="K288">
        <v>7.5313174839999997</v>
      </c>
      <c r="L288">
        <v>1.9164316180000001</v>
      </c>
      <c r="M288">
        <v>90.294671100000002</v>
      </c>
      <c r="N288">
        <v>2.5430847519999999</v>
      </c>
      <c r="O288">
        <v>6.091920182</v>
      </c>
      <c r="P288">
        <v>1.07032397</v>
      </c>
      <c r="U288">
        <f>ABS(Sheet1[[#This Row],[ARC_r]]-Sheet1[[#This Row],[ARC_u]])</f>
        <v>0</v>
      </c>
      <c r="V288">
        <f>ROUND(Sheet1[[#This Row],[wat_bas_n]],0)</f>
        <v>88</v>
      </c>
      <c r="W288">
        <f>ROUND(Sheet1[[#This Row],[wat_bas_r]],0)</f>
        <v>87</v>
      </c>
      <c r="X288">
        <f>ROUND(Sheet1[[#This Row],[wat_bas_u]],0)</f>
        <v>90</v>
      </c>
      <c r="Y288" s="1" t="str">
        <f t="shared" si="10"/>
        <v>not full access</v>
      </c>
      <c r="Z288" s="1" t="str">
        <f t="shared" si="11"/>
        <v>not full access</v>
      </c>
      <c r="AA288" s="1" t="str">
        <f t="shared" si="12"/>
        <v>not full access</v>
      </c>
    </row>
    <row r="289" spans="1:27" hidden="1" x14ac:dyDescent="0.25">
      <c r="A289" s="1" t="s">
        <v>186</v>
      </c>
      <c r="B289">
        <v>2020</v>
      </c>
      <c r="C289">
        <v>29136.808590000001</v>
      </c>
      <c r="D289">
        <v>20.57600021</v>
      </c>
      <c r="E289">
        <v>90.074541789999998</v>
      </c>
      <c r="F289">
        <v>3.979825725</v>
      </c>
      <c r="G289">
        <v>4.699081176</v>
      </c>
      <c r="H289">
        <v>1.246551314</v>
      </c>
      <c r="I289">
        <v>90.203271650000005</v>
      </c>
      <c r="J289">
        <v>4.2073482459999996</v>
      </c>
      <c r="K289">
        <v>4.2690239510000003</v>
      </c>
      <c r="L289">
        <v>1.320356149</v>
      </c>
      <c r="M289">
        <v>89.577633160000005</v>
      </c>
      <c r="N289">
        <v>3.1015814110000002</v>
      </c>
      <c r="O289">
        <v>6.359123168</v>
      </c>
      <c r="P289">
        <v>0.96166225849999998</v>
      </c>
      <c r="Q289">
        <v>5</v>
      </c>
      <c r="R289">
        <v>0.45321483999999829</v>
      </c>
      <c r="S289">
        <v>0.59225840200000168</v>
      </c>
      <c r="T289">
        <v>-0.1434075879999995</v>
      </c>
      <c r="U289">
        <f>ABS(Sheet1[[#This Row],[ARC_r]]-Sheet1[[#This Row],[ARC_u]])</f>
        <v>0.73566599000000121</v>
      </c>
      <c r="V289">
        <f>ROUND(Sheet1[[#This Row],[wat_bas_n]],0)</f>
        <v>90</v>
      </c>
      <c r="W289">
        <f>ROUND(Sheet1[[#This Row],[wat_bas_r]],0)</f>
        <v>90</v>
      </c>
      <c r="X289">
        <f>ROUND(Sheet1[[#This Row],[wat_bas_u]],0)</f>
        <v>90</v>
      </c>
      <c r="Y289" s="1" t="str">
        <f t="shared" si="10"/>
        <v>not full access</v>
      </c>
      <c r="Z289" s="1" t="str">
        <f t="shared" si="11"/>
        <v>not full access</v>
      </c>
      <c r="AA289" s="1" t="str">
        <f t="shared" si="12"/>
        <v>not full access</v>
      </c>
    </row>
    <row r="290" spans="1:27" x14ac:dyDescent="0.25">
      <c r="A290" s="1" t="s">
        <v>54</v>
      </c>
      <c r="B290">
        <v>2015</v>
      </c>
      <c r="C290">
        <v>16938.492190000001</v>
      </c>
      <c r="D290">
        <v>90.172996519999998</v>
      </c>
      <c r="E290">
        <v>99.999998559999995</v>
      </c>
      <c r="F290">
        <v>0</v>
      </c>
      <c r="G290">
        <v>1.441336238E-6</v>
      </c>
      <c r="H290">
        <v>0</v>
      </c>
      <c r="I290">
        <v>100</v>
      </c>
      <c r="J290">
        <v>0</v>
      </c>
      <c r="K290">
        <v>0</v>
      </c>
      <c r="L290">
        <v>0</v>
      </c>
      <c r="M290">
        <v>100</v>
      </c>
      <c r="N290">
        <v>0</v>
      </c>
      <c r="O290">
        <v>0</v>
      </c>
      <c r="P290">
        <v>0</v>
      </c>
      <c r="U290">
        <f>ABS(Sheet1[[#This Row],[ARC_r]]-Sheet1[[#This Row],[ARC_u]])</f>
        <v>0</v>
      </c>
      <c r="V290">
        <f>ROUND(Sheet1[[#This Row],[wat_bas_n]],0)</f>
        <v>100</v>
      </c>
      <c r="W290">
        <f>ROUND(Sheet1[[#This Row],[wat_bas_r]],0)</f>
        <v>100</v>
      </c>
      <c r="X290">
        <f>ROUND(Sheet1[[#This Row],[wat_bas_u]],0)</f>
        <v>100</v>
      </c>
      <c r="Y290" s="1" t="str">
        <f t="shared" si="10"/>
        <v>full access</v>
      </c>
      <c r="Z290" s="1" t="str">
        <f t="shared" si="11"/>
        <v>full access</v>
      </c>
      <c r="AA290" s="1" t="str">
        <f t="shared" si="12"/>
        <v>full access</v>
      </c>
    </row>
    <row r="291" spans="1:27" x14ac:dyDescent="0.25">
      <c r="A291" s="1" t="s">
        <v>54</v>
      </c>
      <c r="B291">
        <v>2020</v>
      </c>
      <c r="C291">
        <v>17134.873049999998</v>
      </c>
      <c r="D291">
        <v>92.236000059999995</v>
      </c>
      <c r="E291">
        <v>99.999999290000005</v>
      </c>
      <c r="F291">
        <v>0</v>
      </c>
      <c r="G291">
        <v>7.1240862099999999E-7</v>
      </c>
      <c r="H291">
        <v>0</v>
      </c>
      <c r="I291">
        <v>100</v>
      </c>
      <c r="J291">
        <v>0</v>
      </c>
      <c r="K291">
        <v>0</v>
      </c>
      <c r="L291">
        <v>0</v>
      </c>
      <c r="M291">
        <v>100</v>
      </c>
      <c r="N291">
        <v>0</v>
      </c>
      <c r="O291">
        <v>0</v>
      </c>
      <c r="P291">
        <v>0</v>
      </c>
      <c r="Q291">
        <v>5</v>
      </c>
      <c r="R291">
        <v>1.460000021324959E-7</v>
      </c>
      <c r="S291">
        <v>0</v>
      </c>
      <c r="T291">
        <v>0</v>
      </c>
      <c r="U291">
        <f>ABS(Sheet1[[#This Row],[ARC_r]]-Sheet1[[#This Row],[ARC_u]])</f>
        <v>0</v>
      </c>
      <c r="V291">
        <f>ROUND(Sheet1[[#This Row],[wat_bas_n]],0)</f>
        <v>100</v>
      </c>
      <c r="W291">
        <f>ROUND(Sheet1[[#This Row],[wat_bas_r]],0)</f>
        <v>100</v>
      </c>
      <c r="X291">
        <f>ROUND(Sheet1[[#This Row],[wat_bas_u]],0)</f>
        <v>100</v>
      </c>
      <c r="Y291" s="1" t="str">
        <f t="shared" si="10"/>
        <v>full access</v>
      </c>
      <c r="Z291" s="1" t="str">
        <f t="shared" si="11"/>
        <v>full access</v>
      </c>
      <c r="AA291" s="1" t="str">
        <f t="shared" si="12"/>
        <v>full access</v>
      </c>
    </row>
    <row r="292" spans="1:27" hidden="1" x14ac:dyDescent="0.25">
      <c r="A292" s="1" t="s">
        <v>97</v>
      </c>
      <c r="B292">
        <v>2015</v>
      </c>
      <c r="C292">
        <v>271.06201170000003</v>
      </c>
      <c r="D292">
        <v>69.379005430000007</v>
      </c>
      <c r="E292">
        <v>98.138558489999994</v>
      </c>
      <c r="F292">
        <v>0</v>
      </c>
      <c r="G292">
        <v>1.861441508</v>
      </c>
      <c r="H292">
        <v>0</v>
      </c>
      <c r="U292">
        <f>ABS(Sheet1[[#This Row],[ARC_r]]-Sheet1[[#This Row],[ARC_u]])</f>
        <v>0</v>
      </c>
      <c r="V292">
        <f>ROUND(Sheet1[[#This Row],[wat_bas_n]],0)</f>
        <v>98</v>
      </c>
      <c r="W292">
        <f>ROUND(Sheet1[[#This Row],[wat_bas_r]],0)</f>
        <v>0</v>
      </c>
      <c r="X292">
        <f>ROUND(Sheet1[[#This Row],[wat_bas_u]],0)</f>
        <v>0</v>
      </c>
      <c r="Y292" s="1" t="str">
        <f t="shared" si="10"/>
        <v>not full access</v>
      </c>
      <c r="Z292" s="1" t="str">
        <f t="shared" si="11"/>
        <v>not full access</v>
      </c>
      <c r="AA292" s="1" t="str">
        <f t="shared" si="12"/>
        <v>not full access</v>
      </c>
    </row>
    <row r="293" spans="1:27" hidden="1" x14ac:dyDescent="0.25">
      <c r="A293" s="1" t="s">
        <v>97</v>
      </c>
      <c r="B293">
        <v>2020</v>
      </c>
      <c r="C293">
        <v>285.4909973</v>
      </c>
      <c r="D293">
        <v>71.517997739999998</v>
      </c>
      <c r="E293">
        <v>99.305320570000006</v>
      </c>
      <c r="F293">
        <v>0</v>
      </c>
      <c r="G293">
        <v>0.69467942780000003</v>
      </c>
      <c r="H293">
        <v>0</v>
      </c>
      <c r="Q293">
        <v>5</v>
      </c>
      <c r="R293">
        <v>0.23335241600000239</v>
      </c>
      <c r="U293">
        <f>ABS(Sheet1[[#This Row],[ARC_r]]-Sheet1[[#This Row],[ARC_u]])</f>
        <v>0</v>
      </c>
      <c r="V293">
        <f>ROUND(Sheet1[[#This Row],[wat_bas_n]],0)</f>
        <v>99</v>
      </c>
      <c r="W293">
        <f>ROUND(Sheet1[[#This Row],[wat_bas_r]],0)</f>
        <v>0</v>
      </c>
      <c r="X293">
        <f>ROUND(Sheet1[[#This Row],[wat_bas_u]],0)</f>
        <v>0</v>
      </c>
      <c r="Y293" s="1" t="str">
        <f t="shared" si="10"/>
        <v>not full access</v>
      </c>
      <c r="Z293" s="1" t="str">
        <f t="shared" si="11"/>
        <v>not full access</v>
      </c>
      <c r="AA293" s="1" t="str">
        <f t="shared" si="12"/>
        <v>not full access</v>
      </c>
    </row>
    <row r="294" spans="1:27" x14ac:dyDescent="0.25">
      <c r="A294" s="1" t="s">
        <v>27</v>
      </c>
      <c r="B294">
        <v>2015</v>
      </c>
      <c r="C294">
        <v>4614.5268550000001</v>
      </c>
      <c r="D294">
        <v>86.340995789999994</v>
      </c>
      <c r="E294">
        <v>99.999997350000001</v>
      </c>
      <c r="F294">
        <v>0</v>
      </c>
      <c r="G294">
        <v>2.6453484029999998E-6</v>
      </c>
      <c r="H294">
        <v>0</v>
      </c>
      <c r="I294">
        <v>100</v>
      </c>
      <c r="J294">
        <v>0</v>
      </c>
      <c r="K294">
        <v>0</v>
      </c>
      <c r="L294">
        <v>0</v>
      </c>
      <c r="M294">
        <v>100</v>
      </c>
      <c r="N294">
        <v>0</v>
      </c>
      <c r="O294">
        <v>0</v>
      </c>
      <c r="P294">
        <v>0</v>
      </c>
      <c r="U294">
        <f>ABS(Sheet1[[#This Row],[ARC_r]]-Sheet1[[#This Row],[ARC_u]])</f>
        <v>0</v>
      </c>
      <c r="V294">
        <f>ROUND(Sheet1[[#This Row],[wat_bas_n]],0)</f>
        <v>100</v>
      </c>
      <c r="W294">
        <f>ROUND(Sheet1[[#This Row],[wat_bas_r]],0)</f>
        <v>100</v>
      </c>
      <c r="X294">
        <f>ROUND(Sheet1[[#This Row],[wat_bas_u]],0)</f>
        <v>100</v>
      </c>
      <c r="Y294" s="1" t="str">
        <f t="shared" si="10"/>
        <v>full access</v>
      </c>
      <c r="Z294" s="1" t="str">
        <f t="shared" si="11"/>
        <v>full access</v>
      </c>
      <c r="AA294" s="1" t="str">
        <f t="shared" si="12"/>
        <v>full access</v>
      </c>
    </row>
    <row r="295" spans="1:27" x14ac:dyDescent="0.25">
      <c r="A295" s="1" t="s">
        <v>27</v>
      </c>
      <c r="B295">
        <v>2020</v>
      </c>
      <c r="C295">
        <v>4822.2329099999997</v>
      </c>
      <c r="D295">
        <v>86.698997500000004</v>
      </c>
      <c r="E295">
        <v>100.00000129999999</v>
      </c>
      <c r="F295">
        <v>0</v>
      </c>
      <c r="G295">
        <v>0</v>
      </c>
      <c r="H295">
        <v>0</v>
      </c>
      <c r="I295">
        <v>100</v>
      </c>
      <c r="J295">
        <v>0</v>
      </c>
      <c r="K295">
        <v>0</v>
      </c>
      <c r="L295">
        <v>0</v>
      </c>
      <c r="M295">
        <v>100</v>
      </c>
      <c r="N295">
        <v>0</v>
      </c>
      <c r="O295">
        <v>0</v>
      </c>
      <c r="P295">
        <v>0</v>
      </c>
      <c r="Q295">
        <v>5</v>
      </c>
      <c r="R295">
        <v>7.8999999857387589E-7</v>
      </c>
      <c r="S295">
        <v>0</v>
      </c>
      <c r="T295">
        <v>0</v>
      </c>
      <c r="U295">
        <f>ABS(Sheet1[[#This Row],[ARC_r]]-Sheet1[[#This Row],[ARC_u]])</f>
        <v>0</v>
      </c>
      <c r="V295">
        <f>ROUND(Sheet1[[#This Row],[wat_bas_n]],0)</f>
        <v>100</v>
      </c>
      <c r="W295">
        <f>ROUND(Sheet1[[#This Row],[wat_bas_r]],0)</f>
        <v>100</v>
      </c>
      <c r="X295">
        <f>ROUND(Sheet1[[#This Row],[wat_bas_u]],0)</f>
        <v>100</v>
      </c>
      <c r="Y295" s="1" t="str">
        <f t="shared" si="10"/>
        <v>full access</v>
      </c>
      <c r="Z295" s="1" t="str">
        <f t="shared" si="11"/>
        <v>full access</v>
      </c>
      <c r="AA295" s="1" t="str">
        <f t="shared" si="12"/>
        <v>full access</v>
      </c>
    </row>
    <row r="296" spans="1:27" hidden="1" x14ac:dyDescent="0.25">
      <c r="A296" s="1" t="s">
        <v>200</v>
      </c>
      <c r="B296">
        <v>2015</v>
      </c>
      <c r="C296">
        <v>6223.2338870000003</v>
      </c>
      <c r="D296">
        <v>57.894996640000002</v>
      </c>
      <c r="E296">
        <v>81.35312854</v>
      </c>
      <c r="F296">
        <v>1.4259273880000001</v>
      </c>
      <c r="G296">
        <v>13.835758999999999</v>
      </c>
      <c r="H296">
        <v>3.3851850699999999</v>
      </c>
      <c r="I296">
        <v>59.50465784</v>
      </c>
      <c r="J296">
        <v>3.2389618649999998</v>
      </c>
      <c r="K296">
        <v>29.55960602</v>
      </c>
      <c r="L296">
        <v>7.6967742709999998</v>
      </c>
      <c r="M296">
        <v>97.242754880000007</v>
      </c>
      <c r="N296">
        <v>0.1073710103</v>
      </c>
      <c r="O296">
        <v>2.4003566219999999</v>
      </c>
      <c r="P296">
        <v>0.24951748460000001</v>
      </c>
      <c r="U296">
        <f>ABS(Sheet1[[#This Row],[ARC_r]]-Sheet1[[#This Row],[ARC_u]])</f>
        <v>0</v>
      </c>
      <c r="V296">
        <f>ROUND(Sheet1[[#This Row],[wat_bas_n]],0)</f>
        <v>81</v>
      </c>
      <c r="W296">
        <f>ROUND(Sheet1[[#This Row],[wat_bas_r]],0)</f>
        <v>60</v>
      </c>
      <c r="X296">
        <f>ROUND(Sheet1[[#This Row],[wat_bas_u]],0)</f>
        <v>97</v>
      </c>
      <c r="Y296" s="1" t="str">
        <f t="shared" si="10"/>
        <v>not full access</v>
      </c>
      <c r="Z296" s="1" t="str">
        <f t="shared" si="11"/>
        <v>not full access</v>
      </c>
      <c r="AA296" s="1" t="str">
        <f t="shared" si="12"/>
        <v>not full access</v>
      </c>
    </row>
    <row r="297" spans="1:27" hidden="1" x14ac:dyDescent="0.25">
      <c r="A297" s="1" t="s">
        <v>200</v>
      </c>
      <c r="B297">
        <v>2020</v>
      </c>
      <c r="C297">
        <v>6624.5541990000002</v>
      </c>
      <c r="D297">
        <v>59.012001040000001</v>
      </c>
      <c r="E297">
        <v>81.708753799999997</v>
      </c>
      <c r="F297">
        <v>1.506645682</v>
      </c>
      <c r="G297">
        <v>13.530531140000001</v>
      </c>
      <c r="H297">
        <v>3.2540693780000001</v>
      </c>
      <c r="I297">
        <v>59.107446629999998</v>
      </c>
      <c r="J297">
        <v>3.5209742849999999</v>
      </c>
      <c r="K297">
        <v>29.780173680000001</v>
      </c>
      <c r="L297">
        <v>7.5914054000000002</v>
      </c>
      <c r="M297">
        <v>97.406956609999995</v>
      </c>
      <c r="N297">
        <v>0.10755231429999999</v>
      </c>
      <c r="O297">
        <v>2.244007656</v>
      </c>
      <c r="P297">
        <v>0.24148342289999999</v>
      </c>
      <c r="Q297">
        <v>5</v>
      </c>
      <c r="R297">
        <v>7.11250519999993E-2</v>
      </c>
      <c r="S297">
        <v>-7.9442242000000357E-2</v>
      </c>
      <c r="T297">
        <v>3.2840345999997557E-2</v>
      </c>
      <c r="U297">
        <f>ABS(Sheet1[[#This Row],[ARC_r]]-Sheet1[[#This Row],[ARC_u]])</f>
        <v>0.11228258799999791</v>
      </c>
      <c r="V297">
        <f>ROUND(Sheet1[[#This Row],[wat_bas_n]],0)</f>
        <v>82</v>
      </c>
      <c r="W297">
        <f>ROUND(Sheet1[[#This Row],[wat_bas_r]],0)</f>
        <v>59</v>
      </c>
      <c r="X297">
        <f>ROUND(Sheet1[[#This Row],[wat_bas_u]],0)</f>
        <v>97</v>
      </c>
      <c r="Y297" s="1" t="str">
        <f t="shared" si="10"/>
        <v>not full access</v>
      </c>
      <c r="Z297" s="1" t="str">
        <f t="shared" si="11"/>
        <v>not full access</v>
      </c>
      <c r="AA297" s="1" t="str">
        <f t="shared" si="12"/>
        <v>not full access</v>
      </c>
    </row>
    <row r="298" spans="1:27" hidden="1" x14ac:dyDescent="0.25">
      <c r="A298" s="1" t="s">
        <v>241</v>
      </c>
      <c r="B298">
        <v>2015</v>
      </c>
      <c r="C298">
        <v>20001.662110000001</v>
      </c>
      <c r="D298">
        <v>16.24699974</v>
      </c>
      <c r="E298">
        <v>45.482458059999999</v>
      </c>
      <c r="F298">
        <v>16.128836960000001</v>
      </c>
      <c r="G298">
        <v>34.719560010000002</v>
      </c>
      <c r="H298">
        <v>3.6691449719999998</v>
      </c>
      <c r="I298">
        <v>37.329941650000002</v>
      </c>
      <c r="J298">
        <v>17.64359486</v>
      </c>
      <c r="K298">
        <v>40.888487750000003</v>
      </c>
      <c r="L298">
        <v>4.1379757509999999</v>
      </c>
      <c r="M298">
        <v>87.508539040000002</v>
      </c>
      <c r="N298">
        <v>8.3202861959999996</v>
      </c>
      <c r="O298">
        <v>2.918844344</v>
      </c>
      <c r="P298">
        <v>1.252330425</v>
      </c>
      <c r="U298">
        <f>ABS(Sheet1[[#This Row],[ARC_r]]-Sheet1[[#This Row],[ARC_u]])</f>
        <v>0</v>
      </c>
      <c r="V298">
        <f>ROUND(Sheet1[[#This Row],[wat_bas_n]],0)</f>
        <v>45</v>
      </c>
      <c r="W298">
        <f>ROUND(Sheet1[[#This Row],[wat_bas_r]],0)</f>
        <v>37</v>
      </c>
      <c r="X298">
        <f>ROUND(Sheet1[[#This Row],[wat_bas_u]],0)</f>
        <v>88</v>
      </c>
      <c r="Y298" s="1" t="str">
        <f t="shared" si="10"/>
        <v>not full access</v>
      </c>
      <c r="Z298" s="1" t="str">
        <f t="shared" si="11"/>
        <v>not full access</v>
      </c>
      <c r="AA298" s="1" t="str">
        <f t="shared" si="12"/>
        <v>not full access</v>
      </c>
    </row>
    <row r="299" spans="1:27" hidden="1" x14ac:dyDescent="0.25">
      <c r="A299" s="1" t="s">
        <v>241</v>
      </c>
      <c r="B299">
        <v>2020</v>
      </c>
      <c r="C299">
        <v>24206.636719999999</v>
      </c>
      <c r="D299">
        <v>16.625999449999998</v>
      </c>
      <c r="E299">
        <v>46.911797470000003</v>
      </c>
      <c r="F299">
        <v>21.653898699999999</v>
      </c>
      <c r="G299">
        <v>27.027512439999999</v>
      </c>
      <c r="H299">
        <v>4.4067913919999997</v>
      </c>
      <c r="I299">
        <v>39.154159319999998</v>
      </c>
      <c r="J299">
        <v>23.987740389999999</v>
      </c>
      <c r="K299">
        <v>31.991506480000002</v>
      </c>
      <c r="L299">
        <v>4.8665938129999997</v>
      </c>
      <c r="M299">
        <v>85.813839759999993</v>
      </c>
      <c r="N299">
        <v>9.9504408289999997</v>
      </c>
      <c r="O299">
        <v>2.1346877800000001</v>
      </c>
      <c r="P299">
        <v>2.1010316339999999</v>
      </c>
      <c r="Q299">
        <v>5</v>
      </c>
      <c r="R299">
        <v>0.28586788200000091</v>
      </c>
      <c r="S299">
        <v>0.36484353399999919</v>
      </c>
      <c r="T299">
        <v>-0.33893985600000182</v>
      </c>
      <c r="U299">
        <f>ABS(Sheet1[[#This Row],[ARC_r]]-Sheet1[[#This Row],[ARC_u]])</f>
        <v>0.70378339000000101</v>
      </c>
      <c r="V299">
        <f>ROUND(Sheet1[[#This Row],[wat_bas_n]],0)</f>
        <v>47</v>
      </c>
      <c r="W299">
        <f>ROUND(Sheet1[[#This Row],[wat_bas_r]],0)</f>
        <v>39</v>
      </c>
      <c r="X299">
        <f>ROUND(Sheet1[[#This Row],[wat_bas_u]],0)</f>
        <v>86</v>
      </c>
      <c r="Y299" s="1" t="str">
        <f t="shared" si="10"/>
        <v>not full access</v>
      </c>
      <c r="Z299" s="1" t="str">
        <f t="shared" si="11"/>
        <v>not full access</v>
      </c>
      <c r="AA299" s="1" t="str">
        <f t="shared" si="12"/>
        <v>not full access</v>
      </c>
    </row>
    <row r="300" spans="1:27" hidden="1" x14ac:dyDescent="0.25">
      <c r="A300" s="1" t="s">
        <v>205</v>
      </c>
      <c r="B300">
        <v>2015</v>
      </c>
      <c r="C300">
        <v>181137.45310000001</v>
      </c>
      <c r="D300">
        <v>47.837997440000002</v>
      </c>
      <c r="E300">
        <v>68.779755460000004</v>
      </c>
      <c r="F300">
        <v>6.7135509960000004</v>
      </c>
      <c r="G300">
        <v>14.733762459999999</v>
      </c>
      <c r="H300">
        <v>9.7729310859999998</v>
      </c>
      <c r="I300">
        <v>53.492449000000001</v>
      </c>
      <c r="J300">
        <v>7.1064402710000003</v>
      </c>
      <c r="K300">
        <v>23.107160100000002</v>
      </c>
      <c r="L300">
        <v>16.29395062</v>
      </c>
      <c r="M300">
        <v>85.448858319999999</v>
      </c>
      <c r="N300">
        <v>6.2851490559999998</v>
      </c>
      <c r="O300">
        <v>5.6035061180000003</v>
      </c>
      <c r="P300">
        <v>2.6624865010000001</v>
      </c>
      <c r="U300">
        <f>ABS(Sheet1[[#This Row],[ARC_r]]-Sheet1[[#This Row],[ARC_u]])</f>
        <v>0</v>
      </c>
      <c r="V300">
        <f>ROUND(Sheet1[[#This Row],[wat_bas_n]],0)</f>
        <v>69</v>
      </c>
      <c r="W300">
        <f>ROUND(Sheet1[[#This Row],[wat_bas_r]],0)</f>
        <v>53</v>
      </c>
      <c r="X300">
        <f>ROUND(Sheet1[[#This Row],[wat_bas_u]],0)</f>
        <v>85</v>
      </c>
      <c r="Y300" s="1" t="str">
        <f t="shared" si="10"/>
        <v>not full access</v>
      </c>
      <c r="Z300" s="1" t="str">
        <f t="shared" si="11"/>
        <v>not full access</v>
      </c>
      <c r="AA300" s="1" t="str">
        <f t="shared" si="12"/>
        <v>not full access</v>
      </c>
    </row>
    <row r="301" spans="1:27" hidden="1" x14ac:dyDescent="0.25">
      <c r="A301" s="1" t="s">
        <v>205</v>
      </c>
      <c r="B301">
        <v>2020</v>
      </c>
      <c r="C301">
        <v>206139.5938</v>
      </c>
      <c r="D301">
        <v>51.958000179999999</v>
      </c>
      <c r="E301">
        <v>77.609053380000006</v>
      </c>
      <c r="F301">
        <v>4.9793993429999999</v>
      </c>
      <c r="G301">
        <v>11.79691148</v>
      </c>
      <c r="H301">
        <v>5.6146357939999998</v>
      </c>
      <c r="I301">
        <v>61.658210029999999</v>
      </c>
      <c r="J301">
        <v>7.1289245829999999</v>
      </c>
      <c r="K301">
        <v>20.924875350000001</v>
      </c>
      <c r="L301">
        <v>10.28799004</v>
      </c>
      <c r="M301">
        <v>92.357705190000004</v>
      </c>
      <c r="N301">
        <v>2.9918806500000001</v>
      </c>
      <c r="O301">
        <v>3.356908786</v>
      </c>
      <c r="P301">
        <v>1.2935053700000001</v>
      </c>
      <c r="Q301">
        <v>5</v>
      </c>
      <c r="R301">
        <v>1.765859584</v>
      </c>
      <c r="S301">
        <v>1.6331522060000001</v>
      </c>
      <c r="T301">
        <v>1.381769374000001</v>
      </c>
      <c r="U301">
        <f>ABS(Sheet1[[#This Row],[ARC_r]]-Sheet1[[#This Row],[ARC_u]])</f>
        <v>0.25138283199999911</v>
      </c>
      <c r="V301">
        <f>ROUND(Sheet1[[#This Row],[wat_bas_n]],0)</f>
        <v>78</v>
      </c>
      <c r="W301">
        <f>ROUND(Sheet1[[#This Row],[wat_bas_r]],0)</f>
        <v>62</v>
      </c>
      <c r="X301">
        <f>ROUND(Sheet1[[#This Row],[wat_bas_u]],0)</f>
        <v>92</v>
      </c>
      <c r="Y301" s="1" t="str">
        <f t="shared" si="10"/>
        <v>not full access</v>
      </c>
      <c r="Z301" s="1" t="str">
        <f t="shared" si="11"/>
        <v>not full access</v>
      </c>
      <c r="AA301" s="1" t="str">
        <f t="shared" si="12"/>
        <v>not full access</v>
      </c>
    </row>
    <row r="302" spans="1:27" hidden="1" x14ac:dyDescent="0.25">
      <c r="A302" s="1" t="s">
        <v>123</v>
      </c>
      <c r="B302">
        <v>2015</v>
      </c>
      <c r="C302">
        <v>1.6100000139999999</v>
      </c>
      <c r="D302">
        <v>42.568000789999999</v>
      </c>
      <c r="E302">
        <v>97.606139409999997</v>
      </c>
      <c r="F302">
        <v>0</v>
      </c>
      <c r="G302">
        <v>2.393860594</v>
      </c>
      <c r="H302">
        <v>0</v>
      </c>
      <c r="U302">
        <f>ABS(Sheet1[[#This Row],[ARC_r]]-Sheet1[[#This Row],[ARC_u]])</f>
        <v>0</v>
      </c>
      <c r="V302">
        <f>ROUND(Sheet1[[#This Row],[wat_bas_n]],0)</f>
        <v>98</v>
      </c>
      <c r="W302">
        <f>ROUND(Sheet1[[#This Row],[wat_bas_r]],0)</f>
        <v>0</v>
      </c>
      <c r="X302">
        <f>ROUND(Sheet1[[#This Row],[wat_bas_u]],0)</f>
        <v>0</v>
      </c>
      <c r="Y302" s="1" t="str">
        <f t="shared" si="10"/>
        <v>not full access</v>
      </c>
      <c r="Z302" s="1" t="str">
        <f t="shared" si="11"/>
        <v>not full access</v>
      </c>
      <c r="AA302" s="1" t="str">
        <f t="shared" si="12"/>
        <v>not full access</v>
      </c>
    </row>
    <row r="303" spans="1:27" hidden="1" x14ac:dyDescent="0.25">
      <c r="A303" s="1" t="s">
        <v>123</v>
      </c>
      <c r="B303">
        <v>2020</v>
      </c>
      <c r="C303">
        <v>1.618000031</v>
      </c>
      <c r="D303">
        <v>46.202003480000002</v>
      </c>
      <c r="E303">
        <v>97.010876179999997</v>
      </c>
      <c r="F303">
        <v>0</v>
      </c>
      <c r="G303">
        <v>2.9891238219999998</v>
      </c>
      <c r="H303">
        <v>0</v>
      </c>
      <c r="Q303">
        <v>5</v>
      </c>
      <c r="R303">
        <v>-0.1190526460000001</v>
      </c>
      <c r="U303">
        <f>ABS(Sheet1[[#This Row],[ARC_r]]-Sheet1[[#This Row],[ARC_u]])</f>
        <v>0</v>
      </c>
      <c r="V303">
        <f>ROUND(Sheet1[[#This Row],[wat_bas_n]],0)</f>
        <v>97</v>
      </c>
      <c r="W303">
        <f>ROUND(Sheet1[[#This Row],[wat_bas_r]],0)</f>
        <v>0</v>
      </c>
      <c r="X303">
        <f>ROUND(Sheet1[[#This Row],[wat_bas_u]],0)</f>
        <v>0</v>
      </c>
      <c r="Y303" s="1" t="str">
        <f t="shared" si="10"/>
        <v>not full access</v>
      </c>
      <c r="Z303" s="1" t="str">
        <f t="shared" si="11"/>
        <v>not full access</v>
      </c>
      <c r="AA303" s="1" t="str">
        <f t="shared" si="12"/>
        <v>not full access</v>
      </c>
    </row>
    <row r="304" spans="1:27" hidden="1" x14ac:dyDescent="0.25">
      <c r="A304" s="1" t="s">
        <v>121</v>
      </c>
      <c r="B304">
        <v>2015</v>
      </c>
      <c r="C304">
        <v>2079.334961</v>
      </c>
      <c r="D304">
        <v>57.407997129999998</v>
      </c>
      <c r="E304">
        <v>97.472332829999999</v>
      </c>
      <c r="F304">
        <v>1.8859917129999999</v>
      </c>
      <c r="G304">
        <v>0.59247317450000003</v>
      </c>
      <c r="H304">
        <v>4.9202279760000002E-2</v>
      </c>
      <c r="I304">
        <v>97.633233129999994</v>
      </c>
      <c r="J304">
        <v>1.2224645000000001</v>
      </c>
      <c r="K304">
        <v>1.0287823730000001</v>
      </c>
      <c r="L304">
        <v>0.11552</v>
      </c>
      <c r="M304">
        <v>97.352958079999993</v>
      </c>
      <c r="N304">
        <v>2.37827419</v>
      </c>
      <c r="O304">
        <v>0.2687677275</v>
      </c>
      <c r="P304">
        <v>0</v>
      </c>
      <c r="U304">
        <f>ABS(Sheet1[[#This Row],[ARC_r]]-Sheet1[[#This Row],[ARC_u]])</f>
        <v>0</v>
      </c>
      <c r="V304">
        <f>ROUND(Sheet1[[#This Row],[wat_bas_n]],0)</f>
        <v>97</v>
      </c>
      <c r="W304">
        <f>ROUND(Sheet1[[#This Row],[wat_bas_r]],0)</f>
        <v>98</v>
      </c>
      <c r="X304">
        <f>ROUND(Sheet1[[#This Row],[wat_bas_u]],0)</f>
        <v>97</v>
      </c>
      <c r="Y304" s="1" t="str">
        <f t="shared" si="10"/>
        <v>not full access</v>
      </c>
      <c r="Z304" s="1" t="str">
        <f t="shared" si="11"/>
        <v>not full access</v>
      </c>
      <c r="AA304" s="1" t="str">
        <f t="shared" si="12"/>
        <v>not full access</v>
      </c>
    </row>
    <row r="305" spans="1:27" hidden="1" x14ac:dyDescent="0.25">
      <c r="A305" s="1" t="s">
        <v>121</v>
      </c>
      <c r="B305">
        <v>2020</v>
      </c>
      <c r="C305">
        <v>2083.3798830000001</v>
      </c>
      <c r="D305">
        <v>58.481998439999998</v>
      </c>
      <c r="E305">
        <v>97.742815789999995</v>
      </c>
      <c r="F305">
        <v>1.6349941400000001</v>
      </c>
      <c r="G305">
        <v>0.57422847619999995</v>
      </c>
      <c r="H305">
        <v>4.796159706E-2</v>
      </c>
      <c r="I305">
        <v>97.468714570000003</v>
      </c>
      <c r="J305">
        <v>1.505202232</v>
      </c>
      <c r="K305">
        <v>0.91056319819999998</v>
      </c>
      <c r="L305">
        <v>0.11552</v>
      </c>
      <c r="M305">
        <v>97.937402989999995</v>
      </c>
      <c r="N305">
        <v>1.7271369539999999</v>
      </c>
      <c r="O305">
        <v>0.33546005629999998</v>
      </c>
      <c r="P305">
        <v>0</v>
      </c>
      <c r="Q305">
        <v>5</v>
      </c>
      <c r="R305">
        <v>5.4096591999999083E-2</v>
      </c>
      <c r="S305">
        <v>-3.2903711999998107E-2</v>
      </c>
      <c r="T305">
        <v>0.1168889820000004</v>
      </c>
      <c r="U305">
        <f>ABS(Sheet1[[#This Row],[ARC_r]]-Sheet1[[#This Row],[ARC_u]])</f>
        <v>0.14979269399999851</v>
      </c>
      <c r="V305">
        <f>ROUND(Sheet1[[#This Row],[wat_bas_n]],0)</f>
        <v>98</v>
      </c>
      <c r="W305">
        <f>ROUND(Sheet1[[#This Row],[wat_bas_r]],0)</f>
        <v>97</v>
      </c>
      <c r="X305">
        <f>ROUND(Sheet1[[#This Row],[wat_bas_u]],0)</f>
        <v>98</v>
      </c>
      <c r="Y305" s="1" t="str">
        <f t="shared" si="10"/>
        <v>not full access</v>
      </c>
      <c r="Z305" s="1" t="str">
        <f t="shared" si="11"/>
        <v>not full access</v>
      </c>
      <c r="AA305" s="1" t="str">
        <f t="shared" si="12"/>
        <v>not full access</v>
      </c>
    </row>
    <row r="306" spans="1:27" x14ac:dyDescent="0.25">
      <c r="A306" s="1" t="s">
        <v>39</v>
      </c>
      <c r="B306">
        <v>2015</v>
      </c>
      <c r="C306">
        <v>55.778999329999998</v>
      </c>
      <c r="D306">
        <v>91.356994630000003</v>
      </c>
      <c r="E306">
        <v>99.980183389999993</v>
      </c>
      <c r="F306">
        <v>0</v>
      </c>
      <c r="G306">
        <v>1.9816611519999999E-2</v>
      </c>
      <c r="H306">
        <v>0</v>
      </c>
      <c r="U306">
        <f>ABS(Sheet1[[#This Row],[ARC_r]]-Sheet1[[#This Row],[ARC_u]])</f>
        <v>0</v>
      </c>
      <c r="V306">
        <f>ROUND(Sheet1[[#This Row],[wat_bas_n]],0)</f>
        <v>100</v>
      </c>
      <c r="W306">
        <f>ROUND(Sheet1[[#This Row],[wat_bas_r]],0)</f>
        <v>0</v>
      </c>
      <c r="X306">
        <f>ROUND(Sheet1[[#This Row],[wat_bas_u]],0)</f>
        <v>0</v>
      </c>
      <c r="Y306" s="1" t="str">
        <f t="shared" si="10"/>
        <v>full access</v>
      </c>
      <c r="Z306" s="1" t="str">
        <f t="shared" si="11"/>
        <v>not full access</v>
      </c>
      <c r="AA306" s="1" t="str">
        <f t="shared" si="12"/>
        <v>not full access</v>
      </c>
    </row>
    <row r="307" spans="1:27" x14ac:dyDescent="0.25">
      <c r="A307" s="1" t="s">
        <v>39</v>
      </c>
      <c r="B307">
        <v>2020</v>
      </c>
      <c r="C307">
        <v>57.556999210000001</v>
      </c>
      <c r="D307">
        <v>91.797996519999998</v>
      </c>
      <c r="E307">
        <v>100</v>
      </c>
      <c r="F307">
        <v>0</v>
      </c>
      <c r="G307">
        <v>0</v>
      </c>
      <c r="H307">
        <v>0</v>
      </c>
      <c r="Q307">
        <v>5</v>
      </c>
      <c r="R307">
        <v>3.9633220000013123E-3</v>
      </c>
      <c r="U307">
        <f>ABS(Sheet1[[#This Row],[ARC_r]]-Sheet1[[#This Row],[ARC_u]])</f>
        <v>0</v>
      </c>
      <c r="V307">
        <f>ROUND(Sheet1[[#This Row],[wat_bas_n]],0)</f>
        <v>100</v>
      </c>
      <c r="W307">
        <f>ROUND(Sheet1[[#This Row],[wat_bas_r]],0)</f>
        <v>0</v>
      </c>
      <c r="X307">
        <f>ROUND(Sheet1[[#This Row],[wat_bas_u]],0)</f>
        <v>0</v>
      </c>
      <c r="Y307" s="1" t="str">
        <f t="shared" si="10"/>
        <v>full access</v>
      </c>
      <c r="Z307" s="1" t="str">
        <f t="shared" si="11"/>
        <v>not full access</v>
      </c>
      <c r="AA307" s="1" t="str">
        <f t="shared" si="12"/>
        <v>not full access</v>
      </c>
    </row>
    <row r="308" spans="1:27" x14ac:dyDescent="0.25">
      <c r="A308" s="1" t="s">
        <v>28</v>
      </c>
      <c r="B308">
        <v>2015</v>
      </c>
      <c r="C308">
        <v>5199.8271480000003</v>
      </c>
      <c r="D308">
        <v>81.090995789999994</v>
      </c>
      <c r="E308">
        <v>100.0000012</v>
      </c>
      <c r="F308">
        <v>0</v>
      </c>
      <c r="G308">
        <v>0</v>
      </c>
      <c r="H308">
        <v>0</v>
      </c>
      <c r="I308">
        <v>100</v>
      </c>
      <c r="J308">
        <v>0</v>
      </c>
      <c r="K308">
        <v>0</v>
      </c>
      <c r="L308">
        <v>0</v>
      </c>
      <c r="M308">
        <v>100</v>
      </c>
      <c r="N308">
        <v>0</v>
      </c>
      <c r="O308">
        <v>0</v>
      </c>
      <c r="P308">
        <v>0</v>
      </c>
      <c r="U308">
        <f>ABS(Sheet1[[#This Row],[ARC_r]]-Sheet1[[#This Row],[ARC_u]])</f>
        <v>0</v>
      </c>
      <c r="V308">
        <f>ROUND(Sheet1[[#This Row],[wat_bas_n]],0)</f>
        <v>100</v>
      </c>
      <c r="W308">
        <f>ROUND(Sheet1[[#This Row],[wat_bas_r]],0)</f>
        <v>100</v>
      </c>
      <c r="X308">
        <f>ROUND(Sheet1[[#This Row],[wat_bas_u]],0)</f>
        <v>100</v>
      </c>
      <c r="Y308" s="1" t="str">
        <f t="shared" si="10"/>
        <v>full access</v>
      </c>
      <c r="Z308" s="1" t="str">
        <f t="shared" si="11"/>
        <v>full access</v>
      </c>
      <c r="AA308" s="1" t="str">
        <f t="shared" si="12"/>
        <v>full access</v>
      </c>
    </row>
    <row r="309" spans="1:27" x14ac:dyDescent="0.25">
      <c r="A309" s="1" t="s">
        <v>28</v>
      </c>
      <c r="B309">
        <v>2020</v>
      </c>
      <c r="C309">
        <v>5421.2421880000002</v>
      </c>
      <c r="D309">
        <v>82.973991389999995</v>
      </c>
      <c r="E309">
        <v>99.999995499999997</v>
      </c>
      <c r="F309">
        <v>0</v>
      </c>
      <c r="G309">
        <v>4.5034074529999998E-6</v>
      </c>
      <c r="H309">
        <v>0</v>
      </c>
      <c r="I309">
        <v>100</v>
      </c>
      <c r="J309">
        <v>0</v>
      </c>
      <c r="K309">
        <v>0</v>
      </c>
      <c r="L309">
        <v>0</v>
      </c>
      <c r="M309">
        <v>100</v>
      </c>
      <c r="N309">
        <v>0</v>
      </c>
      <c r="O309">
        <v>0</v>
      </c>
      <c r="P309">
        <v>0</v>
      </c>
      <c r="Q309">
        <v>5</v>
      </c>
      <c r="R309">
        <v>-1.1400000005323819E-6</v>
      </c>
      <c r="S309">
        <v>0</v>
      </c>
      <c r="T309">
        <v>0</v>
      </c>
      <c r="U309">
        <f>ABS(Sheet1[[#This Row],[ARC_r]]-Sheet1[[#This Row],[ARC_u]])</f>
        <v>0</v>
      </c>
      <c r="V309">
        <f>ROUND(Sheet1[[#This Row],[wat_bas_n]],0)</f>
        <v>100</v>
      </c>
      <c r="W309">
        <f>ROUND(Sheet1[[#This Row],[wat_bas_r]],0)</f>
        <v>100</v>
      </c>
      <c r="X309">
        <f>ROUND(Sheet1[[#This Row],[wat_bas_u]],0)</f>
        <v>100</v>
      </c>
      <c r="Y309" s="1" t="str">
        <f t="shared" si="10"/>
        <v>full access</v>
      </c>
      <c r="Z309" s="1" t="str">
        <f t="shared" si="11"/>
        <v>full access</v>
      </c>
      <c r="AA309" s="1" t="str">
        <f t="shared" si="12"/>
        <v>full access</v>
      </c>
    </row>
    <row r="310" spans="1:27" hidden="1" x14ac:dyDescent="0.25">
      <c r="A310" s="1" t="s">
        <v>176</v>
      </c>
      <c r="B310">
        <v>2015</v>
      </c>
      <c r="C310">
        <v>4267.3408200000003</v>
      </c>
      <c r="D310">
        <v>81.349998470000003</v>
      </c>
      <c r="E310">
        <v>90.238485639999993</v>
      </c>
      <c r="F310">
        <v>8.2088027879999999</v>
      </c>
      <c r="G310">
        <v>1.473142599</v>
      </c>
      <c r="H310">
        <v>7.9568975099999995E-2</v>
      </c>
      <c r="I310">
        <v>74.366908460000005</v>
      </c>
      <c r="J310">
        <v>21.097672360000001</v>
      </c>
      <c r="K310">
        <v>4.3867318319999997</v>
      </c>
      <c r="L310">
        <v>0.14868735080000001</v>
      </c>
      <c r="M310">
        <v>93.877145080000005</v>
      </c>
      <c r="N310">
        <v>5.2539479289999997</v>
      </c>
      <c r="O310">
        <v>0.80518384210000005</v>
      </c>
      <c r="P310">
        <v>6.3723150359999994E-2</v>
      </c>
      <c r="U310">
        <f>ABS(Sheet1[[#This Row],[ARC_r]]-Sheet1[[#This Row],[ARC_u]])</f>
        <v>0</v>
      </c>
      <c r="V310">
        <f>ROUND(Sheet1[[#This Row],[wat_bas_n]],0)</f>
        <v>90</v>
      </c>
      <c r="W310">
        <f>ROUND(Sheet1[[#This Row],[wat_bas_r]],0)</f>
        <v>74</v>
      </c>
      <c r="X310">
        <f>ROUND(Sheet1[[#This Row],[wat_bas_u]],0)</f>
        <v>94</v>
      </c>
      <c r="Y310" s="1" t="str">
        <f t="shared" si="10"/>
        <v>not full access</v>
      </c>
      <c r="Z310" s="1" t="str">
        <f t="shared" si="11"/>
        <v>not full access</v>
      </c>
      <c r="AA310" s="1" t="str">
        <f t="shared" si="12"/>
        <v>not full access</v>
      </c>
    </row>
    <row r="311" spans="1:27" hidden="1" x14ac:dyDescent="0.25">
      <c r="A311" s="1" t="s">
        <v>176</v>
      </c>
      <c r="B311">
        <v>2020</v>
      </c>
      <c r="C311">
        <v>5106.6220700000003</v>
      </c>
      <c r="D311">
        <v>86.275993349999993</v>
      </c>
      <c r="E311">
        <v>92.168024689999996</v>
      </c>
      <c r="F311">
        <v>7.5414198929999996</v>
      </c>
      <c r="G311">
        <v>0.26040520360000002</v>
      </c>
      <c r="H311">
        <v>3.0150217449999999E-2</v>
      </c>
      <c r="I311">
        <v>76.250779910000006</v>
      </c>
      <c r="J311">
        <v>21.632121130000002</v>
      </c>
      <c r="K311">
        <v>1.897409218</v>
      </c>
      <c r="L311">
        <v>0.21968973750000001</v>
      </c>
      <c r="M311">
        <v>94.7</v>
      </c>
      <c r="N311">
        <v>5.3</v>
      </c>
      <c r="O311">
        <v>0</v>
      </c>
      <c r="P311">
        <v>0</v>
      </c>
      <c r="Q311">
        <v>5</v>
      </c>
      <c r="R311">
        <v>0.38590781000000052</v>
      </c>
      <c r="S311">
        <v>0.37677429000000018</v>
      </c>
      <c r="T311">
        <v>0.1645709839999995</v>
      </c>
      <c r="U311">
        <f>ABS(Sheet1[[#This Row],[ARC_r]]-Sheet1[[#This Row],[ARC_u]])</f>
        <v>0.21220330600000067</v>
      </c>
      <c r="V311">
        <f>ROUND(Sheet1[[#This Row],[wat_bas_n]],0)</f>
        <v>92</v>
      </c>
      <c r="W311">
        <f>ROUND(Sheet1[[#This Row],[wat_bas_r]],0)</f>
        <v>76</v>
      </c>
      <c r="X311">
        <f>ROUND(Sheet1[[#This Row],[wat_bas_u]],0)</f>
        <v>95</v>
      </c>
      <c r="Y311" s="1" t="str">
        <f t="shared" si="10"/>
        <v>not full access</v>
      </c>
      <c r="Z311" s="1" t="str">
        <f t="shared" si="11"/>
        <v>not full access</v>
      </c>
      <c r="AA311" s="1" t="str">
        <f t="shared" si="12"/>
        <v>not full access</v>
      </c>
    </row>
    <row r="312" spans="1:27" hidden="1" x14ac:dyDescent="0.25">
      <c r="A312" s="1" t="s">
        <v>185</v>
      </c>
      <c r="B312">
        <v>2015</v>
      </c>
      <c r="C312">
        <v>199426.95310000001</v>
      </c>
      <c r="D312">
        <v>36.026000979999999</v>
      </c>
      <c r="E312">
        <v>89.454982340000001</v>
      </c>
      <c r="F312">
        <v>3.6559530200000001</v>
      </c>
      <c r="G312">
        <v>4.4216911899999998</v>
      </c>
      <c r="H312">
        <v>2.4673734469999999</v>
      </c>
      <c r="I312">
        <v>87.15095676</v>
      </c>
      <c r="J312">
        <v>3.9565638390000002</v>
      </c>
      <c r="K312">
        <v>5.2364128790000004</v>
      </c>
      <c r="L312">
        <v>3.6560665229999998</v>
      </c>
      <c r="M312">
        <v>93.546408839999998</v>
      </c>
      <c r="N312">
        <v>3.1221364330000001</v>
      </c>
      <c r="O312">
        <v>2.9749303889999998</v>
      </c>
      <c r="P312">
        <v>0.35652434</v>
      </c>
      <c r="U312">
        <f>ABS(Sheet1[[#This Row],[ARC_r]]-Sheet1[[#This Row],[ARC_u]])</f>
        <v>0</v>
      </c>
      <c r="V312">
        <f>ROUND(Sheet1[[#This Row],[wat_bas_n]],0)</f>
        <v>89</v>
      </c>
      <c r="W312">
        <f>ROUND(Sheet1[[#This Row],[wat_bas_r]],0)</f>
        <v>87</v>
      </c>
      <c r="X312">
        <f>ROUND(Sheet1[[#This Row],[wat_bas_u]],0)</f>
        <v>94</v>
      </c>
      <c r="Y312" s="1" t="str">
        <f t="shared" si="10"/>
        <v>not full access</v>
      </c>
      <c r="Z312" s="1" t="str">
        <f t="shared" si="11"/>
        <v>not full access</v>
      </c>
      <c r="AA312" s="1" t="str">
        <f t="shared" si="12"/>
        <v>not full access</v>
      </c>
    </row>
    <row r="313" spans="1:27" hidden="1" x14ac:dyDescent="0.25">
      <c r="A313" s="1" t="s">
        <v>185</v>
      </c>
      <c r="B313">
        <v>2020</v>
      </c>
      <c r="C313">
        <v>220892.32810000001</v>
      </c>
      <c r="D313">
        <v>37.165000919999997</v>
      </c>
      <c r="E313">
        <v>90.148965079999996</v>
      </c>
      <c r="F313">
        <v>3.8222795249999999</v>
      </c>
      <c r="G313">
        <v>4.4133075740000001</v>
      </c>
      <c r="H313">
        <v>1.61544782</v>
      </c>
      <c r="I313">
        <v>88.599860759999999</v>
      </c>
      <c r="J313">
        <v>3.852278117</v>
      </c>
      <c r="K313">
        <v>5.1745965089999997</v>
      </c>
      <c r="L313">
        <v>2.3732646169999998</v>
      </c>
      <c r="M313">
        <v>92.768049849999997</v>
      </c>
      <c r="N313">
        <v>3.7715611619999998</v>
      </c>
      <c r="O313">
        <v>3.126184571</v>
      </c>
      <c r="P313">
        <v>0.33420442230000003</v>
      </c>
      <c r="Q313">
        <v>5</v>
      </c>
      <c r="R313">
        <v>0.1387965479999991</v>
      </c>
      <c r="S313">
        <v>0.28978079999999978</v>
      </c>
      <c r="T313">
        <v>-0.15567179800000019</v>
      </c>
      <c r="U313">
        <f>ABS(Sheet1[[#This Row],[ARC_r]]-Sheet1[[#This Row],[ARC_u]])</f>
        <v>0.44545259799999998</v>
      </c>
      <c r="V313">
        <f>ROUND(Sheet1[[#This Row],[wat_bas_n]],0)</f>
        <v>90</v>
      </c>
      <c r="W313">
        <f>ROUND(Sheet1[[#This Row],[wat_bas_r]],0)</f>
        <v>89</v>
      </c>
      <c r="X313">
        <f>ROUND(Sheet1[[#This Row],[wat_bas_u]],0)</f>
        <v>93</v>
      </c>
      <c r="Y313" s="1" t="str">
        <f t="shared" si="10"/>
        <v>not full access</v>
      </c>
      <c r="Z313" s="1" t="str">
        <f t="shared" si="11"/>
        <v>not full access</v>
      </c>
      <c r="AA313" s="1" t="str">
        <f t="shared" si="12"/>
        <v>not full access</v>
      </c>
    </row>
    <row r="314" spans="1:27" x14ac:dyDescent="0.25">
      <c r="A314" s="1" t="s">
        <v>88</v>
      </c>
      <c r="B314">
        <v>2015</v>
      </c>
      <c r="C314">
        <v>17.665000920000001</v>
      </c>
      <c r="D314">
        <v>78.158996579999993</v>
      </c>
      <c r="E314">
        <v>99.630150850000007</v>
      </c>
      <c r="F314">
        <v>0</v>
      </c>
      <c r="G314">
        <v>0.36984914990000001</v>
      </c>
      <c r="H314">
        <v>0</v>
      </c>
      <c r="I314">
        <v>99.61387148</v>
      </c>
      <c r="J314">
        <v>0</v>
      </c>
      <c r="K314">
        <v>0.38612851729999997</v>
      </c>
      <c r="L314">
        <v>0</v>
      </c>
      <c r="M314">
        <v>99.634701730000003</v>
      </c>
      <c r="N314">
        <v>0</v>
      </c>
      <c r="O314">
        <v>0.36529827059999997</v>
      </c>
      <c r="P314">
        <v>0</v>
      </c>
      <c r="U314">
        <f>ABS(Sheet1[[#This Row],[ARC_r]]-Sheet1[[#This Row],[ARC_u]])</f>
        <v>0</v>
      </c>
      <c r="V314">
        <f>ROUND(Sheet1[[#This Row],[wat_bas_n]],0)</f>
        <v>100</v>
      </c>
      <c r="W314">
        <f>ROUND(Sheet1[[#This Row],[wat_bas_r]],0)</f>
        <v>100</v>
      </c>
      <c r="X314">
        <f>ROUND(Sheet1[[#This Row],[wat_bas_u]],0)</f>
        <v>100</v>
      </c>
      <c r="Y314" s="1" t="str">
        <f t="shared" si="10"/>
        <v>full access</v>
      </c>
      <c r="Z314" s="1" t="str">
        <f t="shared" si="11"/>
        <v>full access</v>
      </c>
      <c r="AA314" s="1" t="str">
        <f t="shared" si="12"/>
        <v>full access</v>
      </c>
    </row>
    <row r="315" spans="1:27" x14ac:dyDescent="0.25">
      <c r="A315" s="1" t="s">
        <v>88</v>
      </c>
      <c r="B315">
        <v>2020</v>
      </c>
      <c r="C315">
        <v>18.091999049999998</v>
      </c>
      <c r="D315">
        <v>80.987998959999999</v>
      </c>
      <c r="E315">
        <v>99.657545499999998</v>
      </c>
      <c r="F315">
        <v>0</v>
      </c>
      <c r="G315">
        <v>0.34245449839999997</v>
      </c>
      <c r="H315">
        <v>0</v>
      </c>
      <c r="I315">
        <v>99.756985029999996</v>
      </c>
      <c r="J315">
        <v>0</v>
      </c>
      <c r="K315">
        <v>0.2430149677</v>
      </c>
      <c r="L315">
        <v>0</v>
      </c>
      <c r="M315">
        <v>99.634201989999994</v>
      </c>
      <c r="N315">
        <v>0</v>
      </c>
      <c r="O315">
        <v>0.36579800779999999</v>
      </c>
      <c r="P315">
        <v>0</v>
      </c>
      <c r="Q315">
        <v>5</v>
      </c>
      <c r="R315">
        <v>5.4789299999981724E-3</v>
      </c>
      <c r="S315">
        <v>2.8622709999999069E-2</v>
      </c>
      <c r="T315">
        <v>-9.9948000001859325E-5</v>
      </c>
      <c r="U315">
        <f>ABS(Sheet1[[#This Row],[ARC_r]]-Sheet1[[#This Row],[ARC_u]])</f>
        <v>2.8722658000000928E-2</v>
      </c>
      <c r="V315">
        <f>ROUND(Sheet1[[#This Row],[wat_bas_n]],0)</f>
        <v>100</v>
      </c>
      <c r="W315">
        <f>ROUND(Sheet1[[#This Row],[wat_bas_r]],0)</f>
        <v>100</v>
      </c>
      <c r="X315">
        <f>ROUND(Sheet1[[#This Row],[wat_bas_u]],0)</f>
        <v>100</v>
      </c>
      <c r="Y315" s="1" t="str">
        <f t="shared" si="10"/>
        <v>full access</v>
      </c>
      <c r="Z315" s="1" t="str">
        <f t="shared" si="11"/>
        <v>full access</v>
      </c>
      <c r="AA315" s="1" t="str">
        <f t="shared" si="12"/>
        <v>full access</v>
      </c>
    </row>
    <row r="316" spans="1:27" hidden="1" x14ac:dyDescent="0.25">
      <c r="A316" s="1" t="s">
        <v>159</v>
      </c>
      <c r="B316">
        <v>2015</v>
      </c>
      <c r="C316">
        <v>3968.48999</v>
      </c>
      <c r="D316">
        <v>66.695999150000006</v>
      </c>
      <c r="E316">
        <v>92.904365609999999</v>
      </c>
      <c r="F316">
        <v>1.845644171</v>
      </c>
      <c r="G316">
        <v>3.160016841</v>
      </c>
      <c r="H316">
        <v>2.08997338</v>
      </c>
      <c r="I316">
        <v>83.679579529999998</v>
      </c>
      <c r="J316">
        <v>1.737106037</v>
      </c>
      <c r="K316">
        <v>8.379298168</v>
      </c>
      <c r="L316">
        <v>6.2040162600000004</v>
      </c>
      <c r="M316">
        <v>97.510677389999998</v>
      </c>
      <c r="N316">
        <v>1.899841721</v>
      </c>
      <c r="O316">
        <v>0.55381483909999996</v>
      </c>
      <c r="P316">
        <v>3.5666046159999999E-2</v>
      </c>
      <c r="U316">
        <f>ABS(Sheet1[[#This Row],[ARC_r]]-Sheet1[[#This Row],[ARC_u]])</f>
        <v>0</v>
      </c>
      <c r="V316">
        <f>ROUND(Sheet1[[#This Row],[wat_bas_n]],0)</f>
        <v>93</v>
      </c>
      <c r="W316">
        <f>ROUND(Sheet1[[#This Row],[wat_bas_r]],0)</f>
        <v>84</v>
      </c>
      <c r="X316">
        <f>ROUND(Sheet1[[#This Row],[wat_bas_u]],0)</f>
        <v>98</v>
      </c>
      <c r="Y316" s="1" t="str">
        <f t="shared" si="10"/>
        <v>not full access</v>
      </c>
      <c r="Z316" s="1" t="str">
        <f t="shared" si="11"/>
        <v>not full access</v>
      </c>
      <c r="AA316" s="1" t="str">
        <f t="shared" si="12"/>
        <v>not full access</v>
      </c>
    </row>
    <row r="317" spans="1:27" hidden="1" x14ac:dyDescent="0.25">
      <c r="A317" s="1" t="s">
        <v>159</v>
      </c>
      <c r="B317">
        <v>2020</v>
      </c>
      <c r="C317">
        <v>4314.7680659999996</v>
      </c>
      <c r="D317">
        <v>68.414001459999994</v>
      </c>
      <c r="E317">
        <v>94.372544360000006</v>
      </c>
      <c r="F317">
        <v>1.8734805919999999</v>
      </c>
      <c r="G317">
        <v>2.2623042469999999</v>
      </c>
      <c r="H317">
        <v>1.491670799</v>
      </c>
      <c r="I317">
        <v>86.323083260000004</v>
      </c>
      <c r="J317">
        <v>1.791982583</v>
      </c>
      <c r="K317">
        <v>7.1623643420000001</v>
      </c>
      <c r="L317">
        <v>4.7225698109999996</v>
      </c>
      <c r="M317">
        <v>98.088892670000007</v>
      </c>
      <c r="N317">
        <v>1.9111073329999999</v>
      </c>
      <c r="O317">
        <v>0</v>
      </c>
      <c r="P317">
        <v>0</v>
      </c>
      <c r="Q317">
        <v>5</v>
      </c>
      <c r="R317">
        <v>0.29363575000000142</v>
      </c>
      <c r="S317">
        <v>0.52870074600000128</v>
      </c>
      <c r="T317">
        <v>0.1156430560000018</v>
      </c>
      <c r="U317">
        <f>ABS(Sheet1[[#This Row],[ARC_r]]-Sheet1[[#This Row],[ARC_u]])</f>
        <v>0.41305768999999948</v>
      </c>
      <c r="V317">
        <f>ROUND(Sheet1[[#This Row],[wat_bas_n]],0)</f>
        <v>94</v>
      </c>
      <c r="W317">
        <f>ROUND(Sheet1[[#This Row],[wat_bas_r]],0)</f>
        <v>86</v>
      </c>
      <c r="X317">
        <f>ROUND(Sheet1[[#This Row],[wat_bas_u]],0)</f>
        <v>98</v>
      </c>
      <c r="Y317" s="1" t="str">
        <f t="shared" si="10"/>
        <v>not full access</v>
      </c>
      <c r="Z317" s="1" t="str">
        <f t="shared" si="11"/>
        <v>not full access</v>
      </c>
      <c r="AA317" s="1" t="str">
        <f t="shared" si="12"/>
        <v>not full access</v>
      </c>
    </row>
    <row r="318" spans="1:27" hidden="1" x14ac:dyDescent="0.25">
      <c r="A318" s="1" t="s">
        <v>244</v>
      </c>
      <c r="B318">
        <v>2015</v>
      </c>
      <c r="C318">
        <v>8107.7719729999999</v>
      </c>
      <c r="D318">
        <v>13.01200008</v>
      </c>
      <c r="E318">
        <v>41.485508439999997</v>
      </c>
      <c r="F318">
        <v>1.8099530800000001</v>
      </c>
      <c r="G318">
        <v>21.261051999999999</v>
      </c>
      <c r="H318">
        <v>35.443486479999997</v>
      </c>
      <c r="I318">
        <v>34.990633000000003</v>
      </c>
      <c r="J318">
        <v>1.8047244330000001</v>
      </c>
      <c r="K318">
        <v>23.25354875</v>
      </c>
      <c r="L318">
        <v>39.951093819999997</v>
      </c>
      <c r="M318">
        <v>84.90514306</v>
      </c>
      <c r="N318">
        <v>1.844907912</v>
      </c>
      <c r="O318">
        <v>7.9407764350000001</v>
      </c>
      <c r="P318">
        <v>5.309172598</v>
      </c>
      <c r="U318">
        <f>ABS(Sheet1[[#This Row],[ARC_r]]-Sheet1[[#This Row],[ARC_u]])</f>
        <v>0</v>
      </c>
      <c r="V318">
        <f>ROUND(Sheet1[[#This Row],[wat_bas_n]],0)</f>
        <v>41</v>
      </c>
      <c r="W318">
        <f>ROUND(Sheet1[[#This Row],[wat_bas_r]],0)</f>
        <v>35</v>
      </c>
      <c r="X318">
        <f>ROUND(Sheet1[[#This Row],[wat_bas_u]],0)</f>
        <v>85</v>
      </c>
      <c r="Y318" s="1" t="str">
        <f t="shared" si="10"/>
        <v>not full access</v>
      </c>
      <c r="Z318" s="1" t="str">
        <f t="shared" si="11"/>
        <v>not full access</v>
      </c>
      <c r="AA318" s="1" t="str">
        <f t="shared" si="12"/>
        <v>not full access</v>
      </c>
    </row>
    <row r="319" spans="1:27" hidden="1" x14ac:dyDescent="0.25">
      <c r="A319" s="1" t="s">
        <v>244</v>
      </c>
      <c r="B319">
        <v>2020</v>
      </c>
      <c r="C319">
        <v>8947.0273440000001</v>
      </c>
      <c r="D319">
        <v>13.34500027</v>
      </c>
      <c r="E319">
        <v>45.344017520000001</v>
      </c>
      <c r="F319">
        <v>2.128564452</v>
      </c>
      <c r="G319">
        <v>22.157624949999999</v>
      </c>
      <c r="H319">
        <v>30.369793080000001</v>
      </c>
      <c r="I319">
        <v>39.071343669999997</v>
      </c>
      <c r="J319">
        <v>2.4298502929999999</v>
      </c>
      <c r="K319">
        <v>24.431800859999999</v>
      </c>
      <c r="L319">
        <v>34.067005170000002</v>
      </c>
      <c r="M319">
        <v>86.075271639999997</v>
      </c>
      <c r="N319">
        <v>0.17218226079999999</v>
      </c>
      <c r="O319">
        <v>7.3903855639999998</v>
      </c>
      <c r="P319">
        <v>6.3621605319999999</v>
      </c>
      <c r="Q319">
        <v>5</v>
      </c>
      <c r="R319">
        <v>0.77170181600000087</v>
      </c>
      <c r="S319">
        <v>0.81614213399999902</v>
      </c>
      <c r="T319">
        <v>0.2340257159999993</v>
      </c>
      <c r="U319">
        <f>ABS(Sheet1[[#This Row],[ARC_r]]-Sheet1[[#This Row],[ARC_u]])</f>
        <v>0.58211641799999969</v>
      </c>
      <c r="V319">
        <f>ROUND(Sheet1[[#This Row],[wat_bas_n]],0)</f>
        <v>45</v>
      </c>
      <c r="W319">
        <f>ROUND(Sheet1[[#This Row],[wat_bas_r]],0)</f>
        <v>39</v>
      </c>
      <c r="X319">
        <f>ROUND(Sheet1[[#This Row],[wat_bas_u]],0)</f>
        <v>86</v>
      </c>
      <c r="Y319" s="1" t="str">
        <f t="shared" si="10"/>
        <v>not full access</v>
      </c>
      <c r="Z319" s="1" t="str">
        <f t="shared" si="11"/>
        <v>not full access</v>
      </c>
      <c r="AA319" s="1" t="str">
        <f t="shared" si="12"/>
        <v>not full access</v>
      </c>
    </row>
    <row r="320" spans="1:27" hidden="1" x14ac:dyDescent="0.25">
      <c r="A320" s="1" t="s">
        <v>89</v>
      </c>
      <c r="B320">
        <v>2015</v>
      </c>
      <c r="C320">
        <v>6688.7460940000001</v>
      </c>
      <c r="D320">
        <v>60.75</v>
      </c>
      <c r="E320">
        <v>96.836214530000007</v>
      </c>
      <c r="F320">
        <v>0.32842400300000002</v>
      </c>
      <c r="G320">
        <v>2.7567681990000001</v>
      </c>
      <c r="H320">
        <v>7.8593266980000007E-2</v>
      </c>
      <c r="I320">
        <v>93.344700290000006</v>
      </c>
      <c r="J320">
        <v>0.69766643969999997</v>
      </c>
      <c r="K320">
        <v>5.757395646</v>
      </c>
      <c r="L320">
        <v>0.20023762880000001</v>
      </c>
      <c r="M320">
        <v>99.092048730000002</v>
      </c>
      <c r="N320">
        <v>8.9859971169999997E-2</v>
      </c>
      <c r="O320">
        <v>0.81809130100000005</v>
      </c>
      <c r="P320">
        <v>0</v>
      </c>
      <c r="U320">
        <f>ABS(Sheet1[[#This Row],[ARC_r]]-Sheet1[[#This Row],[ARC_u]])</f>
        <v>0</v>
      </c>
      <c r="V320">
        <f>ROUND(Sheet1[[#This Row],[wat_bas_n]],0)</f>
        <v>97</v>
      </c>
      <c r="W320">
        <f>ROUND(Sheet1[[#This Row],[wat_bas_r]],0)</f>
        <v>93</v>
      </c>
      <c r="X320">
        <f>ROUND(Sheet1[[#This Row],[wat_bas_u]],0)</f>
        <v>99</v>
      </c>
      <c r="Y320" s="1" t="str">
        <f t="shared" si="10"/>
        <v>not full access</v>
      </c>
      <c r="Z320" s="1" t="str">
        <f t="shared" si="11"/>
        <v>not full access</v>
      </c>
      <c r="AA320" s="1" t="str">
        <f t="shared" si="12"/>
        <v>full access</v>
      </c>
    </row>
    <row r="321" spans="1:27" hidden="1" x14ac:dyDescent="0.25">
      <c r="A321" s="1" t="s">
        <v>89</v>
      </c>
      <c r="B321">
        <v>2020</v>
      </c>
      <c r="C321">
        <v>7132.5297849999997</v>
      </c>
      <c r="D321">
        <v>62.182994839999999</v>
      </c>
      <c r="E321">
        <v>99.593466329999998</v>
      </c>
      <c r="F321">
        <v>0.40653024389999998</v>
      </c>
      <c r="G321">
        <v>3.4229177000000001E-6</v>
      </c>
      <c r="H321">
        <v>0</v>
      </c>
      <c r="I321">
        <v>99.111227529999994</v>
      </c>
      <c r="J321">
        <v>0.88877246840000002</v>
      </c>
      <c r="K321">
        <v>0</v>
      </c>
      <c r="L321">
        <v>0</v>
      </c>
      <c r="M321">
        <v>99.886748539999999</v>
      </c>
      <c r="N321">
        <v>0.11325146429999999</v>
      </c>
      <c r="O321">
        <v>0</v>
      </c>
      <c r="P321">
        <v>0</v>
      </c>
      <c r="Q321">
        <v>5</v>
      </c>
      <c r="R321">
        <v>0.55145035999999836</v>
      </c>
      <c r="S321">
        <v>1.153305447999998</v>
      </c>
      <c r="T321">
        <v>0.15893996199999949</v>
      </c>
      <c r="U321">
        <f>ABS(Sheet1[[#This Row],[ARC_r]]-Sheet1[[#This Row],[ARC_u]])</f>
        <v>0.99436548599999852</v>
      </c>
      <c r="V321">
        <f>ROUND(Sheet1[[#This Row],[wat_bas_n]],0)</f>
        <v>100</v>
      </c>
      <c r="W321">
        <f>ROUND(Sheet1[[#This Row],[wat_bas_r]],0)</f>
        <v>99</v>
      </c>
      <c r="X321">
        <f>ROUND(Sheet1[[#This Row],[wat_bas_u]],0)</f>
        <v>100</v>
      </c>
      <c r="Y321" s="1" t="str">
        <f t="shared" si="10"/>
        <v>not full access</v>
      </c>
      <c r="Z321" s="1" t="str">
        <f t="shared" si="11"/>
        <v>not full access</v>
      </c>
      <c r="AA321" s="1" t="str">
        <f t="shared" si="12"/>
        <v>full access</v>
      </c>
    </row>
    <row r="322" spans="1:27" hidden="1" x14ac:dyDescent="0.25">
      <c r="A322" s="1" t="s">
        <v>171</v>
      </c>
      <c r="B322">
        <v>2015</v>
      </c>
      <c r="C322">
        <v>30470.738280000001</v>
      </c>
      <c r="D322">
        <v>77.357002260000002</v>
      </c>
      <c r="E322">
        <v>90.282003040000006</v>
      </c>
      <c r="F322">
        <v>0.93258347190000002</v>
      </c>
      <c r="G322">
        <v>5.7636260549999996</v>
      </c>
      <c r="H322">
        <v>3.0217874390000001</v>
      </c>
      <c r="I322">
        <v>73.287623839999995</v>
      </c>
      <c r="J322">
        <v>1.5230403370000001</v>
      </c>
      <c r="K322">
        <v>12.99206766</v>
      </c>
      <c r="L322">
        <v>12.197268169999999</v>
      </c>
      <c r="M322">
        <v>95.256387020000005</v>
      </c>
      <c r="N322">
        <v>0.75975208999999999</v>
      </c>
      <c r="O322">
        <v>3.6478085579999999</v>
      </c>
      <c r="P322">
        <v>0.33605232909999999</v>
      </c>
      <c r="U322">
        <f>ABS(Sheet1[[#This Row],[ARC_r]]-Sheet1[[#This Row],[ARC_u]])</f>
        <v>0</v>
      </c>
      <c r="V322">
        <f>ROUND(Sheet1[[#This Row],[wat_bas_n]],0)</f>
        <v>90</v>
      </c>
      <c r="W322">
        <f>ROUND(Sheet1[[#This Row],[wat_bas_r]],0)</f>
        <v>73</v>
      </c>
      <c r="X322">
        <f>ROUND(Sheet1[[#This Row],[wat_bas_u]],0)</f>
        <v>95</v>
      </c>
      <c r="Y322" s="1" t="str">
        <f t="shared" ref="Y322:Y385" si="13">IF(AND(COUNTIFS($A:$A,A322)&gt;1, COUNTIFS($A:$A,A322,$E:$E,"&gt;99")=COUNTIFS($A:$A,A322)), "full access", "not full access")</f>
        <v>not full access</v>
      </c>
      <c r="Z322" s="1" t="str">
        <f t="shared" ref="Z322:Z385" si="14">IF(AND(COUNTIFS($A:$A,A322)&gt;1, COUNTIFS($A:$A,A322,$I:$I,"&gt;99")=COUNTIFS($A:$A,A322)), "full access", "not full access")</f>
        <v>not full access</v>
      </c>
      <c r="AA322" s="1" t="str">
        <f t="shared" ref="AA322:AA385" si="15">IF(AND(COUNTIFS($A:$A,A322)&gt;1, COUNTIFS($A:$A,A322,$M:$M,"&gt;99")=COUNTIFS($A:$A,A322)), "full access", "not full access")</f>
        <v>not full access</v>
      </c>
    </row>
    <row r="323" spans="1:27" hidden="1" x14ac:dyDescent="0.25">
      <c r="A323" s="1" t="s">
        <v>171</v>
      </c>
      <c r="B323">
        <v>2020</v>
      </c>
      <c r="C323">
        <v>32971.847659999999</v>
      </c>
      <c r="D323">
        <v>78.297004700000002</v>
      </c>
      <c r="E323">
        <v>93.139366210000006</v>
      </c>
      <c r="F323">
        <v>0.84955935110000003</v>
      </c>
      <c r="G323">
        <v>4.1504683489999996</v>
      </c>
      <c r="H323">
        <v>1.8606060870000001</v>
      </c>
      <c r="I323">
        <v>80.79943849</v>
      </c>
      <c r="J323">
        <v>1.5969437710000001</v>
      </c>
      <c r="K323">
        <v>9.6126911629999992</v>
      </c>
      <c r="L323">
        <v>7.9909265779999998</v>
      </c>
      <c r="M323">
        <v>96.559844080000005</v>
      </c>
      <c r="N323">
        <v>0.64239323559999995</v>
      </c>
      <c r="O323">
        <v>2.6364086929999999</v>
      </c>
      <c r="P323">
        <v>0.1613539953</v>
      </c>
      <c r="Q323">
        <v>5</v>
      </c>
      <c r="R323">
        <v>0.57147263399999981</v>
      </c>
      <c r="S323">
        <v>1.502362930000001</v>
      </c>
      <c r="T323">
        <v>0.2606914119999999</v>
      </c>
      <c r="U323">
        <f>ABS(Sheet1[[#This Row],[ARC_r]]-Sheet1[[#This Row],[ARC_u]])</f>
        <v>1.2416715180000011</v>
      </c>
      <c r="V323">
        <f>ROUND(Sheet1[[#This Row],[wat_bas_n]],0)</f>
        <v>93</v>
      </c>
      <c r="W323">
        <f>ROUND(Sheet1[[#This Row],[wat_bas_r]],0)</f>
        <v>81</v>
      </c>
      <c r="X323">
        <f>ROUND(Sheet1[[#This Row],[wat_bas_u]],0)</f>
        <v>97</v>
      </c>
      <c r="Y323" s="1" t="str">
        <f t="shared" si="13"/>
        <v>not full access</v>
      </c>
      <c r="Z323" s="1" t="str">
        <f t="shared" si="14"/>
        <v>not full access</v>
      </c>
      <c r="AA323" s="1" t="str">
        <f t="shared" si="15"/>
        <v>not full access</v>
      </c>
    </row>
    <row r="324" spans="1:27" hidden="1" x14ac:dyDescent="0.25">
      <c r="A324" s="1" t="s">
        <v>164</v>
      </c>
      <c r="B324">
        <v>2015</v>
      </c>
      <c r="C324">
        <v>102113.2031</v>
      </c>
      <c r="D324">
        <v>46.284000399999996</v>
      </c>
      <c r="E324">
        <v>92.017701020000004</v>
      </c>
      <c r="F324">
        <v>2.9204293190000001</v>
      </c>
      <c r="G324">
        <v>4.5321384619999998</v>
      </c>
      <c r="H324">
        <v>0.52973119440000005</v>
      </c>
      <c r="I324">
        <v>88.208162329999993</v>
      </c>
      <c r="J324">
        <v>3.8258925420000001</v>
      </c>
      <c r="K324">
        <v>7.1112130369999997</v>
      </c>
      <c r="L324">
        <v>0.85473209370000003</v>
      </c>
      <c r="M324">
        <v>96.438952139999998</v>
      </c>
      <c r="N324">
        <v>1.8695723529999999</v>
      </c>
      <c r="O324">
        <v>1.5389318729999999</v>
      </c>
      <c r="P324">
        <v>0.15254363930000001</v>
      </c>
      <c r="U324">
        <f>ABS(Sheet1[[#This Row],[ARC_r]]-Sheet1[[#This Row],[ARC_u]])</f>
        <v>0</v>
      </c>
      <c r="V324">
        <f>ROUND(Sheet1[[#This Row],[wat_bas_n]],0)</f>
        <v>92</v>
      </c>
      <c r="W324">
        <f>ROUND(Sheet1[[#This Row],[wat_bas_r]],0)</f>
        <v>88</v>
      </c>
      <c r="X324">
        <f>ROUND(Sheet1[[#This Row],[wat_bas_u]],0)</f>
        <v>96</v>
      </c>
      <c r="Y324" s="1" t="str">
        <f t="shared" si="13"/>
        <v>not full access</v>
      </c>
      <c r="Z324" s="1" t="str">
        <f t="shared" si="14"/>
        <v>not full access</v>
      </c>
      <c r="AA324" s="1" t="str">
        <f t="shared" si="15"/>
        <v>not full access</v>
      </c>
    </row>
    <row r="325" spans="1:27" hidden="1" x14ac:dyDescent="0.25">
      <c r="A325" s="1" t="s">
        <v>164</v>
      </c>
      <c r="B325">
        <v>2020</v>
      </c>
      <c r="C325">
        <v>109581.08590000001</v>
      </c>
      <c r="D325">
        <v>47.407997129999998</v>
      </c>
      <c r="E325">
        <v>94.109034559999998</v>
      </c>
      <c r="F325">
        <v>2.8564861370000001</v>
      </c>
      <c r="G325">
        <v>3.0344793069999998</v>
      </c>
      <c r="H325">
        <v>0</v>
      </c>
      <c r="I325">
        <v>91.06193322</v>
      </c>
      <c r="J325">
        <v>3.9595204279999998</v>
      </c>
      <c r="K325">
        <v>4.978546347</v>
      </c>
      <c r="L325">
        <v>0</v>
      </c>
      <c r="M325">
        <v>97.489332500000003</v>
      </c>
      <c r="N325">
        <v>1.632836465</v>
      </c>
      <c r="O325">
        <v>0.87783103600000001</v>
      </c>
      <c r="P325">
        <v>0</v>
      </c>
      <c r="Q325">
        <v>5</v>
      </c>
      <c r="R325">
        <v>0.41826670799999882</v>
      </c>
      <c r="S325">
        <v>0.57075417800000139</v>
      </c>
      <c r="T325">
        <v>0.21007607200000111</v>
      </c>
      <c r="U325">
        <f>ABS(Sheet1[[#This Row],[ARC_r]]-Sheet1[[#This Row],[ARC_u]])</f>
        <v>0.36067810600000028</v>
      </c>
      <c r="V325">
        <f>ROUND(Sheet1[[#This Row],[wat_bas_n]],0)</f>
        <v>94</v>
      </c>
      <c r="W325">
        <f>ROUND(Sheet1[[#This Row],[wat_bas_r]],0)</f>
        <v>91</v>
      </c>
      <c r="X325">
        <f>ROUND(Sheet1[[#This Row],[wat_bas_u]],0)</f>
        <v>97</v>
      </c>
      <c r="Y325" s="1" t="str">
        <f t="shared" si="13"/>
        <v>not full access</v>
      </c>
      <c r="Z325" s="1" t="str">
        <f t="shared" si="14"/>
        <v>not full access</v>
      </c>
      <c r="AA325" s="1" t="str">
        <f t="shared" si="15"/>
        <v>not full access</v>
      </c>
    </row>
    <row r="326" spans="1:27" x14ac:dyDescent="0.25">
      <c r="A326" s="1" t="s">
        <v>63</v>
      </c>
      <c r="B326">
        <v>2015</v>
      </c>
      <c r="C326">
        <v>38034.074220000002</v>
      </c>
      <c r="D326">
        <v>60.27799606</v>
      </c>
      <c r="E326">
        <v>99.232069879999997</v>
      </c>
      <c r="F326">
        <v>0</v>
      </c>
      <c r="G326">
        <v>0.76793012459999999</v>
      </c>
      <c r="H326">
        <v>0</v>
      </c>
      <c r="I326">
        <v>98.537903229999998</v>
      </c>
      <c r="J326">
        <v>0</v>
      </c>
      <c r="K326">
        <v>1.4620967739999999</v>
      </c>
      <c r="L326">
        <v>0</v>
      </c>
      <c r="M326">
        <v>99.689516130000001</v>
      </c>
      <c r="N326">
        <v>0</v>
      </c>
      <c r="O326">
        <v>0.31048387100000002</v>
      </c>
      <c r="P326">
        <v>0</v>
      </c>
      <c r="U326">
        <f>ABS(Sheet1[[#This Row],[ARC_r]]-Sheet1[[#This Row],[ARC_u]])</f>
        <v>0</v>
      </c>
      <c r="V326">
        <f>ROUND(Sheet1[[#This Row],[wat_bas_n]],0)</f>
        <v>99</v>
      </c>
      <c r="W326">
        <f>ROUND(Sheet1[[#This Row],[wat_bas_r]],0)</f>
        <v>99</v>
      </c>
      <c r="X326">
        <f>ROUND(Sheet1[[#This Row],[wat_bas_u]],0)</f>
        <v>100</v>
      </c>
      <c r="Y326" s="1" t="str">
        <f t="shared" si="13"/>
        <v>full access</v>
      </c>
      <c r="Z326" s="1" t="str">
        <f t="shared" si="14"/>
        <v>not full access</v>
      </c>
      <c r="AA326" s="1" t="str">
        <f t="shared" si="15"/>
        <v>full access</v>
      </c>
    </row>
    <row r="327" spans="1:27" x14ac:dyDescent="0.25">
      <c r="A327" s="1" t="s">
        <v>63</v>
      </c>
      <c r="B327">
        <v>2020</v>
      </c>
      <c r="C327">
        <v>37846.605470000002</v>
      </c>
      <c r="D327">
        <v>60.043003079999998</v>
      </c>
      <c r="E327">
        <v>99.966591550000004</v>
      </c>
      <c r="F327">
        <v>0</v>
      </c>
      <c r="G327">
        <v>3.3408445289999998E-2</v>
      </c>
      <c r="H327">
        <v>0</v>
      </c>
      <c r="I327">
        <v>100</v>
      </c>
      <c r="J327">
        <v>0</v>
      </c>
      <c r="K327">
        <v>0</v>
      </c>
      <c r="L327">
        <v>0</v>
      </c>
      <c r="M327">
        <v>99.944354840000003</v>
      </c>
      <c r="N327">
        <v>0</v>
      </c>
      <c r="O327">
        <v>5.5645161290000002E-2</v>
      </c>
      <c r="P327">
        <v>0</v>
      </c>
      <c r="Q327">
        <v>5</v>
      </c>
      <c r="R327">
        <v>0.1469043340000013</v>
      </c>
      <c r="S327">
        <v>0.29241935400000052</v>
      </c>
      <c r="T327">
        <v>5.0967742000000267E-2</v>
      </c>
      <c r="U327">
        <f>ABS(Sheet1[[#This Row],[ARC_r]]-Sheet1[[#This Row],[ARC_u]])</f>
        <v>0.24145161200000026</v>
      </c>
      <c r="V327">
        <f>ROUND(Sheet1[[#This Row],[wat_bas_n]],0)</f>
        <v>100</v>
      </c>
      <c r="W327">
        <f>ROUND(Sheet1[[#This Row],[wat_bas_r]],0)</f>
        <v>100</v>
      </c>
      <c r="X327">
        <f>ROUND(Sheet1[[#This Row],[wat_bas_u]],0)</f>
        <v>100</v>
      </c>
      <c r="Y327" s="1" t="str">
        <f t="shared" si="13"/>
        <v>full access</v>
      </c>
      <c r="Z327" s="1" t="str">
        <f t="shared" si="14"/>
        <v>not full access</v>
      </c>
      <c r="AA327" s="1" t="str">
        <f t="shared" si="15"/>
        <v>full access</v>
      </c>
    </row>
    <row r="328" spans="1:27" x14ac:dyDescent="0.25">
      <c r="A328" s="1" t="s">
        <v>68</v>
      </c>
      <c r="B328">
        <v>2015</v>
      </c>
      <c r="C328">
        <v>10368.3457</v>
      </c>
      <c r="D328">
        <v>63.513999939999998</v>
      </c>
      <c r="E328">
        <v>99.904689840000003</v>
      </c>
      <c r="F328">
        <v>0</v>
      </c>
      <c r="G328">
        <v>9.5310157000000006E-2</v>
      </c>
      <c r="H328">
        <v>0</v>
      </c>
      <c r="I328">
        <v>99.738776090000002</v>
      </c>
      <c r="J328">
        <v>0</v>
      </c>
      <c r="K328">
        <v>0.26122391220000002</v>
      </c>
      <c r="L328">
        <v>0</v>
      </c>
      <c r="M328">
        <v>100</v>
      </c>
      <c r="N328">
        <v>0</v>
      </c>
      <c r="O328">
        <v>0</v>
      </c>
      <c r="P328">
        <v>0</v>
      </c>
      <c r="U328">
        <f>ABS(Sheet1[[#This Row],[ARC_r]]-Sheet1[[#This Row],[ARC_u]])</f>
        <v>0</v>
      </c>
      <c r="V328">
        <f>ROUND(Sheet1[[#This Row],[wat_bas_n]],0)</f>
        <v>100</v>
      </c>
      <c r="W328">
        <f>ROUND(Sheet1[[#This Row],[wat_bas_r]],0)</f>
        <v>100</v>
      </c>
      <c r="X328">
        <f>ROUND(Sheet1[[#This Row],[wat_bas_u]],0)</f>
        <v>100</v>
      </c>
      <c r="Y328" s="1" t="str">
        <f t="shared" si="13"/>
        <v>full access</v>
      </c>
      <c r="Z328" s="1" t="str">
        <f t="shared" si="14"/>
        <v>full access</v>
      </c>
      <c r="AA328" s="1" t="str">
        <f t="shared" si="15"/>
        <v>full access</v>
      </c>
    </row>
    <row r="329" spans="1:27" x14ac:dyDescent="0.25">
      <c r="A329" s="1" t="s">
        <v>68</v>
      </c>
      <c r="B329">
        <v>2020</v>
      </c>
      <c r="C329">
        <v>10196.70703</v>
      </c>
      <c r="D329">
        <v>66.309997559999999</v>
      </c>
      <c r="E329">
        <v>99.911993670000001</v>
      </c>
      <c r="F329">
        <v>0</v>
      </c>
      <c r="G329">
        <v>8.8006333689999994E-2</v>
      </c>
      <c r="H329">
        <v>0</v>
      </c>
      <c r="I329">
        <v>99.738776090000002</v>
      </c>
      <c r="J329">
        <v>0</v>
      </c>
      <c r="K329">
        <v>0.26122391220000002</v>
      </c>
      <c r="L329">
        <v>0</v>
      </c>
      <c r="M329">
        <v>100</v>
      </c>
      <c r="N329">
        <v>0</v>
      </c>
      <c r="O329">
        <v>0</v>
      </c>
      <c r="P329">
        <v>0</v>
      </c>
      <c r="Q329">
        <v>5</v>
      </c>
      <c r="R329">
        <v>1.46076599999958E-3</v>
      </c>
      <c r="S329">
        <v>0</v>
      </c>
      <c r="T329">
        <v>0</v>
      </c>
      <c r="U329">
        <f>ABS(Sheet1[[#This Row],[ARC_r]]-Sheet1[[#This Row],[ARC_u]])</f>
        <v>0</v>
      </c>
      <c r="V329">
        <f>ROUND(Sheet1[[#This Row],[wat_bas_n]],0)</f>
        <v>100</v>
      </c>
      <c r="W329">
        <f>ROUND(Sheet1[[#This Row],[wat_bas_r]],0)</f>
        <v>100</v>
      </c>
      <c r="X329">
        <f>ROUND(Sheet1[[#This Row],[wat_bas_u]],0)</f>
        <v>100</v>
      </c>
      <c r="Y329" s="1" t="str">
        <f t="shared" si="13"/>
        <v>full access</v>
      </c>
      <c r="Z329" s="1" t="str">
        <f t="shared" si="14"/>
        <v>full access</v>
      </c>
      <c r="AA329" s="1" t="str">
        <f t="shared" si="15"/>
        <v>full access</v>
      </c>
    </row>
    <row r="330" spans="1:27" x14ac:dyDescent="0.25">
      <c r="A330" s="1" t="s">
        <v>44</v>
      </c>
      <c r="B330">
        <v>2015</v>
      </c>
      <c r="C330">
        <v>3381.5119629999999</v>
      </c>
      <c r="D330">
        <v>93.624000550000005</v>
      </c>
      <c r="E330">
        <v>99.425449760000006</v>
      </c>
      <c r="F330">
        <v>0</v>
      </c>
      <c r="G330">
        <v>0.57455024300000002</v>
      </c>
      <c r="H330">
        <v>0</v>
      </c>
      <c r="U330">
        <f>ABS(Sheet1[[#This Row],[ARC_r]]-Sheet1[[#This Row],[ARC_u]])</f>
        <v>0</v>
      </c>
      <c r="V330">
        <f>ROUND(Sheet1[[#This Row],[wat_bas_n]],0)</f>
        <v>99</v>
      </c>
      <c r="W330">
        <f>ROUND(Sheet1[[#This Row],[wat_bas_r]],0)</f>
        <v>0</v>
      </c>
      <c r="X330">
        <f>ROUND(Sheet1[[#This Row],[wat_bas_u]],0)</f>
        <v>0</v>
      </c>
      <c r="Y330" s="1" t="str">
        <f t="shared" si="13"/>
        <v>full access</v>
      </c>
      <c r="Z330" s="1" t="str">
        <f t="shared" si="14"/>
        <v>not full access</v>
      </c>
      <c r="AA330" s="1" t="str">
        <f t="shared" si="15"/>
        <v>not full access</v>
      </c>
    </row>
    <row r="331" spans="1:27" x14ac:dyDescent="0.25">
      <c r="A331" s="1" t="s">
        <v>44</v>
      </c>
      <c r="B331">
        <v>2020</v>
      </c>
      <c r="C331">
        <v>2860.8400879999999</v>
      </c>
      <c r="D331">
        <v>93.581001279999995</v>
      </c>
      <c r="E331">
        <v>100</v>
      </c>
      <c r="F331">
        <v>0</v>
      </c>
      <c r="G331">
        <v>0</v>
      </c>
      <c r="H331">
        <v>0</v>
      </c>
      <c r="Q331">
        <v>5</v>
      </c>
      <c r="R331">
        <v>0.1149100479999987</v>
      </c>
      <c r="U331">
        <f>ABS(Sheet1[[#This Row],[ARC_r]]-Sheet1[[#This Row],[ARC_u]])</f>
        <v>0</v>
      </c>
      <c r="V331">
        <f>ROUND(Sheet1[[#This Row],[wat_bas_n]],0)</f>
        <v>100</v>
      </c>
      <c r="W331">
        <f>ROUND(Sheet1[[#This Row],[wat_bas_r]],0)</f>
        <v>0</v>
      </c>
      <c r="X331">
        <f>ROUND(Sheet1[[#This Row],[wat_bas_u]],0)</f>
        <v>0</v>
      </c>
      <c r="Y331" s="1" t="str">
        <f t="shared" si="13"/>
        <v>full access</v>
      </c>
      <c r="Z331" s="1" t="str">
        <f t="shared" si="14"/>
        <v>not full access</v>
      </c>
      <c r="AA331" s="1" t="str">
        <f t="shared" si="15"/>
        <v>not full access</v>
      </c>
    </row>
    <row r="332" spans="1:27" x14ac:dyDescent="0.25">
      <c r="A332" s="1" t="s">
        <v>86</v>
      </c>
      <c r="B332">
        <v>2015</v>
      </c>
      <c r="C332">
        <v>2565.7080080000001</v>
      </c>
      <c r="D332">
        <v>98.944992069999998</v>
      </c>
      <c r="E332">
        <v>99.691501380000005</v>
      </c>
      <c r="F332">
        <v>0</v>
      </c>
      <c r="G332">
        <v>0.30849861699999997</v>
      </c>
      <c r="H332">
        <v>0</v>
      </c>
      <c r="U332">
        <f>ABS(Sheet1[[#This Row],[ARC_r]]-Sheet1[[#This Row],[ARC_u]])</f>
        <v>0</v>
      </c>
      <c r="V332">
        <f>ROUND(Sheet1[[#This Row],[wat_bas_n]],0)</f>
        <v>100</v>
      </c>
      <c r="W332">
        <f>ROUND(Sheet1[[#This Row],[wat_bas_r]],0)</f>
        <v>0</v>
      </c>
      <c r="X332">
        <f>ROUND(Sheet1[[#This Row],[wat_bas_u]],0)</f>
        <v>0</v>
      </c>
      <c r="Y332" s="1" t="str">
        <f t="shared" si="13"/>
        <v>full access</v>
      </c>
      <c r="Z332" s="1" t="str">
        <f t="shared" si="14"/>
        <v>not full access</v>
      </c>
      <c r="AA332" s="1" t="str">
        <f t="shared" si="15"/>
        <v>not full access</v>
      </c>
    </row>
    <row r="333" spans="1:27" x14ac:dyDescent="0.25">
      <c r="A333" s="1" t="s">
        <v>86</v>
      </c>
      <c r="B333">
        <v>2020</v>
      </c>
      <c r="C333">
        <v>2881.0600589999999</v>
      </c>
      <c r="D333">
        <v>99.23500061</v>
      </c>
      <c r="E333">
        <v>99.568101940000005</v>
      </c>
      <c r="F333">
        <v>0</v>
      </c>
      <c r="G333">
        <v>0.4318980637</v>
      </c>
      <c r="H333">
        <v>0</v>
      </c>
      <c r="Q333">
        <v>5</v>
      </c>
      <c r="R333">
        <v>-2.4679888000000001E-2</v>
      </c>
      <c r="U333">
        <f>ABS(Sheet1[[#This Row],[ARC_r]]-Sheet1[[#This Row],[ARC_u]])</f>
        <v>0</v>
      </c>
      <c r="V333">
        <f>ROUND(Sheet1[[#This Row],[wat_bas_n]],0)</f>
        <v>100</v>
      </c>
      <c r="W333">
        <f>ROUND(Sheet1[[#This Row],[wat_bas_r]],0)</f>
        <v>0</v>
      </c>
      <c r="X333">
        <f>ROUND(Sheet1[[#This Row],[wat_bas_u]],0)</f>
        <v>0</v>
      </c>
      <c r="Y333" s="1" t="str">
        <f t="shared" si="13"/>
        <v>full access</v>
      </c>
      <c r="Z333" s="1" t="str">
        <f t="shared" si="14"/>
        <v>not full access</v>
      </c>
      <c r="AA333" s="1" t="str">
        <f t="shared" si="15"/>
        <v>not full access</v>
      </c>
    </row>
    <row r="334" spans="1:27" x14ac:dyDescent="0.25">
      <c r="A334" s="1" t="s">
        <v>64</v>
      </c>
      <c r="B334">
        <v>2015</v>
      </c>
      <c r="C334">
        <v>50823.085939999997</v>
      </c>
      <c r="D334">
        <v>81.634002690000003</v>
      </c>
      <c r="E334">
        <v>99.472746409999999</v>
      </c>
      <c r="F334">
        <v>0</v>
      </c>
      <c r="G334">
        <v>0.5272535907</v>
      </c>
      <c r="H334">
        <v>0</v>
      </c>
      <c r="U334">
        <f>ABS(Sheet1[[#This Row],[ARC_r]]-Sheet1[[#This Row],[ARC_u]])</f>
        <v>0</v>
      </c>
      <c r="V334">
        <f>ROUND(Sheet1[[#This Row],[wat_bas_n]],0)</f>
        <v>99</v>
      </c>
      <c r="W334">
        <f>ROUND(Sheet1[[#This Row],[wat_bas_r]],0)</f>
        <v>0</v>
      </c>
      <c r="X334">
        <f>ROUND(Sheet1[[#This Row],[wat_bas_u]],0)</f>
        <v>0</v>
      </c>
      <c r="Y334" s="1" t="str">
        <f t="shared" si="13"/>
        <v>full access</v>
      </c>
      <c r="Z334" s="1" t="str">
        <f t="shared" si="14"/>
        <v>not full access</v>
      </c>
      <c r="AA334" s="1" t="str">
        <f t="shared" si="15"/>
        <v>not full access</v>
      </c>
    </row>
    <row r="335" spans="1:27" x14ac:dyDescent="0.25">
      <c r="A335" s="1" t="s">
        <v>64</v>
      </c>
      <c r="B335">
        <v>2020</v>
      </c>
      <c r="C335">
        <v>51269.183590000001</v>
      </c>
      <c r="D335">
        <v>81.414001459999994</v>
      </c>
      <c r="E335">
        <v>99.931396649999996</v>
      </c>
      <c r="F335">
        <v>0</v>
      </c>
      <c r="G335">
        <v>6.8603352960000002E-2</v>
      </c>
      <c r="H335">
        <v>0</v>
      </c>
      <c r="Q335">
        <v>5</v>
      </c>
      <c r="R335">
        <v>9.1730047999999439E-2</v>
      </c>
      <c r="U335">
        <f>ABS(Sheet1[[#This Row],[ARC_r]]-Sheet1[[#This Row],[ARC_u]])</f>
        <v>0</v>
      </c>
      <c r="V335">
        <f>ROUND(Sheet1[[#This Row],[wat_bas_n]],0)</f>
        <v>100</v>
      </c>
      <c r="W335">
        <f>ROUND(Sheet1[[#This Row],[wat_bas_r]],0)</f>
        <v>0</v>
      </c>
      <c r="X335">
        <f>ROUND(Sheet1[[#This Row],[wat_bas_u]],0)</f>
        <v>0</v>
      </c>
      <c r="Y335" s="1" t="str">
        <f t="shared" si="13"/>
        <v>full access</v>
      </c>
      <c r="Z335" s="1" t="str">
        <f t="shared" si="14"/>
        <v>not full access</v>
      </c>
      <c r="AA335" s="1" t="str">
        <f t="shared" si="15"/>
        <v>not full access</v>
      </c>
    </row>
    <row r="336" spans="1:27" hidden="1" x14ac:dyDescent="0.25">
      <c r="A336" s="1" t="s">
        <v>182</v>
      </c>
      <c r="B336">
        <v>2015</v>
      </c>
      <c r="C336">
        <v>4070.705078</v>
      </c>
      <c r="D336">
        <v>42.489997860000003</v>
      </c>
      <c r="E336">
        <v>88.576031900000004</v>
      </c>
      <c r="F336">
        <v>1.485629517</v>
      </c>
      <c r="G336">
        <v>9.9383385820000001</v>
      </c>
      <c r="H336">
        <v>0</v>
      </c>
      <c r="I336">
        <v>82.542490749999999</v>
      </c>
      <c r="J336">
        <v>1.4702224820000001</v>
      </c>
      <c r="K336">
        <v>15.987286770000001</v>
      </c>
      <c r="L336">
        <v>0</v>
      </c>
      <c r="M336">
        <v>96.742399399999996</v>
      </c>
      <c r="N336">
        <v>1.5064828610000001</v>
      </c>
      <c r="O336">
        <v>1.7511177389999999</v>
      </c>
      <c r="P336">
        <v>0</v>
      </c>
      <c r="U336">
        <f>ABS(Sheet1[[#This Row],[ARC_r]]-Sheet1[[#This Row],[ARC_u]])</f>
        <v>0</v>
      </c>
      <c r="V336">
        <f>ROUND(Sheet1[[#This Row],[wat_bas_n]],0)</f>
        <v>89</v>
      </c>
      <c r="W336">
        <f>ROUND(Sheet1[[#This Row],[wat_bas_r]],0)</f>
        <v>83</v>
      </c>
      <c r="X336">
        <f>ROUND(Sheet1[[#This Row],[wat_bas_u]],0)</f>
        <v>97</v>
      </c>
      <c r="Y336" s="1" t="str">
        <f t="shared" si="13"/>
        <v>not full access</v>
      </c>
      <c r="Z336" s="1" t="str">
        <f t="shared" si="14"/>
        <v>not full access</v>
      </c>
      <c r="AA336" s="1" t="str">
        <f t="shared" si="15"/>
        <v>not full access</v>
      </c>
    </row>
    <row r="337" spans="1:27" hidden="1" x14ac:dyDescent="0.25">
      <c r="A337" s="1" t="s">
        <v>182</v>
      </c>
      <c r="B337">
        <v>2020</v>
      </c>
      <c r="C337">
        <v>4033.9628910000001</v>
      </c>
      <c r="D337">
        <v>42.849002839999997</v>
      </c>
      <c r="E337">
        <v>90.569962239999995</v>
      </c>
      <c r="F337">
        <v>1.519776762</v>
      </c>
      <c r="G337">
        <v>7.910260997</v>
      </c>
      <c r="H337">
        <v>0</v>
      </c>
      <c r="I337">
        <v>85.481038119999994</v>
      </c>
      <c r="J337">
        <v>1.52256302</v>
      </c>
      <c r="K337">
        <v>12.996398859999999</v>
      </c>
      <c r="L337">
        <v>0</v>
      </c>
      <c r="M337">
        <v>97.357444479999998</v>
      </c>
      <c r="N337">
        <v>1.516060408</v>
      </c>
      <c r="O337">
        <v>1.1264951110000001</v>
      </c>
      <c r="P337">
        <v>0</v>
      </c>
      <c r="Q337">
        <v>5</v>
      </c>
      <c r="R337">
        <v>0.39878606799999827</v>
      </c>
      <c r="S337">
        <v>0.58770947399999895</v>
      </c>
      <c r="T337">
        <v>0.1230090160000003</v>
      </c>
      <c r="U337">
        <f>ABS(Sheet1[[#This Row],[ARC_r]]-Sheet1[[#This Row],[ARC_u]])</f>
        <v>0.46470045799999865</v>
      </c>
      <c r="V337">
        <f>ROUND(Sheet1[[#This Row],[wat_bas_n]],0)</f>
        <v>91</v>
      </c>
      <c r="W337">
        <f>ROUND(Sheet1[[#This Row],[wat_bas_r]],0)</f>
        <v>85</v>
      </c>
      <c r="X337">
        <f>ROUND(Sheet1[[#This Row],[wat_bas_u]],0)</f>
        <v>97</v>
      </c>
      <c r="Y337" s="1" t="str">
        <f t="shared" si="13"/>
        <v>not full access</v>
      </c>
      <c r="Z337" s="1" t="str">
        <f t="shared" si="14"/>
        <v>not full access</v>
      </c>
      <c r="AA337" s="1" t="str">
        <f t="shared" si="15"/>
        <v>not full access</v>
      </c>
    </row>
    <row r="338" spans="1:27" x14ac:dyDescent="0.25">
      <c r="A338" s="1" t="s">
        <v>50</v>
      </c>
      <c r="B338">
        <v>2015</v>
      </c>
      <c r="C338">
        <v>19925.181639999999</v>
      </c>
      <c r="D338">
        <v>53.886997219999998</v>
      </c>
      <c r="E338">
        <v>100</v>
      </c>
      <c r="F338">
        <v>0</v>
      </c>
      <c r="G338">
        <v>0</v>
      </c>
      <c r="H338">
        <v>0</v>
      </c>
      <c r="I338">
        <v>100</v>
      </c>
      <c r="J338">
        <v>0</v>
      </c>
      <c r="K338">
        <v>0</v>
      </c>
      <c r="L338">
        <v>0</v>
      </c>
      <c r="M338">
        <v>100</v>
      </c>
      <c r="N338">
        <v>0</v>
      </c>
      <c r="O338">
        <v>0</v>
      </c>
      <c r="P338">
        <v>0</v>
      </c>
      <c r="U338">
        <f>ABS(Sheet1[[#This Row],[ARC_r]]-Sheet1[[#This Row],[ARC_u]])</f>
        <v>0</v>
      </c>
      <c r="V338">
        <f>ROUND(Sheet1[[#This Row],[wat_bas_n]],0)</f>
        <v>100</v>
      </c>
      <c r="W338">
        <f>ROUND(Sheet1[[#This Row],[wat_bas_r]],0)</f>
        <v>100</v>
      </c>
      <c r="X338">
        <f>ROUND(Sheet1[[#This Row],[wat_bas_u]],0)</f>
        <v>100</v>
      </c>
      <c r="Y338" s="1" t="str">
        <f t="shared" si="13"/>
        <v>full access</v>
      </c>
      <c r="Z338" s="1" t="str">
        <f t="shared" si="14"/>
        <v>full access</v>
      </c>
      <c r="AA338" s="1" t="str">
        <f t="shared" si="15"/>
        <v>full access</v>
      </c>
    </row>
    <row r="339" spans="1:27" x14ac:dyDescent="0.25">
      <c r="A339" s="1" t="s">
        <v>50</v>
      </c>
      <c r="B339">
        <v>2020</v>
      </c>
      <c r="C339">
        <v>19237.681639999999</v>
      </c>
      <c r="D339">
        <v>54.194000240000001</v>
      </c>
      <c r="E339">
        <v>100</v>
      </c>
      <c r="F339">
        <v>0</v>
      </c>
      <c r="G339">
        <v>0</v>
      </c>
      <c r="H339">
        <v>0</v>
      </c>
      <c r="I339">
        <v>100</v>
      </c>
      <c r="J339">
        <v>0</v>
      </c>
      <c r="K339">
        <v>0</v>
      </c>
      <c r="L339">
        <v>0</v>
      </c>
      <c r="M339">
        <v>100</v>
      </c>
      <c r="N339">
        <v>0</v>
      </c>
      <c r="O339">
        <v>0</v>
      </c>
      <c r="P339">
        <v>0</v>
      </c>
      <c r="Q339">
        <v>5</v>
      </c>
      <c r="R339">
        <v>0</v>
      </c>
      <c r="S339">
        <v>0</v>
      </c>
      <c r="T339">
        <v>0</v>
      </c>
      <c r="U339">
        <f>ABS(Sheet1[[#This Row],[ARC_r]]-Sheet1[[#This Row],[ARC_u]])</f>
        <v>0</v>
      </c>
      <c r="V339">
        <f>ROUND(Sheet1[[#This Row],[wat_bas_n]],0)</f>
        <v>100</v>
      </c>
      <c r="W339">
        <f>ROUND(Sheet1[[#This Row],[wat_bas_r]],0)</f>
        <v>100</v>
      </c>
      <c r="X339">
        <f>ROUND(Sheet1[[#This Row],[wat_bas_u]],0)</f>
        <v>100</v>
      </c>
      <c r="Y339" s="1" t="str">
        <f t="shared" si="13"/>
        <v>full access</v>
      </c>
      <c r="Z339" s="1" t="str">
        <f t="shared" si="14"/>
        <v>full access</v>
      </c>
      <c r="AA339" s="1" t="str">
        <f t="shared" si="15"/>
        <v>full access</v>
      </c>
    </row>
    <row r="340" spans="1:27" hidden="1" x14ac:dyDescent="0.25">
      <c r="A340" s="1" t="s">
        <v>134</v>
      </c>
      <c r="B340">
        <v>2015</v>
      </c>
      <c r="C340">
        <v>144985.0625</v>
      </c>
      <c r="D340">
        <v>74.049995420000002</v>
      </c>
      <c r="E340">
        <v>96.527155429999993</v>
      </c>
      <c r="F340">
        <v>0.62448653440000002</v>
      </c>
      <c r="G340">
        <v>2.848358036</v>
      </c>
      <c r="I340">
        <v>90.110109010000002</v>
      </c>
      <c r="J340">
        <v>1.558364042</v>
      </c>
      <c r="K340">
        <v>8.3315269460000003</v>
      </c>
      <c r="M340">
        <v>98.775934890000002</v>
      </c>
      <c r="N340">
        <v>0.29721946310000003</v>
      </c>
      <c r="O340">
        <v>0.72684564200000001</v>
      </c>
      <c r="P340">
        <v>0.2</v>
      </c>
      <c r="U340">
        <f>ABS(Sheet1[[#This Row],[ARC_r]]-Sheet1[[#This Row],[ARC_u]])</f>
        <v>0</v>
      </c>
      <c r="V340">
        <f>ROUND(Sheet1[[#This Row],[wat_bas_n]],0)</f>
        <v>97</v>
      </c>
      <c r="W340">
        <f>ROUND(Sheet1[[#This Row],[wat_bas_r]],0)</f>
        <v>90</v>
      </c>
      <c r="X340">
        <f>ROUND(Sheet1[[#This Row],[wat_bas_u]],0)</f>
        <v>99</v>
      </c>
      <c r="Y340" s="1" t="str">
        <f t="shared" si="13"/>
        <v>not full access</v>
      </c>
      <c r="Z340" s="1" t="str">
        <f t="shared" si="14"/>
        <v>not full access</v>
      </c>
      <c r="AA340" s="1" t="str">
        <f t="shared" si="15"/>
        <v>not full access</v>
      </c>
    </row>
    <row r="341" spans="1:27" hidden="1" x14ac:dyDescent="0.25">
      <c r="A341" s="1" t="s">
        <v>134</v>
      </c>
      <c r="B341">
        <v>2020</v>
      </c>
      <c r="C341">
        <v>145934.45310000001</v>
      </c>
      <c r="D341">
        <v>74.754005430000007</v>
      </c>
      <c r="E341">
        <v>96.992548069999998</v>
      </c>
      <c r="F341">
        <v>0.62199637659999996</v>
      </c>
      <c r="G341">
        <v>2.3854555500000001</v>
      </c>
      <c r="I341">
        <v>91.544101960000006</v>
      </c>
      <c r="J341">
        <v>1.5831635129999999</v>
      </c>
      <c r="K341">
        <v>6.8727345309999999</v>
      </c>
      <c r="M341">
        <v>98.832599610000003</v>
      </c>
      <c r="N341">
        <v>0.29738996870000001</v>
      </c>
      <c r="O341">
        <v>0.67001042359999996</v>
      </c>
      <c r="P341">
        <v>0.2</v>
      </c>
      <c r="Q341">
        <v>5</v>
      </c>
      <c r="R341">
        <v>9.307852800000091E-2</v>
      </c>
      <c r="S341">
        <v>0.2867985900000008</v>
      </c>
      <c r="T341">
        <v>1.133294400000011E-2</v>
      </c>
      <c r="U341">
        <f>ABS(Sheet1[[#This Row],[ARC_r]]-Sheet1[[#This Row],[ARC_u]])</f>
        <v>0.27546564600000067</v>
      </c>
      <c r="V341">
        <f>ROUND(Sheet1[[#This Row],[wat_bas_n]],0)</f>
        <v>97</v>
      </c>
      <c r="W341">
        <f>ROUND(Sheet1[[#This Row],[wat_bas_r]],0)</f>
        <v>92</v>
      </c>
      <c r="X341">
        <f>ROUND(Sheet1[[#This Row],[wat_bas_u]],0)</f>
        <v>99</v>
      </c>
      <c r="Y341" s="1" t="str">
        <f t="shared" si="13"/>
        <v>not full access</v>
      </c>
      <c r="Z341" s="1" t="str">
        <f t="shared" si="14"/>
        <v>not full access</v>
      </c>
      <c r="AA341" s="1" t="str">
        <f t="shared" si="15"/>
        <v>not full access</v>
      </c>
    </row>
    <row r="342" spans="1:27" hidden="1" x14ac:dyDescent="0.25">
      <c r="A342" s="1" t="s">
        <v>232</v>
      </c>
      <c r="B342">
        <v>2015</v>
      </c>
      <c r="C342">
        <v>11369.066409999999</v>
      </c>
      <c r="D342">
        <v>17.003999709999999</v>
      </c>
      <c r="E342">
        <v>57.121774019999997</v>
      </c>
      <c r="F342">
        <v>22.154046149999999</v>
      </c>
      <c r="G342">
        <v>13.45013172</v>
      </c>
      <c r="H342">
        <v>7.2740481099999998</v>
      </c>
      <c r="I342">
        <v>52.352709560000001</v>
      </c>
      <c r="J342">
        <v>24.60883866</v>
      </c>
      <c r="K342">
        <v>14.980603540000001</v>
      </c>
      <c r="L342">
        <v>8.0578482410000003</v>
      </c>
      <c r="M342">
        <v>80.399437379999995</v>
      </c>
      <c r="N342">
        <v>10.172282620000001</v>
      </c>
      <c r="O342">
        <v>5.9799351659999997</v>
      </c>
      <c r="P342">
        <v>3.4483448280000002</v>
      </c>
      <c r="U342">
        <f>ABS(Sheet1[[#This Row],[ARC_r]]-Sheet1[[#This Row],[ARC_u]])</f>
        <v>0</v>
      </c>
      <c r="V342">
        <f>ROUND(Sheet1[[#This Row],[wat_bas_n]],0)</f>
        <v>57</v>
      </c>
      <c r="W342">
        <f>ROUND(Sheet1[[#This Row],[wat_bas_r]],0)</f>
        <v>52</v>
      </c>
      <c r="X342">
        <f>ROUND(Sheet1[[#This Row],[wat_bas_u]],0)</f>
        <v>80</v>
      </c>
      <c r="Y342" s="1" t="str">
        <f t="shared" si="13"/>
        <v>not full access</v>
      </c>
      <c r="Z342" s="1" t="str">
        <f t="shared" si="14"/>
        <v>not full access</v>
      </c>
      <c r="AA342" s="1" t="str">
        <f t="shared" si="15"/>
        <v>not full access</v>
      </c>
    </row>
    <row r="343" spans="1:27" hidden="1" x14ac:dyDescent="0.25">
      <c r="A343" s="1" t="s">
        <v>232</v>
      </c>
      <c r="B343">
        <v>2020</v>
      </c>
      <c r="C343">
        <v>12952.208979999999</v>
      </c>
      <c r="D343">
        <v>17.432001110000002</v>
      </c>
      <c r="E343">
        <v>60.41450115</v>
      </c>
      <c r="F343">
        <v>22.3207193</v>
      </c>
      <c r="G343">
        <v>13.15480415</v>
      </c>
      <c r="H343">
        <v>4.1099754009999998</v>
      </c>
      <c r="I343">
        <v>55.642468229999999</v>
      </c>
      <c r="J343">
        <v>25.08014133</v>
      </c>
      <c r="K343">
        <v>14.778867719999999</v>
      </c>
      <c r="L343">
        <v>4.4985227139999999</v>
      </c>
      <c r="M343">
        <v>83.017599300000001</v>
      </c>
      <c r="N343">
        <v>9.2505062509999991</v>
      </c>
      <c r="O343">
        <v>5.4623030569999997</v>
      </c>
      <c r="P343">
        <v>2.2695913939999999</v>
      </c>
      <c r="Q343">
        <v>5</v>
      </c>
      <c r="R343">
        <v>0.65854542600000054</v>
      </c>
      <c r="S343">
        <v>0.65795173399999951</v>
      </c>
      <c r="T343">
        <v>0.52363238400000112</v>
      </c>
      <c r="U343">
        <f>ABS(Sheet1[[#This Row],[ARC_r]]-Sheet1[[#This Row],[ARC_u]])</f>
        <v>0.13431934999999839</v>
      </c>
      <c r="V343">
        <f>ROUND(Sheet1[[#This Row],[wat_bas_n]],0)</f>
        <v>60</v>
      </c>
      <c r="W343">
        <f>ROUND(Sheet1[[#This Row],[wat_bas_r]],0)</f>
        <v>56</v>
      </c>
      <c r="X343">
        <f>ROUND(Sheet1[[#This Row],[wat_bas_u]],0)</f>
        <v>83</v>
      </c>
      <c r="Y343" s="1" t="str">
        <f t="shared" si="13"/>
        <v>not full access</v>
      </c>
      <c r="Z343" s="1" t="str">
        <f t="shared" si="14"/>
        <v>not full access</v>
      </c>
      <c r="AA343" s="1" t="str">
        <f t="shared" si="15"/>
        <v>not full access</v>
      </c>
    </row>
    <row r="344" spans="1:27" x14ac:dyDescent="0.25">
      <c r="A344" s="1" t="s">
        <v>42</v>
      </c>
      <c r="B344">
        <v>2015</v>
      </c>
      <c r="C344">
        <v>863.35900879999997</v>
      </c>
      <c r="D344">
        <v>99.339004520000003</v>
      </c>
      <c r="E344">
        <v>99.911530189999993</v>
      </c>
      <c r="F344">
        <v>0</v>
      </c>
      <c r="G344">
        <v>8.8469814100000002E-2</v>
      </c>
      <c r="H344">
        <v>0</v>
      </c>
      <c r="U344">
        <f>ABS(Sheet1[[#This Row],[ARC_r]]-Sheet1[[#This Row],[ARC_u]])</f>
        <v>0</v>
      </c>
      <c r="V344">
        <f>ROUND(Sheet1[[#This Row],[wat_bas_n]],0)</f>
        <v>100</v>
      </c>
      <c r="W344">
        <f>ROUND(Sheet1[[#This Row],[wat_bas_r]],0)</f>
        <v>0</v>
      </c>
      <c r="X344">
        <f>ROUND(Sheet1[[#This Row],[wat_bas_u]],0)</f>
        <v>0</v>
      </c>
      <c r="Y344" s="1" t="str">
        <f t="shared" si="13"/>
        <v>full access</v>
      </c>
      <c r="Z344" s="1" t="str">
        <f t="shared" si="14"/>
        <v>not full access</v>
      </c>
      <c r="AA344" s="1" t="str">
        <f t="shared" si="15"/>
        <v>not full access</v>
      </c>
    </row>
    <row r="345" spans="1:27" x14ac:dyDescent="0.25">
      <c r="A345" s="1" t="s">
        <v>42</v>
      </c>
      <c r="B345">
        <v>2020</v>
      </c>
      <c r="C345">
        <v>895.30798340000001</v>
      </c>
      <c r="D345">
        <v>99.659004210000006</v>
      </c>
      <c r="E345">
        <v>100</v>
      </c>
      <c r="F345">
        <v>0</v>
      </c>
      <c r="G345">
        <v>0</v>
      </c>
      <c r="H345">
        <v>0</v>
      </c>
      <c r="Q345">
        <v>5</v>
      </c>
      <c r="R345">
        <v>1.7693962000001309E-2</v>
      </c>
      <c r="U345">
        <f>ABS(Sheet1[[#This Row],[ARC_r]]-Sheet1[[#This Row],[ARC_u]])</f>
        <v>0</v>
      </c>
      <c r="V345">
        <f>ROUND(Sheet1[[#This Row],[wat_bas_n]],0)</f>
        <v>100</v>
      </c>
      <c r="W345">
        <f>ROUND(Sheet1[[#This Row],[wat_bas_r]],0)</f>
        <v>0</v>
      </c>
      <c r="X345">
        <f>ROUND(Sheet1[[#This Row],[wat_bas_u]],0)</f>
        <v>0</v>
      </c>
      <c r="Y345" s="1" t="str">
        <f t="shared" si="13"/>
        <v>full access</v>
      </c>
      <c r="Z345" s="1" t="str">
        <f t="shared" si="14"/>
        <v>not full access</v>
      </c>
      <c r="AA345" s="1" t="str">
        <f t="shared" si="15"/>
        <v>not full access</v>
      </c>
    </row>
    <row r="346" spans="1:27" x14ac:dyDescent="0.25">
      <c r="A346" s="1" t="s">
        <v>31</v>
      </c>
      <c r="B346">
        <v>2015</v>
      </c>
      <c r="C346">
        <v>9.6959999999999997</v>
      </c>
      <c r="D346">
        <v>100</v>
      </c>
      <c r="E346">
        <v>99.964919269999996</v>
      </c>
      <c r="F346">
        <v>0</v>
      </c>
      <c r="G346">
        <v>3.5080726299999997E-2</v>
      </c>
      <c r="H346">
        <v>0</v>
      </c>
      <c r="M346">
        <v>99.964919269999996</v>
      </c>
      <c r="N346">
        <v>0</v>
      </c>
      <c r="O346">
        <v>3.5080726299999997E-2</v>
      </c>
      <c r="P346">
        <v>0</v>
      </c>
      <c r="U346">
        <f>ABS(Sheet1[[#This Row],[ARC_r]]-Sheet1[[#This Row],[ARC_u]])</f>
        <v>0</v>
      </c>
      <c r="V346">
        <f>ROUND(Sheet1[[#This Row],[wat_bas_n]],0)</f>
        <v>100</v>
      </c>
      <c r="W346">
        <f>ROUND(Sheet1[[#This Row],[wat_bas_r]],0)</f>
        <v>0</v>
      </c>
      <c r="X346">
        <f>ROUND(Sheet1[[#This Row],[wat_bas_u]],0)</f>
        <v>100</v>
      </c>
      <c r="Y346" s="1" t="str">
        <f t="shared" si="13"/>
        <v>full access</v>
      </c>
      <c r="Z346" s="1" t="str">
        <f t="shared" si="14"/>
        <v>not full access</v>
      </c>
      <c r="AA346" s="1" t="str">
        <f t="shared" si="15"/>
        <v>full access</v>
      </c>
    </row>
    <row r="347" spans="1:27" x14ac:dyDescent="0.25">
      <c r="A347" s="1" t="s">
        <v>31</v>
      </c>
      <c r="B347">
        <v>2020</v>
      </c>
      <c r="C347">
        <v>9.8849999999999998</v>
      </c>
      <c r="D347">
        <v>100</v>
      </c>
      <c r="E347">
        <v>100</v>
      </c>
      <c r="F347">
        <v>0</v>
      </c>
      <c r="G347">
        <v>0</v>
      </c>
      <c r="H347">
        <v>0</v>
      </c>
      <c r="M347">
        <v>100</v>
      </c>
      <c r="N347">
        <v>0</v>
      </c>
      <c r="O347">
        <v>0</v>
      </c>
      <c r="P347">
        <v>0</v>
      </c>
      <c r="Q347">
        <v>5</v>
      </c>
      <c r="R347">
        <v>7.0161460000008448E-3</v>
      </c>
      <c r="T347">
        <v>7.0161460000008448E-3</v>
      </c>
      <c r="U347">
        <f>ABS(Sheet1[[#This Row],[ARC_r]]-Sheet1[[#This Row],[ARC_u]])</f>
        <v>7.0161460000008448E-3</v>
      </c>
      <c r="V347">
        <f>ROUND(Sheet1[[#This Row],[wat_bas_n]],0)</f>
        <v>100</v>
      </c>
      <c r="W347">
        <f>ROUND(Sheet1[[#This Row],[wat_bas_r]],0)</f>
        <v>0</v>
      </c>
      <c r="X347">
        <f>ROUND(Sheet1[[#This Row],[wat_bas_u]],0)</f>
        <v>100</v>
      </c>
      <c r="Y347" s="1" t="str">
        <f t="shared" si="13"/>
        <v>full access</v>
      </c>
      <c r="Z347" s="1" t="str">
        <f t="shared" si="14"/>
        <v>not full access</v>
      </c>
      <c r="AA347" s="1" t="str">
        <f t="shared" si="15"/>
        <v>full access</v>
      </c>
    </row>
    <row r="348" spans="1:27" hidden="1" x14ac:dyDescent="0.25">
      <c r="A348" s="1" t="s">
        <v>100</v>
      </c>
      <c r="B348">
        <v>2015</v>
      </c>
      <c r="C348">
        <v>5.8689999579999999</v>
      </c>
      <c r="D348">
        <v>39.539997100000001</v>
      </c>
      <c r="E348">
        <v>98.95</v>
      </c>
      <c r="F348">
        <v>0</v>
      </c>
      <c r="G348">
        <v>1.05</v>
      </c>
      <c r="H348">
        <v>0</v>
      </c>
      <c r="U348">
        <f>ABS(Sheet1[[#This Row],[ARC_r]]-Sheet1[[#This Row],[ARC_u]])</f>
        <v>0</v>
      </c>
      <c r="V348">
        <f>ROUND(Sheet1[[#This Row],[wat_bas_n]],0)</f>
        <v>99</v>
      </c>
      <c r="W348">
        <f>ROUND(Sheet1[[#This Row],[wat_bas_r]],0)</f>
        <v>0</v>
      </c>
      <c r="X348">
        <f>ROUND(Sheet1[[#This Row],[wat_bas_u]],0)</f>
        <v>0</v>
      </c>
      <c r="Y348" s="1" t="str">
        <f t="shared" si="13"/>
        <v>not full access</v>
      </c>
      <c r="Z348" s="1" t="str">
        <f t="shared" si="14"/>
        <v>not full access</v>
      </c>
      <c r="AA348" s="1" t="str">
        <f t="shared" si="15"/>
        <v>not full access</v>
      </c>
    </row>
    <row r="349" spans="1:27" hidden="1" x14ac:dyDescent="0.25">
      <c r="A349" s="1" t="s">
        <v>100</v>
      </c>
      <c r="B349">
        <v>2020</v>
      </c>
      <c r="C349">
        <v>6.0710000989999999</v>
      </c>
      <c r="D349">
        <v>40.082000729999997</v>
      </c>
      <c r="E349">
        <v>99.1</v>
      </c>
      <c r="F349">
        <v>0</v>
      </c>
      <c r="G349">
        <v>0.9</v>
      </c>
      <c r="H349">
        <v>0</v>
      </c>
      <c r="Q349">
        <v>5</v>
      </c>
      <c r="R349">
        <v>2.9999999999998299E-2</v>
      </c>
      <c r="U349">
        <f>ABS(Sheet1[[#This Row],[ARC_r]]-Sheet1[[#This Row],[ARC_u]])</f>
        <v>0</v>
      </c>
      <c r="V349">
        <f>ROUND(Sheet1[[#This Row],[wat_bas_n]],0)</f>
        <v>99</v>
      </c>
      <c r="W349">
        <f>ROUND(Sheet1[[#This Row],[wat_bas_r]],0)</f>
        <v>0</v>
      </c>
      <c r="X349">
        <f>ROUND(Sheet1[[#This Row],[wat_bas_u]],0)</f>
        <v>0</v>
      </c>
      <c r="Y349" s="1" t="str">
        <f t="shared" si="13"/>
        <v>not full access</v>
      </c>
      <c r="Z349" s="1" t="str">
        <f t="shared" si="14"/>
        <v>not full access</v>
      </c>
      <c r="AA349" s="1" t="str">
        <f t="shared" si="15"/>
        <v>not full access</v>
      </c>
    </row>
    <row r="350" spans="1:27" hidden="1" x14ac:dyDescent="0.25">
      <c r="A350" s="1" t="s">
        <v>110</v>
      </c>
      <c r="B350">
        <v>2015</v>
      </c>
      <c r="C350">
        <v>51.203998570000003</v>
      </c>
      <c r="D350">
        <v>30.82700157</v>
      </c>
      <c r="E350">
        <v>98.611854129999998</v>
      </c>
      <c r="F350">
        <v>0</v>
      </c>
      <c r="G350">
        <v>1.3881458680000001</v>
      </c>
      <c r="H350">
        <v>0</v>
      </c>
      <c r="U350">
        <f>ABS(Sheet1[[#This Row],[ARC_r]]-Sheet1[[#This Row],[ARC_u]])</f>
        <v>0</v>
      </c>
      <c r="V350">
        <f>ROUND(Sheet1[[#This Row],[wat_bas_n]],0)</f>
        <v>99</v>
      </c>
      <c r="W350">
        <f>ROUND(Sheet1[[#This Row],[wat_bas_r]],0)</f>
        <v>0</v>
      </c>
      <c r="X350">
        <f>ROUND(Sheet1[[#This Row],[wat_bas_u]],0)</f>
        <v>0</v>
      </c>
      <c r="Y350" s="1" t="str">
        <f t="shared" si="13"/>
        <v>not full access</v>
      </c>
      <c r="Z350" s="1" t="str">
        <f t="shared" si="14"/>
        <v>not full access</v>
      </c>
      <c r="AA350" s="1" t="str">
        <f t="shared" si="15"/>
        <v>not full access</v>
      </c>
    </row>
    <row r="351" spans="1:27" hidden="1" x14ac:dyDescent="0.25">
      <c r="A351" s="1" t="s">
        <v>110</v>
      </c>
      <c r="B351">
        <v>2017</v>
      </c>
      <c r="C351">
        <v>52.0359993</v>
      </c>
      <c r="D351">
        <v>30.772996899999999</v>
      </c>
      <c r="E351">
        <v>98.611854129999998</v>
      </c>
      <c r="F351">
        <v>0</v>
      </c>
      <c r="G351">
        <v>1.3881458680000001</v>
      </c>
      <c r="H351">
        <v>0</v>
      </c>
      <c r="Q351">
        <v>2</v>
      </c>
      <c r="R351">
        <v>0</v>
      </c>
      <c r="U351">
        <f>ABS(Sheet1[[#This Row],[ARC_r]]-Sheet1[[#This Row],[ARC_u]])</f>
        <v>0</v>
      </c>
      <c r="V351">
        <f>ROUND(Sheet1[[#This Row],[wat_bas_n]],0)</f>
        <v>99</v>
      </c>
      <c r="W351">
        <f>ROUND(Sheet1[[#This Row],[wat_bas_r]],0)</f>
        <v>0</v>
      </c>
      <c r="X351">
        <f>ROUND(Sheet1[[#This Row],[wat_bas_u]],0)</f>
        <v>0</v>
      </c>
      <c r="Y351" s="1" t="str">
        <f t="shared" si="13"/>
        <v>not full access</v>
      </c>
      <c r="Z351" s="1" t="str">
        <f t="shared" si="14"/>
        <v>not full access</v>
      </c>
      <c r="AA351" s="1" t="str">
        <f t="shared" si="15"/>
        <v>not full access</v>
      </c>
    </row>
    <row r="352" spans="1:27" hidden="1" x14ac:dyDescent="0.25">
      <c r="A352" s="1" t="s">
        <v>135</v>
      </c>
      <c r="B352">
        <v>2015</v>
      </c>
      <c r="C352">
        <v>179.1309967</v>
      </c>
      <c r="D352">
        <v>18.51499939</v>
      </c>
      <c r="E352">
        <v>95.568094279999997</v>
      </c>
      <c r="F352">
        <v>1.790210415</v>
      </c>
      <c r="G352">
        <v>2.6416953030000001</v>
      </c>
      <c r="H352">
        <v>0</v>
      </c>
      <c r="I352">
        <v>95.312261239999998</v>
      </c>
      <c r="J352">
        <v>1.707252381</v>
      </c>
      <c r="K352">
        <v>2.9804863780000002</v>
      </c>
      <c r="L352">
        <v>0</v>
      </c>
      <c r="M352">
        <v>96.694033180000005</v>
      </c>
      <c r="N352">
        <v>2.1553111029999998</v>
      </c>
      <c r="O352">
        <v>1.1506557129999999</v>
      </c>
      <c r="P352">
        <v>0</v>
      </c>
      <c r="U352">
        <f>ABS(Sheet1[[#This Row],[ARC_r]]-Sheet1[[#This Row],[ARC_u]])</f>
        <v>0</v>
      </c>
      <c r="V352">
        <f>ROUND(Sheet1[[#This Row],[wat_bas_n]],0)</f>
        <v>96</v>
      </c>
      <c r="W352">
        <f>ROUND(Sheet1[[#This Row],[wat_bas_r]],0)</f>
        <v>95</v>
      </c>
      <c r="X352">
        <f>ROUND(Sheet1[[#This Row],[wat_bas_u]],0)</f>
        <v>97</v>
      </c>
      <c r="Y352" s="1" t="str">
        <f t="shared" si="13"/>
        <v>not full access</v>
      </c>
      <c r="Z352" s="1" t="str">
        <f t="shared" si="14"/>
        <v>not full access</v>
      </c>
      <c r="AA352" s="1" t="str">
        <f t="shared" si="15"/>
        <v>not full access</v>
      </c>
    </row>
    <row r="353" spans="1:27" hidden="1" x14ac:dyDescent="0.25">
      <c r="A353" s="1" t="s">
        <v>135</v>
      </c>
      <c r="B353">
        <v>2020</v>
      </c>
      <c r="C353">
        <v>183.62899780000001</v>
      </c>
      <c r="D353">
        <v>18.8409996</v>
      </c>
      <c r="E353">
        <v>96.887844569999999</v>
      </c>
      <c r="F353">
        <v>1.815652166</v>
      </c>
      <c r="G353">
        <v>1.296503269</v>
      </c>
      <c r="H353">
        <v>0</v>
      </c>
      <c r="I353">
        <v>96.814023829999996</v>
      </c>
      <c r="J353">
        <v>1.7341522549999999</v>
      </c>
      <c r="K353">
        <v>1.4518239180000001</v>
      </c>
      <c r="L353">
        <v>0</v>
      </c>
      <c r="M353">
        <v>97.205822190000006</v>
      </c>
      <c r="N353">
        <v>2.166718886</v>
      </c>
      <c r="O353">
        <v>0.6274589237</v>
      </c>
      <c r="P353">
        <v>0</v>
      </c>
      <c r="Q353">
        <v>5</v>
      </c>
      <c r="R353">
        <v>0.26395005800000038</v>
      </c>
      <c r="S353">
        <v>0.30035251799999968</v>
      </c>
      <c r="T353">
        <v>0.10235780200000021</v>
      </c>
      <c r="U353">
        <f>ABS(Sheet1[[#This Row],[ARC_r]]-Sheet1[[#This Row],[ARC_u]])</f>
        <v>0.19799471599999946</v>
      </c>
      <c r="V353">
        <f>ROUND(Sheet1[[#This Row],[wat_bas_n]],0)</f>
        <v>97</v>
      </c>
      <c r="W353">
        <f>ROUND(Sheet1[[#This Row],[wat_bas_r]],0)</f>
        <v>97</v>
      </c>
      <c r="X353">
        <f>ROUND(Sheet1[[#This Row],[wat_bas_u]],0)</f>
        <v>97</v>
      </c>
      <c r="Y353" s="1" t="str">
        <f t="shared" si="13"/>
        <v>not full access</v>
      </c>
      <c r="Z353" s="1" t="str">
        <f t="shared" si="14"/>
        <v>not full access</v>
      </c>
      <c r="AA353" s="1" t="str">
        <f t="shared" si="15"/>
        <v>not full access</v>
      </c>
    </row>
    <row r="354" spans="1:27" x14ac:dyDescent="0.25">
      <c r="A354" s="1" t="s">
        <v>58</v>
      </c>
      <c r="B354">
        <v>2015</v>
      </c>
      <c r="C354">
        <v>35.865000000000002</v>
      </c>
      <c r="D354">
        <v>100</v>
      </c>
      <c r="E354">
        <v>99.999774200000004</v>
      </c>
      <c r="F354">
        <v>0</v>
      </c>
      <c r="G354">
        <v>2.2580388819999999E-4</v>
      </c>
      <c r="H354">
        <v>0</v>
      </c>
      <c r="M354">
        <v>99.999774200000004</v>
      </c>
      <c r="N354">
        <v>0</v>
      </c>
      <c r="O354">
        <v>2.2580388819999999E-4</v>
      </c>
      <c r="P354">
        <v>0</v>
      </c>
      <c r="U354">
        <f>ABS(Sheet1[[#This Row],[ARC_r]]-Sheet1[[#This Row],[ARC_u]])</f>
        <v>0</v>
      </c>
      <c r="V354">
        <f>ROUND(Sheet1[[#This Row],[wat_bas_n]],0)</f>
        <v>100</v>
      </c>
      <c r="W354">
        <f>ROUND(Sheet1[[#This Row],[wat_bas_r]],0)</f>
        <v>0</v>
      </c>
      <c r="X354">
        <f>ROUND(Sheet1[[#This Row],[wat_bas_u]],0)</f>
        <v>100</v>
      </c>
      <c r="Y354" s="1" t="str">
        <f t="shared" si="13"/>
        <v>full access</v>
      </c>
      <c r="Z354" s="1" t="str">
        <f t="shared" si="14"/>
        <v>not full access</v>
      </c>
      <c r="AA354" s="1" t="str">
        <f t="shared" si="15"/>
        <v>full access</v>
      </c>
    </row>
    <row r="355" spans="1:27" x14ac:dyDescent="0.25">
      <c r="A355" s="1" t="s">
        <v>58</v>
      </c>
      <c r="B355">
        <v>2020</v>
      </c>
      <c r="C355">
        <v>38.658999999999999</v>
      </c>
      <c r="D355">
        <v>100</v>
      </c>
      <c r="E355">
        <v>99.999271390000004</v>
      </c>
      <c r="F355">
        <v>0</v>
      </c>
      <c r="G355">
        <v>7.2861055070000001E-4</v>
      </c>
      <c r="H355">
        <v>0</v>
      </c>
      <c r="M355">
        <v>99.999271390000004</v>
      </c>
      <c r="N355">
        <v>0</v>
      </c>
      <c r="O355">
        <v>7.2861055070000001E-4</v>
      </c>
      <c r="P355">
        <v>0</v>
      </c>
      <c r="Q355">
        <v>5</v>
      </c>
      <c r="R355">
        <v>-1.0056200000008179E-4</v>
      </c>
      <c r="T355">
        <v>-1.0056200000008179E-4</v>
      </c>
      <c r="U355">
        <f>ABS(Sheet1[[#This Row],[ARC_r]]-Sheet1[[#This Row],[ARC_u]])</f>
        <v>1.0056200000008179E-4</v>
      </c>
      <c r="V355">
        <f>ROUND(Sheet1[[#This Row],[wat_bas_n]],0)</f>
        <v>100</v>
      </c>
      <c r="W355">
        <f>ROUND(Sheet1[[#This Row],[wat_bas_r]],0)</f>
        <v>0</v>
      </c>
      <c r="X355">
        <f>ROUND(Sheet1[[#This Row],[wat_bas_u]],0)</f>
        <v>100</v>
      </c>
      <c r="Y355" s="1" t="str">
        <f t="shared" si="13"/>
        <v>full access</v>
      </c>
      <c r="Z355" s="1" t="str">
        <f t="shared" si="14"/>
        <v>not full access</v>
      </c>
      <c r="AA355" s="1" t="str">
        <f t="shared" si="15"/>
        <v>full access</v>
      </c>
    </row>
    <row r="356" spans="1:27" hidden="1" x14ac:dyDescent="0.25">
      <c r="A356" s="1" t="s">
        <v>179</v>
      </c>
      <c r="B356">
        <v>2015</v>
      </c>
      <c r="C356">
        <v>5.9920001029999996</v>
      </c>
      <c r="D356">
        <v>89.888999940000005</v>
      </c>
      <c r="E356">
        <v>91.4</v>
      </c>
      <c r="F356">
        <v>0</v>
      </c>
      <c r="G356">
        <v>8.6</v>
      </c>
      <c r="H356">
        <v>0</v>
      </c>
      <c r="U356">
        <f>ABS(Sheet1[[#This Row],[ARC_r]]-Sheet1[[#This Row],[ARC_u]])</f>
        <v>0</v>
      </c>
      <c r="V356">
        <f>ROUND(Sheet1[[#This Row],[wat_bas_n]],0)</f>
        <v>91</v>
      </c>
      <c r="W356">
        <f>ROUND(Sheet1[[#This Row],[wat_bas_r]],0)</f>
        <v>0</v>
      </c>
      <c r="X356">
        <f>ROUND(Sheet1[[#This Row],[wat_bas_u]],0)</f>
        <v>0</v>
      </c>
      <c r="Y356" s="1" t="str">
        <f t="shared" si="13"/>
        <v>not full access</v>
      </c>
      <c r="Z356" s="1" t="str">
        <f t="shared" si="14"/>
        <v>not full access</v>
      </c>
      <c r="AA356" s="1" t="str">
        <f t="shared" si="15"/>
        <v>not full access</v>
      </c>
    </row>
    <row r="357" spans="1:27" hidden="1" x14ac:dyDescent="0.25">
      <c r="A357" s="1" t="s">
        <v>179</v>
      </c>
      <c r="B357">
        <v>2020</v>
      </c>
      <c r="C357">
        <v>5.795000076</v>
      </c>
      <c r="D357">
        <v>89.96199799</v>
      </c>
      <c r="E357">
        <v>91.4</v>
      </c>
      <c r="F357">
        <v>0</v>
      </c>
      <c r="G357">
        <v>8.6</v>
      </c>
      <c r="H357">
        <v>0</v>
      </c>
      <c r="Q357">
        <v>5</v>
      </c>
      <c r="R357">
        <v>0</v>
      </c>
      <c r="U357">
        <f>ABS(Sheet1[[#This Row],[ARC_r]]-Sheet1[[#This Row],[ARC_u]])</f>
        <v>0</v>
      </c>
      <c r="V357">
        <f>ROUND(Sheet1[[#This Row],[wat_bas_n]],0)</f>
        <v>91</v>
      </c>
      <c r="W357">
        <f>ROUND(Sheet1[[#This Row],[wat_bas_r]],0)</f>
        <v>0</v>
      </c>
      <c r="X357">
        <f>ROUND(Sheet1[[#This Row],[wat_bas_u]],0)</f>
        <v>0</v>
      </c>
      <c r="Y357" s="1" t="str">
        <f t="shared" si="13"/>
        <v>not full access</v>
      </c>
      <c r="Z357" s="1" t="str">
        <f t="shared" si="14"/>
        <v>not full access</v>
      </c>
      <c r="AA357" s="1" t="str">
        <f t="shared" si="15"/>
        <v>not full access</v>
      </c>
    </row>
    <row r="358" spans="1:27" hidden="1" x14ac:dyDescent="0.25">
      <c r="A358" s="1" t="s">
        <v>155</v>
      </c>
      <c r="B358">
        <v>2015</v>
      </c>
      <c r="C358">
        <v>109.13500209999999</v>
      </c>
      <c r="D358">
        <v>50.963996889999997</v>
      </c>
      <c r="E358">
        <v>95.145219900000001</v>
      </c>
      <c r="F358">
        <v>0</v>
      </c>
      <c r="G358">
        <v>4.0700937030000004</v>
      </c>
      <c r="H358">
        <v>0.78468639699999998</v>
      </c>
      <c r="U358">
        <f>ABS(Sheet1[[#This Row],[ARC_r]]-Sheet1[[#This Row],[ARC_u]])</f>
        <v>0</v>
      </c>
      <c r="V358">
        <f>ROUND(Sheet1[[#This Row],[wat_bas_n]],0)</f>
        <v>95</v>
      </c>
      <c r="W358">
        <f>ROUND(Sheet1[[#This Row],[wat_bas_r]],0)</f>
        <v>0</v>
      </c>
      <c r="X358">
        <f>ROUND(Sheet1[[#This Row],[wat_bas_u]],0)</f>
        <v>0</v>
      </c>
      <c r="Y358" s="1" t="str">
        <f t="shared" si="13"/>
        <v>not full access</v>
      </c>
      <c r="Z358" s="1" t="str">
        <f t="shared" si="14"/>
        <v>not full access</v>
      </c>
      <c r="AA358" s="1" t="str">
        <f t="shared" si="15"/>
        <v>not full access</v>
      </c>
    </row>
    <row r="359" spans="1:27" hidden="1" x14ac:dyDescent="0.25">
      <c r="A359" s="1" t="s">
        <v>155</v>
      </c>
      <c r="B359">
        <v>2018</v>
      </c>
      <c r="C359">
        <v>110.2099991</v>
      </c>
      <c r="D359">
        <v>52.197998050000002</v>
      </c>
      <c r="E359">
        <v>95.145219900000001</v>
      </c>
      <c r="F359">
        <v>0</v>
      </c>
      <c r="G359">
        <v>4.8547801000000002</v>
      </c>
      <c r="Q359">
        <v>3</v>
      </c>
      <c r="R359">
        <v>0</v>
      </c>
      <c r="U359">
        <f>ABS(Sheet1[[#This Row],[ARC_r]]-Sheet1[[#This Row],[ARC_u]])</f>
        <v>0</v>
      </c>
      <c r="V359">
        <f>ROUND(Sheet1[[#This Row],[wat_bas_n]],0)</f>
        <v>95</v>
      </c>
      <c r="W359">
        <f>ROUND(Sheet1[[#This Row],[wat_bas_r]],0)</f>
        <v>0</v>
      </c>
      <c r="X359">
        <f>ROUND(Sheet1[[#This Row],[wat_bas_u]],0)</f>
        <v>0</v>
      </c>
      <c r="Y359" s="1" t="str">
        <f t="shared" si="13"/>
        <v>not full access</v>
      </c>
      <c r="Z359" s="1" t="str">
        <f t="shared" si="14"/>
        <v>not full access</v>
      </c>
      <c r="AA359" s="1" t="str">
        <f t="shared" si="15"/>
        <v>not full access</v>
      </c>
    </row>
    <row r="360" spans="1:27" hidden="1" x14ac:dyDescent="0.25">
      <c r="A360" s="1" t="s">
        <v>177</v>
      </c>
      <c r="B360">
        <v>2015</v>
      </c>
      <c r="C360">
        <v>193.5099945</v>
      </c>
      <c r="D360">
        <v>18.914001460000001</v>
      </c>
      <c r="E360">
        <v>91.321397360000006</v>
      </c>
      <c r="F360">
        <v>6.4992812960000004</v>
      </c>
      <c r="G360">
        <v>1.929815904</v>
      </c>
      <c r="H360">
        <v>0.24950544129999999</v>
      </c>
      <c r="I360">
        <v>91.386415650000004</v>
      </c>
      <c r="J360">
        <v>6.194005024</v>
      </c>
      <c r="K360">
        <v>2.1485295340000001</v>
      </c>
      <c r="L360">
        <v>0.2710497959</v>
      </c>
      <c r="M360">
        <v>91.042648679999999</v>
      </c>
      <c r="N360">
        <v>7.8080270609999998</v>
      </c>
      <c r="O360">
        <v>0.9921814015</v>
      </c>
      <c r="P360">
        <v>0.15714285710000001</v>
      </c>
      <c r="U360">
        <f>ABS(Sheet1[[#This Row],[ARC_r]]-Sheet1[[#This Row],[ARC_u]])</f>
        <v>0</v>
      </c>
      <c r="V360">
        <f>ROUND(Sheet1[[#This Row],[wat_bas_n]],0)</f>
        <v>91</v>
      </c>
      <c r="W360">
        <f>ROUND(Sheet1[[#This Row],[wat_bas_r]],0)</f>
        <v>91</v>
      </c>
      <c r="X360">
        <f>ROUND(Sheet1[[#This Row],[wat_bas_u]],0)</f>
        <v>91</v>
      </c>
      <c r="Y360" s="1" t="str">
        <f t="shared" si="13"/>
        <v>not full access</v>
      </c>
      <c r="Z360" s="1" t="str">
        <f t="shared" si="14"/>
        <v>not full access</v>
      </c>
      <c r="AA360" s="1" t="str">
        <f t="shared" si="15"/>
        <v>not full access</v>
      </c>
    </row>
    <row r="361" spans="1:27" hidden="1" x14ac:dyDescent="0.25">
      <c r="A361" s="1" t="s">
        <v>177</v>
      </c>
      <c r="B361">
        <v>2020</v>
      </c>
      <c r="C361">
        <v>198.4100037</v>
      </c>
      <c r="D361">
        <v>17.888999940000001</v>
      </c>
      <c r="E361">
        <v>91.837724550000004</v>
      </c>
      <c r="F361">
        <v>6.5208999519999997</v>
      </c>
      <c r="G361">
        <v>1.4186234280000001</v>
      </c>
      <c r="H361">
        <v>0.22275206789999999</v>
      </c>
      <c r="I361">
        <v>91.780322870000006</v>
      </c>
      <c r="J361">
        <v>6.2207033389999999</v>
      </c>
      <c r="K361">
        <v>1.7276921599999999</v>
      </c>
      <c r="L361">
        <v>0.2712816327</v>
      </c>
      <c r="M361">
        <v>92.101190000000003</v>
      </c>
      <c r="N361">
        <v>7.8988100000000001</v>
      </c>
      <c r="O361">
        <v>0</v>
      </c>
      <c r="P361">
        <v>0</v>
      </c>
      <c r="Q361">
        <v>5</v>
      </c>
      <c r="R361">
        <v>0.1032654379999997</v>
      </c>
      <c r="S361">
        <v>7.8781444000000533E-2</v>
      </c>
      <c r="T361">
        <v>0.2117082640000007</v>
      </c>
      <c r="U361">
        <f>ABS(Sheet1[[#This Row],[ARC_r]]-Sheet1[[#This Row],[ARC_u]])</f>
        <v>0.13292682000000017</v>
      </c>
      <c r="V361">
        <f>ROUND(Sheet1[[#This Row],[wat_bas_n]],0)</f>
        <v>92</v>
      </c>
      <c r="W361">
        <f>ROUND(Sheet1[[#This Row],[wat_bas_r]],0)</f>
        <v>92</v>
      </c>
      <c r="X361">
        <f>ROUND(Sheet1[[#This Row],[wat_bas_u]],0)</f>
        <v>92</v>
      </c>
      <c r="Y361" s="1" t="str">
        <f t="shared" si="13"/>
        <v>not full access</v>
      </c>
      <c r="Z361" s="1" t="str">
        <f t="shared" si="14"/>
        <v>not full access</v>
      </c>
      <c r="AA361" s="1" t="str">
        <f t="shared" si="15"/>
        <v>not full access</v>
      </c>
    </row>
    <row r="362" spans="1:27" x14ac:dyDescent="0.25">
      <c r="A362" s="1" t="s">
        <v>34</v>
      </c>
      <c r="B362">
        <v>2015</v>
      </c>
      <c r="C362">
        <v>33.270000459999999</v>
      </c>
      <c r="D362">
        <v>96.738998409999994</v>
      </c>
      <c r="E362">
        <v>100</v>
      </c>
      <c r="F362">
        <v>0</v>
      </c>
      <c r="G362">
        <v>0</v>
      </c>
      <c r="H362">
        <v>0</v>
      </c>
      <c r="U362">
        <f>ABS(Sheet1[[#This Row],[ARC_r]]-Sheet1[[#This Row],[ARC_u]])</f>
        <v>0</v>
      </c>
      <c r="V362">
        <f>ROUND(Sheet1[[#This Row],[wat_bas_n]],0)</f>
        <v>100</v>
      </c>
      <c r="W362">
        <f>ROUND(Sheet1[[#This Row],[wat_bas_r]],0)</f>
        <v>0</v>
      </c>
      <c r="X362">
        <f>ROUND(Sheet1[[#This Row],[wat_bas_u]],0)</f>
        <v>0</v>
      </c>
      <c r="Y362" s="1" t="str">
        <f t="shared" si="13"/>
        <v>full access</v>
      </c>
      <c r="Z362" s="1" t="str">
        <f t="shared" si="14"/>
        <v>not full access</v>
      </c>
      <c r="AA362" s="1" t="str">
        <f t="shared" si="15"/>
        <v>not full access</v>
      </c>
    </row>
    <row r="363" spans="1:27" x14ac:dyDescent="0.25">
      <c r="A363" s="1" t="s">
        <v>34</v>
      </c>
      <c r="B363">
        <v>2020</v>
      </c>
      <c r="C363">
        <v>33.937999730000001</v>
      </c>
      <c r="D363">
        <v>97.499000550000005</v>
      </c>
      <c r="E363">
        <v>100</v>
      </c>
      <c r="F363">
        <v>0</v>
      </c>
      <c r="G363">
        <v>0</v>
      </c>
      <c r="H363">
        <v>0</v>
      </c>
      <c r="Q363">
        <v>5</v>
      </c>
      <c r="R363">
        <v>0</v>
      </c>
      <c r="U363">
        <f>ABS(Sheet1[[#This Row],[ARC_r]]-Sheet1[[#This Row],[ARC_u]])</f>
        <v>0</v>
      </c>
      <c r="V363">
        <f>ROUND(Sheet1[[#This Row],[wat_bas_n]],0)</f>
        <v>100</v>
      </c>
      <c r="W363">
        <f>ROUND(Sheet1[[#This Row],[wat_bas_r]],0)</f>
        <v>0</v>
      </c>
      <c r="X363">
        <f>ROUND(Sheet1[[#This Row],[wat_bas_u]],0)</f>
        <v>0</v>
      </c>
      <c r="Y363" s="1" t="str">
        <f t="shared" si="13"/>
        <v>full access</v>
      </c>
      <c r="Z363" s="1" t="str">
        <f t="shared" si="14"/>
        <v>not full access</v>
      </c>
      <c r="AA363" s="1" t="str">
        <f t="shared" si="15"/>
        <v>not full access</v>
      </c>
    </row>
    <row r="364" spans="1:27" hidden="1" x14ac:dyDescent="0.25">
      <c r="A364" s="1" t="s">
        <v>203</v>
      </c>
      <c r="B364">
        <v>2015</v>
      </c>
      <c r="C364">
        <v>199.43899540000001</v>
      </c>
      <c r="D364">
        <v>70.174003600000006</v>
      </c>
      <c r="E364">
        <v>77.124229790000001</v>
      </c>
      <c r="F364">
        <v>18.34430682</v>
      </c>
      <c r="G364">
        <v>1.8595771210000001</v>
      </c>
      <c r="H364">
        <v>2.6718862689999998</v>
      </c>
      <c r="I364">
        <v>71.282716640000004</v>
      </c>
      <c r="J364">
        <v>17.07304495</v>
      </c>
      <c r="K364">
        <v>4.1184792559999996</v>
      </c>
      <c r="L364">
        <v>7.5257591550000003</v>
      </c>
      <c r="M364">
        <v>79.607040999999995</v>
      </c>
      <c r="N364">
        <v>18.884629660000002</v>
      </c>
      <c r="O364">
        <v>0.89948056340000004</v>
      </c>
      <c r="P364">
        <v>0.60884877739999999</v>
      </c>
      <c r="U364">
        <f>ABS(Sheet1[[#This Row],[ARC_r]]-Sheet1[[#This Row],[ARC_u]])</f>
        <v>0</v>
      </c>
      <c r="V364">
        <f>ROUND(Sheet1[[#This Row],[wat_bas_n]],0)</f>
        <v>77</v>
      </c>
      <c r="W364">
        <f>ROUND(Sheet1[[#This Row],[wat_bas_r]],0)</f>
        <v>71</v>
      </c>
      <c r="X364">
        <f>ROUND(Sheet1[[#This Row],[wat_bas_u]],0)</f>
        <v>80</v>
      </c>
      <c r="Y364" s="1" t="str">
        <f t="shared" si="13"/>
        <v>not full access</v>
      </c>
      <c r="Z364" s="1" t="str">
        <f t="shared" si="14"/>
        <v>not full access</v>
      </c>
      <c r="AA364" s="1" t="str">
        <f t="shared" si="15"/>
        <v>not full access</v>
      </c>
    </row>
    <row r="365" spans="1:27" hidden="1" x14ac:dyDescent="0.25">
      <c r="A365" s="1" t="s">
        <v>203</v>
      </c>
      <c r="B365">
        <v>2020</v>
      </c>
      <c r="C365">
        <v>219.16099550000001</v>
      </c>
      <c r="D365">
        <v>74.354003910000003</v>
      </c>
      <c r="E365">
        <v>78.22645516</v>
      </c>
      <c r="F365">
        <v>20.237982980000002</v>
      </c>
      <c r="G365">
        <v>0.44351992839999999</v>
      </c>
      <c r="H365">
        <v>1.0920419299999999</v>
      </c>
      <c r="I365">
        <v>74.300614490000001</v>
      </c>
      <c r="J365">
        <v>19.711842579999999</v>
      </c>
      <c r="K365">
        <v>1.7294057039999999</v>
      </c>
      <c r="L365">
        <v>4.2581372279999998</v>
      </c>
      <c r="M365">
        <v>79.580542899999998</v>
      </c>
      <c r="N365">
        <v>20.419457099999999</v>
      </c>
      <c r="O365">
        <v>0</v>
      </c>
      <c r="P365">
        <v>0</v>
      </c>
      <c r="Q365">
        <v>5</v>
      </c>
      <c r="R365">
        <v>0.22044507399999991</v>
      </c>
      <c r="S365">
        <v>0.6035795699999994</v>
      </c>
      <c r="T365">
        <v>-5.2996199999995504E-3</v>
      </c>
      <c r="U365">
        <f>ABS(Sheet1[[#This Row],[ARC_r]]-Sheet1[[#This Row],[ARC_u]])</f>
        <v>0.6088791899999989</v>
      </c>
      <c r="V365">
        <f>ROUND(Sheet1[[#This Row],[wat_bas_n]],0)</f>
        <v>78</v>
      </c>
      <c r="W365">
        <f>ROUND(Sheet1[[#This Row],[wat_bas_r]],0)</f>
        <v>74</v>
      </c>
      <c r="X365">
        <f>ROUND(Sheet1[[#This Row],[wat_bas_u]],0)</f>
        <v>80</v>
      </c>
      <c r="Y365" s="1" t="str">
        <f t="shared" si="13"/>
        <v>not full access</v>
      </c>
      <c r="Z365" s="1" t="str">
        <f t="shared" si="14"/>
        <v>not full access</v>
      </c>
      <c r="AA365" s="1" t="str">
        <f t="shared" si="15"/>
        <v>not full access</v>
      </c>
    </row>
    <row r="366" spans="1:27" x14ac:dyDescent="0.25">
      <c r="A366" s="1" t="s">
        <v>51</v>
      </c>
      <c r="B366">
        <v>2015</v>
      </c>
      <c r="C366">
        <v>31717.675780000001</v>
      </c>
      <c r="D366">
        <v>83.180000309999997</v>
      </c>
      <c r="E366">
        <v>99.548026379999996</v>
      </c>
      <c r="F366">
        <v>0</v>
      </c>
      <c r="G366">
        <v>0.45197361660000002</v>
      </c>
      <c r="H366">
        <v>0</v>
      </c>
      <c r="U366">
        <f>ABS(Sheet1[[#This Row],[ARC_r]]-Sheet1[[#This Row],[ARC_u]])</f>
        <v>0</v>
      </c>
      <c r="V366">
        <f>ROUND(Sheet1[[#This Row],[wat_bas_n]],0)</f>
        <v>100</v>
      </c>
      <c r="W366">
        <f>ROUND(Sheet1[[#This Row],[wat_bas_r]],0)</f>
        <v>0</v>
      </c>
      <c r="X366">
        <f>ROUND(Sheet1[[#This Row],[wat_bas_u]],0)</f>
        <v>0</v>
      </c>
      <c r="Y366" s="1" t="str">
        <f t="shared" si="13"/>
        <v>full access</v>
      </c>
      <c r="Z366" s="1" t="str">
        <f t="shared" si="14"/>
        <v>not full access</v>
      </c>
      <c r="AA366" s="1" t="str">
        <f t="shared" si="15"/>
        <v>not full access</v>
      </c>
    </row>
    <row r="367" spans="1:27" x14ac:dyDescent="0.25">
      <c r="A367" s="1" t="s">
        <v>51</v>
      </c>
      <c r="B367">
        <v>2020</v>
      </c>
      <c r="C367">
        <v>34813.867189999997</v>
      </c>
      <c r="D367">
        <v>84.287002560000005</v>
      </c>
      <c r="E367">
        <v>100</v>
      </c>
      <c r="F367">
        <v>0</v>
      </c>
      <c r="G367">
        <v>0</v>
      </c>
      <c r="H367">
        <v>0</v>
      </c>
      <c r="Q367">
        <v>5</v>
      </c>
      <c r="R367">
        <v>9.0394724000000787E-2</v>
      </c>
      <c r="U367">
        <f>ABS(Sheet1[[#This Row],[ARC_r]]-Sheet1[[#This Row],[ARC_u]])</f>
        <v>0</v>
      </c>
      <c r="V367">
        <f>ROUND(Sheet1[[#This Row],[wat_bas_n]],0)</f>
        <v>100</v>
      </c>
      <c r="W367">
        <f>ROUND(Sheet1[[#This Row],[wat_bas_r]],0)</f>
        <v>0</v>
      </c>
      <c r="X367">
        <f>ROUND(Sheet1[[#This Row],[wat_bas_u]],0)</f>
        <v>0</v>
      </c>
      <c r="Y367" s="1" t="str">
        <f t="shared" si="13"/>
        <v>full access</v>
      </c>
      <c r="Z367" s="1" t="str">
        <f t="shared" si="14"/>
        <v>not full access</v>
      </c>
      <c r="AA367" s="1" t="str">
        <f t="shared" si="15"/>
        <v>not full access</v>
      </c>
    </row>
    <row r="368" spans="1:27" hidden="1" x14ac:dyDescent="0.25">
      <c r="A368" s="1" t="s">
        <v>195</v>
      </c>
      <c r="B368">
        <v>2015</v>
      </c>
      <c r="C368">
        <v>14578.450199999999</v>
      </c>
      <c r="D368">
        <v>45.86200333</v>
      </c>
      <c r="E368">
        <v>78.602093620000005</v>
      </c>
      <c r="F368">
        <v>3.3921456349999999</v>
      </c>
      <c r="G368">
        <v>17.594913179999999</v>
      </c>
      <c r="H368">
        <v>0.41084756459999999</v>
      </c>
      <c r="I368">
        <v>65.941201559999996</v>
      </c>
      <c r="J368">
        <v>5.2534118540000003</v>
      </c>
      <c r="K368">
        <v>28.079192549999998</v>
      </c>
      <c r="L368">
        <v>0.72619403689999995</v>
      </c>
      <c r="M368">
        <v>93.547697760000005</v>
      </c>
      <c r="N368">
        <v>1.195005973</v>
      </c>
      <c r="O368">
        <v>5.2187007940000001</v>
      </c>
      <c r="P368">
        <v>3.8595473790000001E-2</v>
      </c>
      <c r="U368">
        <f>ABS(Sheet1[[#This Row],[ARC_r]]-Sheet1[[#This Row],[ARC_u]])</f>
        <v>0</v>
      </c>
      <c r="V368">
        <f>ROUND(Sheet1[[#This Row],[wat_bas_n]],0)</f>
        <v>79</v>
      </c>
      <c r="W368">
        <f>ROUND(Sheet1[[#This Row],[wat_bas_r]],0)</f>
        <v>66</v>
      </c>
      <c r="X368">
        <f>ROUND(Sheet1[[#This Row],[wat_bas_u]],0)</f>
        <v>94</v>
      </c>
      <c r="Y368" s="1" t="str">
        <f t="shared" si="13"/>
        <v>not full access</v>
      </c>
      <c r="Z368" s="1" t="str">
        <f t="shared" si="14"/>
        <v>not full access</v>
      </c>
      <c r="AA368" s="1" t="str">
        <f t="shared" si="15"/>
        <v>not full access</v>
      </c>
    </row>
    <row r="369" spans="1:27" hidden="1" x14ac:dyDescent="0.25">
      <c r="A369" s="1" t="s">
        <v>195</v>
      </c>
      <c r="B369">
        <v>2020</v>
      </c>
      <c r="C369">
        <v>16743.929690000001</v>
      </c>
      <c r="D369">
        <v>48.122001650000001</v>
      </c>
      <c r="E369">
        <v>84.905237790000001</v>
      </c>
      <c r="F369">
        <v>2.3872175090000001</v>
      </c>
      <c r="G369">
        <v>12.60781566</v>
      </c>
      <c r="H369">
        <v>9.9729040419999998E-2</v>
      </c>
      <c r="I369">
        <v>75.242928199999994</v>
      </c>
      <c r="J369">
        <v>4.052382433</v>
      </c>
      <c r="K369">
        <v>20.512451739999999</v>
      </c>
      <c r="L369">
        <v>0.1922376314</v>
      </c>
      <c r="M369">
        <v>95.321700939999999</v>
      </c>
      <c r="N369">
        <v>0.59208365669999996</v>
      </c>
      <c r="O369">
        <v>4.0862154019999997</v>
      </c>
      <c r="P369">
        <v>0</v>
      </c>
      <c r="Q369">
        <v>5</v>
      </c>
      <c r="R369">
        <v>1.2606288339999989</v>
      </c>
      <c r="S369">
        <v>1.860345328</v>
      </c>
      <c r="T369">
        <v>0.35480063599999878</v>
      </c>
      <c r="U369">
        <f>ABS(Sheet1[[#This Row],[ARC_r]]-Sheet1[[#This Row],[ARC_u]])</f>
        <v>1.5055446920000013</v>
      </c>
      <c r="V369">
        <f>ROUND(Sheet1[[#This Row],[wat_bas_n]],0)</f>
        <v>85</v>
      </c>
      <c r="W369">
        <f>ROUND(Sheet1[[#This Row],[wat_bas_r]],0)</f>
        <v>75</v>
      </c>
      <c r="X369">
        <f>ROUND(Sheet1[[#This Row],[wat_bas_u]],0)</f>
        <v>95</v>
      </c>
      <c r="Y369" s="1" t="str">
        <f t="shared" si="13"/>
        <v>not full access</v>
      </c>
      <c r="Z369" s="1" t="str">
        <f t="shared" si="14"/>
        <v>not full access</v>
      </c>
      <c r="AA369" s="1" t="str">
        <f t="shared" si="15"/>
        <v>not full access</v>
      </c>
    </row>
    <row r="370" spans="1:27" hidden="1" x14ac:dyDescent="0.25">
      <c r="A370" s="1" t="s">
        <v>153</v>
      </c>
      <c r="B370">
        <v>2015</v>
      </c>
      <c r="C370">
        <v>8876.7773440000001</v>
      </c>
      <c r="D370">
        <v>55.695999149999999</v>
      </c>
      <c r="E370">
        <v>93.386457300000004</v>
      </c>
      <c r="F370">
        <v>6.1120960520000001</v>
      </c>
      <c r="G370">
        <v>0.48354363439999998</v>
      </c>
      <c r="H370">
        <v>1.7903015790000001E-2</v>
      </c>
      <c r="I370">
        <v>94.723529049999996</v>
      </c>
      <c r="J370">
        <v>4.6004382010000002</v>
      </c>
      <c r="K370">
        <v>0.63562326859999996</v>
      </c>
      <c r="L370">
        <v>4.0409477999999999E-2</v>
      </c>
      <c r="M370">
        <v>92.322868690000007</v>
      </c>
      <c r="N370">
        <v>7.3145611089999996</v>
      </c>
      <c r="O370">
        <v>0.36257019709999999</v>
      </c>
      <c r="P370">
        <v>0</v>
      </c>
      <c r="U370">
        <f>ABS(Sheet1[[#This Row],[ARC_r]]-Sheet1[[#This Row],[ARC_u]])</f>
        <v>0</v>
      </c>
      <c r="V370">
        <f>ROUND(Sheet1[[#This Row],[wat_bas_n]],0)</f>
        <v>93</v>
      </c>
      <c r="W370">
        <f>ROUND(Sheet1[[#This Row],[wat_bas_r]],0)</f>
        <v>95</v>
      </c>
      <c r="X370">
        <f>ROUND(Sheet1[[#This Row],[wat_bas_u]],0)</f>
        <v>92</v>
      </c>
      <c r="Y370" s="1" t="str">
        <f t="shared" si="13"/>
        <v>not full access</v>
      </c>
      <c r="Z370" s="1" t="str">
        <f t="shared" si="14"/>
        <v>not full access</v>
      </c>
      <c r="AA370" s="1" t="str">
        <f t="shared" si="15"/>
        <v>not full access</v>
      </c>
    </row>
    <row r="371" spans="1:27" hidden="1" x14ac:dyDescent="0.25">
      <c r="A371" s="1" t="s">
        <v>153</v>
      </c>
      <c r="B371">
        <v>2020</v>
      </c>
      <c r="C371">
        <v>8737.3701170000004</v>
      </c>
      <c r="D371">
        <v>56.445999149999999</v>
      </c>
      <c r="E371">
        <v>95.29552932</v>
      </c>
      <c r="F371">
        <v>4.244199279</v>
      </c>
      <c r="G371">
        <v>0.44372047780000001</v>
      </c>
      <c r="H371">
        <v>1.6550926470000001E-2</v>
      </c>
      <c r="I371">
        <v>95.844974750000006</v>
      </c>
      <c r="J371">
        <v>3.545864028</v>
      </c>
      <c r="K371">
        <v>0.57116028659999996</v>
      </c>
      <c r="L371">
        <v>3.8000931410000001E-2</v>
      </c>
      <c r="M371">
        <v>94.871569890000004</v>
      </c>
      <c r="N371">
        <v>4.7830378649999998</v>
      </c>
      <c r="O371">
        <v>0.3453922445</v>
      </c>
      <c r="P371">
        <v>0</v>
      </c>
      <c r="Q371">
        <v>5</v>
      </c>
      <c r="R371">
        <v>0.38181440399999927</v>
      </c>
      <c r="S371">
        <v>0.22428914000000191</v>
      </c>
      <c r="T371">
        <v>0.50974023999999929</v>
      </c>
      <c r="U371">
        <f>ABS(Sheet1[[#This Row],[ARC_r]]-Sheet1[[#This Row],[ARC_u]])</f>
        <v>0.2854510999999974</v>
      </c>
      <c r="V371">
        <f>ROUND(Sheet1[[#This Row],[wat_bas_n]],0)</f>
        <v>95</v>
      </c>
      <c r="W371">
        <f>ROUND(Sheet1[[#This Row],[wat_bas_r]],0)</f>
        <v>96</v>
      </c>
      <c r="X371">
        <f>ROUND(Sheet1[[#This Row],[wat_bas_u]],0)</f>
        <v>95</v>
      </c>
      <c r="Y371" s="1" t="str">
        <f t="shared" si="13"/>
        <v>not full access</v>
      </c>
      <c r="Z371" s="1" t="str">
        <f t="shared" si="14"/>
        <v>not full access</v>
      </c>
      <c r="AA371" s="1" t="str">
        <f t="shared" si="15"/>
        <v>not full access</v>
      </c>
    </row>
    <row r="372" spans="1:27" hidden="1" x14ac:dyDescent="0.25">
      <c r="A372" s="1" t="s">
        <v>137</v>
      </c>
      <c r="B372">
        <v>2015</v>
      </c>
      <c r="C372">
        <v>94.981002810000007</v>
      </c>
      <c r="D372">
        <v>55.400001529999997</v>
      </c>
      <c r="E372">
        <v>96.250891499999994</v>
      </c>
      <c r="F372">
        <v>0</v>
      </c>
      <c r="G372">
        <v>0</v>
      </c>
      <c r="H372">
        <v>3.7491085019999999</v>
      </c>
      <c r="U372">
        <f>ABS(Sheet1[[#This Row],[ARC_r]]-Sheet1[[#This Row],[ARC_u]])</f>
        <v>0</v>
      </c>
      <c r="V372">
        <f>ROUND(Sheet1[[#This Row],[wat_bas_n]],0)</f>
        <v>96</v>
      </c>
      <c r="W372">
        <f>ROUND(Sheet1[[#This Row],[wat_bas_r]],0)</f>
        <v>0</v>
      </c>
      <c r="X372">
        <f>ROUND(Sheet1[[#This Row],[wat_bas_u]],0)</f>
        <v>0</v>
      </c>
      <c r="Y372" s="1" t="str">
        <f t="shared" si="13"/>
        <v>not full access</v>
      </c>
      <c r="Z372" s="1" t="str">
        <f t="shared" si="14"/>
        <v>not full access</v>
      </c>
      <c r="AA372" s="1" t="str">
        <f t="shared" si="15"/>
        <v>not full access</v>
      </c>
    </row>
    <row r="373" spans="1:27" hidden="1" x14ac:dyDescent="0.25">
      <c r="A373" s="1" t="s">
        <v>137</v>
      </c>
      <c r="B373">
        <v>2019</v>
      </c>
      <c r="C373">
        <v>97.740997309999997</v>
      </c>
      <c r="D373">
        <v>57.119003300000003</v>
      </c>
      <c r="E373">
        <v>96.851746890000001</v>
      </c>
      <c r="F373">
        <v>0</v>
      </c>
      <c r="G373">
        <v>3.1482531090000001</v>
      </c>
      <c r="Q373">
        <v>4</v>
      </c>
      <c r="R373">
        <v>0.15021384750000169</v>
      </c>
      <c r="U373">
        <f>ABS(Sheet1[[#This Row],[ARC_r]]-Sheet1[[#This Row],[ARC_u]])</f>
        <v>0</v>
      </c>
      <c r="V373">
        <f>ROUND(Sheet1[[#This Row],[wat_bas_n]],0)</f>
        <v>97</v>
      </c>
      <c r="W373">
        <f>ROUND(Sheet1[[#This Row],[wat_bas_r]],0)</f>
        <v>0</v>
      </c>
      <c r="X373">
        <f>ROUND(Sheet1[[#This Row],[wat_bas_u]],0)</f>
        <v>0</v>
      </c>
      <c r="Y373" s="1" t="str">
        <f t="shared" si="13"/>
        <v>not full access</v>
      </c>
      <c r="Z373" s="1" t="str">
        <f t="shared" si="14"/>
        <v>not full access</v>
      </c>
      <c r="AA373" s="1" t="str">
        <f t="shared" si="15"/>
        <v>not full access</v>
      </c>
    </row>
    <row r="374" spans="1:27" hidden="1" x14ac:dyDescent="0.25">
      <c r="A374" s="1" t="s">
        <v>225</v>
      </c>
      <c r="B374">
        <v>2015</v>
      </c>
      <c r="C374">
        <v>7171.9091799999997</v>
      </c>
      <c r="D374">
        <v>40.828998570000003</v>
      </c>
      <c r="E374">
        <v>57.847465159999999</v>
      </c>
      <c r="F374">
        <v>8.1969579570000004</v>
      </c>
      <c r="G374">
        <v>15.91095456</v>
      </c>
      <c r="H374">
        <v>18.044622319999998</v>
      </c>
      <c r="I374">
        <v>45.529713839999999</v>
      </c>
      <c r="J374">
        <v>4.8404944719999996</v>
      </c>
      <c r="K374">
        <v>21.716961430000001</v>
      </c>
      <c r="L374">
        <v>27.912830270000001</v>
      </c>
      <c r="M374">
        <v>75.698837580000003</v>
      </c>
      <c r="N374">
        <v>13.06127759</v>
      </c>
      <c r="O374">
        <v>7.4966597610000001</v>
      </c>
      <c r="P374">
        <v>3.7432250680000001</v>
      </c>
      <c r="U374">
        <f>ABS(Sheet1[[#This Row],[ARC_r]]-Sheet1[[#This Row],[ARC_u]])</f>
        <v>0</v>
      </c>
      <c r="V374">
        <f>ROUND(Sheet1[[#This Row],[wat_bas_n]],0)</f>
        <v>58</v>
      </c>
      <c r="W374">
        <f>ROUND(Sheet1[[#This Row],[wat_bas_r]],0)</f>
        <v>46</v>
      </c>
      <c r="X374">
        <f>ROUND(Sheet1[[#This Row],[wat_bas_u]],0)</f>
        <v>76</v>
      </c>
      <c r="Y374" s="1" t="str">
        <f t="shared" si="13"/>
        <v>not full access</v>
      </c>
      <c r="Z374" s="1" t="str">
        <f t="shared" si="14"/>
        <v>not full access</v>
      </c>
      <c r="AA374" s="1" t="str">
        <f t="shared" si="15"/>
        <v>not full access</v>
      </c>
    </row>
    <row r="375" spans="1:27" hidden="1" x14ac:dyDescent="0.25">
      <c r="A375" s="1" t="s">
        <v>225</v>
      </c>
      <c r="B375">
        <v>2020</v>
      </c>
      <c r="C375">
        <v>7976.9848629999997</v>
      </c>
      <c r="D375">
        <v>42.923000340000002</v>
      </c>
      <c r="E375">
        <v>63.766285619999998</v>
      </c>
      <c r="F375">
        <v>9.0233163570000006</v>
      </c>
      <c r="G375">
        <v>15.5639457</v>
      </c>
      <c r="H375">
        <v>11.646452330000001</v>
      </c>
      <c r="I375">
        <v>52.752702669999998</v>
      </c>
      <c r="J375">
        <v>5.2211368890000003</v>
      </c>
      <c r="K375">
        <v>23.142949089999998</v>
      </c>
      <c r="L375">
        <v>18.88321135</v>
      </c>
      <c r="M375">
        <v>78.411637659999997</v>
      </c>
      <c r="N375">
        <v>14.079277429999999</v>
      </c>
      <c r="O375">
        <v>5.4857354369999998</v>
      </c>
      <c r="P375">
        <v>2.0233494749999998</v>
      </c>
      <c r="Q375">
        <v>5</v>
      </c>
      <c r="R375">
        <v>1.1837640920000001</v>
      </c>
      <c r="S375">
        <v>1.444597766</v>
      </c>
      <c r="T375">
        <v>0.54256001599999881</v>
      </c>
      <c r="U375">
        <f>ABS(Sheet1[[#This Row],[ARC_r]]-Sheet1[[#This Row],[ARC_u]])</f>
        <v>0.90203775000000119</v>
      </c>
      <c r="V375">
        <f>ROUND(Sheet1[[#This Row],[wat_bas_n]],0)</f>
        <v>64</v>
      </c>
      <c r="W375">
        <f>ROUND(Sheet1[[#This Row],[wat_bas_r]],0)</f>
        <v>53</v>
      </c>
      <c r="X375">
        <f>ROUND(Sheet1[[#This Row],[wat_bas_u]],0)</f>
        <v>78</v>
      </c>
      <c r="Y375" s="1" t="str">
        <f t="shared" si="13"/>
        <v>not full access</v>
      </c>
      <c r="Z375" s="1" t="str">
        <f t="shared" si="14"/>
        <v>not full access</v>
      </c>
      <c r="AA375" s="1" t="str">
        <f t="shared" si="15"/>
        <v>not full access</v>
      </c>
    </row>
    <row r="376" spans="1:27" x14ac:dyDescent="0.25">
      <c r="A376" s="1" t="s">
        <v>46</v>
      </c>
      <c r="B376">
        <v>2015</v>
      </c>
      <c r="C376">
        <v>5592.1430659999996</v>
      </c>
      <c r="D376">
        <v>100</v>
      </c>
      <c r="E376">
        <v>100</v>
      </c>
      <c r="F376">
        <v>0</v>
      </c>
      <c r="G376">
        <v>0</v>
      </c>
      <c r="H376">
        <v>0</v>
      </c>
      <c r="M376">
        <v>100</v>
      </c>
      <c r="N376">
        <v>0</v>
      </c>
      <c r="O376">
        <v>0</v>
      </c>
      <c r="P376">
        <v>0</v>
      </c>
      <c r="U376">
        <f>ABS(Sheet1[[#This Row],[ARC_r]]-Sheet1[[#This Row],[ARC_u]])</f>
        <v>0</v>
      </c>
      <c r="V376">
        <f>ROUND(Sheet1[[#This Row],[wat_bas_n]],0)</f>
        <v>100</v>
      </c>
      <c r="W376">
        <f>ROUND(Sheet1[[#This Row],[wat_bas_r]],0)</f>
        <v>0</v>
      </c>
      <c r="X376">
        <f>ROUND(Sheet1[[#This Row],[wat_bas_u]],0)</f>
        <v>100</v>
      </c>
      <c r="Y376" s="1" t="str">
        <f t="shared" si="13"/>
        <v>full access</v>
      </c>
      <c r="Z376" s="1" t="str">
        <f t="shared" si="14"/>
        <v>not full access</v>
      </c>
      <c r="AA376" s="1" t="str">
        <f t="shared" si="15"/>
        <v>full access</v>
      </c>
    </row>
    <row r="377" spans="1:27" x14ac:dyDescent="0.25">
      <c r="A377" s="1" t="s">
        <v>46</v>
      </c>
      <c r="B377">
        <v>2020</v>
      </c>
      <c r="C377">
        <v>5850.3427730000003</v>
      </c>
      <c r="D377">
        <v>100</v>
      </c>
      <c r="E377">
        <v>100</v>
      </c>
      <c r="F377">
        <v>0</v>
      </c>
      <c r="G377">
        <v>0</v>
      </c>
      <c r="H377">
        <v>0</v>
      </c>
      <c r="M377">
        <v>100</v>
      </c>
      <c r="N377">
        <v>0</v>
      </c>
      <c r="O377">
        <v>0</v>
      </c>
      <c r="P377">
        <v>0</v>
      </c>
      <c r="Q377">
        <v>5</v>
      </c>
      <c r="R377">
        <v>0</v>
      </c>
      <c r="T377">
        <v>0</v>
      </c>
      <c r="U377">
        <f>ABS(Sheet1[[#This Row],[ARC_r]]-Sheet1[[#This Row],[ARC_u]])</f>
        <v>0</v>
      </c>
      <c r="V377">
        <f>ROUND(Sheet1[[#This Row],[wat_bas_n]],0)</f>
        <v>100</v>
      </c>
      <c r="W377">
        <f>ROUND(Sheet1[[#This Row],[wat_bas_r]],0)</f>
        <v>0</v>
      </c>
      <c r="X377">
        <f>ROUND(Sheet1[[#This Row],[wat_bas_u]],0)</f>
        <v>100</v>
      </c>
      <c r="Y377" s="1" t="str">
        <f t="shared" si="13"/>
        <v>full access</v>
      </c>
      <c r="Z377" s="1" t="str">
        <f t="shared" si="14"/>
        <v>not full access</v>
      </c>
      <c r="AA377" s="1" t="str">
        <f t="shared" si="15"/>
        <v>full access</v>
      </c>
    </row>
    <row r="378" spans="1:27" hidden="1" x14ac:dyDescent="0.25">
      <c r="A378" s="1" t="s">
        <v>151</v>
      </c>
      <c r="B378">
        <v>2015</v>
      </c>
      <c r="C378">
        <v>39.966999049999998</v>
      </c>
      <c r="D378">
        <v>100</v>
      </c>
      <c r="E378">
        <v>95.311179330000002</v>
      </c>
      <c r="F378">
        <v>0</v>
      </c>
      <c r="G378">
        <v>4.6888206700000001</v>
      </c>
      <c r="H378">
        <v>0</v>
      </c>
      <c r="M378">
        <v>95.311179330000002</v>
      </c>
      <c r="N378">
        <v>0</v>
      </c>
      <c r="O378">
        <v>4.6888206700000001</v>
      </c>
      <c r="P378">
        <v>0</v>
      </c>
      <c r="U378">
        <f>ABS(Sheet1[[#This Row],[ARC_r]]-Sheet1[[#This Row],[ARC_u]])</f>
        <v>0</v>
      </c>
      <c r="V378">
        <f>ROUND(Sheet1[[#This Row],[wat_bas_n]],0)</f>
        <v>95</v>
      </c>
      <c r="W378">
        <f>ROUND(Sheet1[[#This Row],[wat_bas_r]],0)</f>
        <v>0</v>
      </c>
      <c r="X378">
        <f>ROUND(Sheet1[[#This Row],[wat_bas_u]],0)</f>
        <v>95</v>
      </c>
      <c r="Y378" s="1" t="str">
        <f t="shared" si="13"/>
        <v>not full access</v>
      </c>
      <c r="Z378" s="1" t="str">
        <f t="shared" si="14"/>
        <v>not full access</v>
      </c>
      <c r="AA378" s="1" t="str">
        <f t="shared" si="15"/>
        <v>not full access</v>
      </c>
    </row>
    <row r="379" spans="1:27" hidden="1" x14ac:dyDescent="0.25">
      <c r="A379" s="1" t="s">
        <v>151</v>
      </c>
      <c r="B379">
        <v>2017</v>
      </c>
      <c r="C379">
        <v>41.444000240000001</v>
      </c>
      <c r="D379">
        <v>100</v>
      </c>
      <c r="E379">
        <v>95.311179330000002</v>
      </c>
      <c r="F379">
        <v>0</v>
      </c>
      <c r="G379">
        <v>4.6888206700000001</v>
      </c>
      <c r="H379">
        <v>0</v>
      </c>
      <c r="M379">
        <v>95.311179330000002</v>
      </c>
      <c r="N379">
        <v>0</v>
      </c>
      <c r="O379">
        <v>4.6888206700000001</v>
      </c>
      <c r="P379">
        <v>0</v>
      </c>
      <c r="Q379">
        <v>2</v>
      </c>
      <c r="R379">
        <v>0</v>
      </c>
      <c r="T379">
        <v>0</v>
      </c>
      <c r="U379">
        <f>ABS(Sheet1[[#This Row],[ARC_r]]-Sheet1[[#This Row],[ARC_u]])</f>
        <v>0</v>
      </c>
      <c r="V379">
        <f>ROUND(Sheet1[[#This Row],[wat_bas_n]],0)</f>
        <v>95</v>
      </c>
      <c r="W379">
        <f>ROUND(Sheet1[[#This Row],[wat_bas_r]],0)</f>
        <v>0</v>
      </c>
      <c r="X379">
        <f>ROUND(Sheet1[[#This Row],[wat_bas_u]],0)</f>
        <v>95</v>
      </c>
      <c r="Y379" s="1" t="str">
        <f t="shared" si="13"/>
        <v>not full access</v>
      </c>
      <c r="Z379" s="1" t="str">
        <f t="shared" si="14"/>
        <v>not full access</v>
      </c>
      <c r="AA379" s="1" t="str">
        <f t="shared" si="15"/>
        <v>not full access</v>
      </c>
    </row>
    <row r="380" spans="1:27" x14ac:dyDescent="0.25">
      <c r="A380" s="1" t="s">
        <v>81</v>
      </c>
      <c r="B380">
        <v>2015</v>
      </c>
      <c r="C380">
        <v>5435.6137699999999</v>
      </c>
      <c r="D380">
        <v>53.888999939999998</v>
      </c>
      <c r="E380">
        <v>99.787189130000002</v>
      </c>
      <c r="F380">
        <v>0.21281086739999999</v>
      </c>
      <c r="G380">
        <v>0</v>
      </c>
      <c r="H380">
        <v>0</v>
      </c>
      <c r="I380">
        <v>100</v>
      </c>
      <c r="J380">
        <v>0</v>
      </c>
      <c r="K380">
        <v>0</v>
      </c>
      <c r="L380">
        <v>0</v>
      </c>
      <c r="M380">
        <v>99.605094059999999</v>
      </c>
      <c r="N380">
        <v>0.39490593740000002</v>
      </c>
      <c r="O380">
        <v>0</v>
      </c>
      <c r="P380">
        <v>0</v>
      </c>
      <c r="U380">
        <f>ABS(Sheet1[[#This Row],[ARC_r]]-Sheet1[[#This Row],[ARC_u]])</f>
        <v>0</v>
      </c>
      <c r="V380">
        <f>ROUND(Sheet1[[#This Row],[wat_bas_n]],0)</f>
        <v>100</v>
      </c>
      <c r="W380">
        <f>ROUND(Sheet1[[#This Row],[wat_bas_r]],0)</f>
        <v>100</v>
      </c>
      <c r="X380">
        <f>ROUND(Sheet1[[#This Row],[wat_bas_u]],0)</f>
        <v>100</v>
      </c>
      <c r="Y380" s="1" t="str">
        <f t="shared" si="13"/>
        <v>full access</v>
      </c>
      <c r="Z380" s="1" t="str">
        <f t="shared" si="14"/>
        <v>full access</v>
      </c>
      <c r="AA380" s="1" t="str">
        <f t="shared" si="15"/>
        <v>full access</v>
      </c>
    </row>
    <row r="381" spans="1:27" x14ac:dyDescent="0.25">
      <c r="A381" s="1" t="s">
        <v>81</v>
      </c>
      <c r="B381">
        <v>2020</v>
      </c>
      <c r="C381">
        <v>5459.6430659999996</v>
      </c>
      <c r="D381">
        <v>53.759998320000001</v>
      </c>
      <c r="E381">
        <v>99.787698579999997</v>
      </c>
      <c r="F381">
        <v>0.2123014241</v>
      </c>
      <c r="G381">
        <v>0</v>
      </c>
      <c r="H381">
        <v>0</v>
      </c>
      <c r="I381">
        <v>100</v>
      </c>
      <c r="J381">
        <v>0</v>
      </c>
      <c r="K381">
        <v>0</v>
      </c>
      <c r="L381">
        <v>0</v>
      </c>
      <c r="M381">
        <v>99.605094059999999</v>
      </c>
      <c r="N381">
        <v>0.39490593740000002</v>
      </c>
      <c r="O381">
        <v>0</v>
      </c>
      <c r="P381">
        <v>0</v>
      </c>
      <c r="Q381">
        <v>5</v>
      </c>
      <c r="R381">
        <v>1.018899999991163E-4</v>
      </c>
      <c r="S381">
        <v>0</v>
      </c>
      <c r="T381">
        <v>0</v>
      </c>
      <c r="U381">
        <f>ABS(Sheet1[[#This Row],[ARC_r]]-Sheet1[[#This Row],[ARC_u]])</f>
        <v>0</v>
      </c>
      <c r="V381">
        <f>ROUND(Sheet1[[#This Row],[wat_bas_n]],0)</f>
        <v>100</v>
      </c>
      <c r="W381">
        <f>ROUND(Sheet1[[#This Row],[wat_bas_r]],0)</f>
        <v>100</v>
      </c>
      <c r="X381">
        <f>ROUND(Sheet1[[#This Row],[wat_bas_u]],0)</f>
        <v>100</v>
      </c>
      <c r="Y381" s="1" t="str">
        <f t="shared" si="13"/>
        <v>full access</v>
      </c>
      <c r="Z381" s="1" t="str">
        <f t="shared" si="14"/>
        <v>full access</v>
      </c>
      <c r="AA381" s="1" t="str">
        <f t="shared" si="15"/>
        <v>full access</v>
      </c>
    </row>
    <row r="382" spans="1:27" x14ac:dyDescent="0.25">
      <c r="A382" s="1" t="s">
        <v>91</v>
      </c>
      <c r="B382">
        <v>2015</v>
      </c>
      <c r="C382">
        <v>2071.1989749999998</v>
      </c>
      <c r="D382">
        <v>53.78100586</v>
      </c>
      <c r="E382">
        <v>99.5</v>
      </c>
      <c r="F382">
        <v>0</v>
      </c>
      <c r="G382">
        <v>0.5</v>
      </c>
      <c r="H382">
        <v>0</v>
      </c>
      <c r="U382">
        <f>ABS(Sheet1[[#This Row],[ARC_r]]-Sheet1[[#This Row],[ARC_u]])</f>
        <v>0</v>
      </c>
      <c r="V382">
        <f>ROUND(Sheet1[[#This Row],[wat_bas_n]],0)</f>
        <v>100</v>
      </c>
      <c r="W382">
        <f>ROUND(Sheet1[[#This Row],[wat_bas_r]],0)</f>
        <v>0</v>
      </c>
      <c r="X382">
        <f>ROUND(Sheet1[[#This Row],[wat_bas_u]],0)</f>
        <v>0</v>
      </c>
      <c r="Y382" s="1" t="str">
        <f t="shared" si="13"/>
        <v>full access</v>
      </c>
      <c r="Z382" s="1" t="str">
        <f t="shared" si="14"/>
        <v>not full access</v>
      </c>
      <c r="AA382" s="1" t="str">
        <f t="shared" si="15"/>
        <v>not full access</v>
      </c>
    </row>
    <row r="383" spans="1:27" x14ac:dyDescent="0.25">
      <c r="A383" s="1" t="s">
        <v>91</v>
      </c>
      <c r="B383">
        <v>2020</v>
      </c>
      <c r="C383">
        <v>2078.931885</v>
      </c>
      <c r="D383">
        <v>55.118003850000001</v>
      </c>
      <c r="E383">
        <v>99.5</v>
      </c>
      <c r="F383">
        <v>0</v>
      </c>
      <c r="G383">
        <v>0.5</v>
      </c>
      <c r="H383">
        <v>0</v>
      </c>
      <c r="Q383">
        <v>5</v>
      </c>
      <c r="R383">
        <v>0</v>
      </c>
      <c r="U383">
        <f>ABS(Sheet1[[#This Row],[ARC_r]]-Sheet1[[#This Row],[ARC_u]])</f>
        <v>0</v>
      </c>
      <c r="V383">
        <f>ROUND(Sheet1[[#This Row],[wat_bas_n]],0)</f>
        <v>100</v>
      </c>
      <c r="W383">
        <f>ROUND(Sheet1[[#This Row],[wat_bas_r]],0)</f>
        <v>0</v>
      </c>
      <c r="X383">
        <f>ROUND(Sheet1[[#This Row],[wat_bas_u]],0)</f>
        <v>0</v>
      </c>
      <c r="Y383" s="1" t="str">
        <f t="shared" si="13"/>
        <v>full access</v>
      </c>
      <c r="Z383" s="1" t="str">
        <f t="shared" si="14"/>
        <v>not full access</v>
      </c>
      <c r="AA383" s="1" t="str">
        <f t="shared" si="15"/>
        <v>not full access</v>
      </c>
    </row>
    <row r="384" spans="1:27" hidden="1" x14ac:dyDescent="0.25">
      <c r="A384" s="1" t="s">
        <v>216</v>
      </c>
      <c r="B384">
        <v>2015</v>
      </c>
      <c r="C384">
        <v>603.13299559999996</v>
      </c>
      <c r="D384">
        <v>22.359998699999998</v>
      </c>
      <c r="E384">
        <v>69.329918890000002</v>
      </c>
      <c r="F384">
        <v>5.7052676340000001</v>
      </c>
      <c r="G384">
        <v>18.988981249999998</v>
      </c>
      <c r="H384">
        <v>5.9758322210000001</v>
      </c>
      <c r="I384">
        <v>63.012138190000002</v>
      </c>
      <c r="J384">
        <v>6.3384682029999997</v>
      </c>
      <c r="K384">
        <v>23.284595639999999</v>
      </c>
      <c r="L384">
        <v>7.3647979660000003</v>
      </c>
      <c r="M384">
        <v>91.266972050000007</v>
      </c>
      <c r="N384">
        <v>3.5066230169999999</v>
      </c>
      <c r="O384">
        <v>4.0734396070000001</v>
      </c>
      <c r="P384">
        <v>1.1529653280000001</v>
      </c>
      <c r="U384">
        <f>ABS(Sheet1[[#This Row],[ARC_r]]-Sheet1[[#This Row],[ARC_u]])</f>
        <v>0</v>
      </c>
      <c r="V384">
        <f>ROUND(Sheet1[[#This Row],[wat_bas_n]],0)</f>
        <v>69</v>
      </c>
      <c r="W384">
        <f>ROUND(Sheet1[[#This Row],[wat_bas_r]],0)</f>
        <v>63</v>
      </c>
      <c r="X384">
        <f>ROUND(Sheet1[[#This Row],[wat_bas_u]],0)</f>
        <v>91</v>
      </c>
      <c r="Y384" s="1" t="str">
        <f t="shared" si="13"/>
        <v>not full access</v>
      </c>
      <c r="Z384" s="1" t="str">
        <f t="shared" si="14"/>
        <v>not full access</v>
      </c>
      <c r="AA384" s="1" t="str">
        <f t="shared" si="15"/>
        <v>not full access</v>
      </c>
    </row>
    <row r="385" spans="1:27" hidden="1" x14ac:dyDescent="0.25">
      <c r="A385" s="1" t="s">
        <v>216</v>
      </c>
      <c r="B385">
        <v>2020</v>
      </c>
      <c r="C385">
        <v>686.87799070000005</v>
      </c>
      <c r="D385">
        <v>24.670000080000001</v>
      </c>
      <c r="E385">
        <v>67.301025539999998</v>
      </c>
      <c r="F385">
        <v>5.79547831</v>
      </c>
      <c r="G385">
        <v>21.267843129999999</v>
      </c>
      <c r="H385">
        <v>5.6356530249999999</v>
      </c>
      <c r="I385">
        <v>59.40526749</v>
      </c>
      <c r="J385">
        <v>6.5285236490000003</v>
      </c>
      <c r="K385">
        <v>26.955911</v>
      </c>
      <c r="L385">
        <v>7.1102978569999999</v>
      </c>
      <c r="M385">
        <v>91.410776889999994</v>
      </c>
      <c r="N385">
        <v>3.5571204249999999</v>
      </c>
      <c r="O385">
        <v>3.8992861369999998</v>
      </c>
      <c r="P385">
        <v>1.1328165530000001</v>
      </c>
      <c r="Q385">
        <v>5</v>
      </c>
      <c r="R385">
        <v>-0.40577867000000079</v>
      </c>
      <c r="S385">
        <v>-0.72137414000000033</v>
      </c>
      <c r="T385">
        <v>2.876096799999743E-2</v>
      </c>
      <c r="U385">
        <f>ABS(Sheet1[[#This Row],[ARC_r]]-Sheet1[[#This Row],[ARC_u]])</f>
        <v>0.75013510799999772</v>
      </c>
      <c r="V385">
        <f>ROUND(Sheet1[[#This Row],[wat_bas_n]],0)</f>
        <v>67</v>
      </c>
      <c r="W385">
        <f>ROUND(Sheet1[[#This Row],[wat_bas_r]],0)</f>
        <v>59</v>
      </c>
      <c r="X385">
        <f>ROUND(Sheet1[[#This Row],[wat_bas_u]],0)</f>
        <v>91</v>
      </c>
      <c r="Y385" s="1" t="str">
        <f t="shared" si="13"/>
        <v>not full access</v>
      </c>
      <c r="Z385" s="1" t="str">
        <f t="shared" si="14"/>
        <v>not full access</v>
      </c>
      <c r="AA385" s="1" t="str">
        <f t="shared" si="15"/>
        <v>not full access</v>
      </c>
    </row>
    <row r="386" spans="1:27" hidden="1" x14ac:dyDescent="0.25">
      <c r="A386" s="1" t="s">
        <v>235</v>
      </c>
      <c r="B386">
        <v>2015</v>
      </c>
      <c r="C386">
        <v>13797.204100000001</v>
      </c>
      <c r="D386">
        <v>43.245002749999998</v>
      </c>
      <c r="E386">
        <v>48.711153680000002</v>
      </c>
      <c r="F386">
        <v>23.406187760000002</v>
      </c>
      <c r="G386">
        <v>20.154106760000001</v>
      </c>
      <c r="H386">
        <v>7.7285517889999999</v>
      </c>
      <c r="I386">
        <v>29.2281926</v>
      </c>
      <c r="J386">
        <v>28.887148530000001</v>
      </c>
      <c r="K386">
        <v>28.975788860000002</v>
      </c>
      <c r="L386">
        <v>12.908870009999999</v>
      </c>
      <c r="M386">
        <v>74.28070864</v>
      </c>
      <c r="N386">
        <v>16.212941990000001</v>
      </c>
      <c r="O386">
        <v>8.5764782830000001</v>
      </c>
      <c r="P386">
        <v>0.92987109219999997</v>
      </c>
      <c r="U386">
        <f>ABS(Sheet1[[#This Row],[ARC_r]]-Sheet1[[#This Row],[ARC_u]])</f>
        <v>0</v>
      </c>
      <c r="V386">
        <f>ROUND(Sheet1[[#This Row],[wat_bas_n]],0)</f>
        <v>49</v>
      </c>
      <c r="W386">
        <f>ROUND(Sheet1[[#This Row],[wat_bas_r]],0)</f>
        <v>29</v>
      </c>
      <c r="X386">
        <f>ROUND(Sheet1[[#This Row],[wat_bas_u]],0)</f>
        <v>74</v>
      </c>
      <c r="Y386" s="1" t="str">
        <f t="shared" ref="Y386:Y449" si="16">IF(AND(COUNTIFS($A:$A,A386)&gt;1, COUNTIFS($A:$A,A386,$E:$E,"&gt;99")=COUNTIFS($A:$A,A386)), "full access", "not full access")</f>
        <v>not full access</v>
      </c>
      <c r="Z386" s="1" t="str">
        <f t="shared" ref="Z386:Z449" si="17">IF(AND(COUNTIFS($A:$A,A386)&gt;1, COUNTIFS($A:$A,A386,$I:$I,"&gt;99")=COUNTIFS($A:$A,A386)), "full access", "not full access")</f>
        <v>not full access</v>
      </c>
      <c r="AA386" s="1" t="str">
        <f t="shared" ref="AA386:AA449" si="18">IF(AND(COUNTIFS($A:$A,A386)&gt;1, COUNTIFS($A:$A,A386,$M:$M,"&gt;99")=COUNTIFS($A:$A,A386)), "full access", "not full access")</f>
        <v>not full access</v>
      </c>
    </row>
    <row r="387" spans="1:27" hidden="1" x14ac:dyDescent="0.25">
      <c r="A387" s="1" t="s">
        <v>235</v>
      </c>
      <c r="B387">
        <v>2020</v>
      </c>
      <c r="C387">
        <v>15893.21875</v>
      </c>
      <c r="D387">
        <v>46.140998840000002</v>
      </c>
      <c r="E387">
        <v>56.476973389999998</v>
      </c>
      <c r="F387">
        <v>27.704199559999999</v>
      </c>
      <c r="G387">
        <v>13.41704303</v>
      </c>
      <c r="H387">
        <v>2.4017840210000001</v>
      </c>
      <c r="I387">
        <v>37.075862819999998</v>
      </c>
      <c r="J387">
        <v>36.643249580000003</v>
      </c>
      <c r="K387">
        <v>21.821495460000001</v>
      </c>
      <c r="L387">
        <v>4.4593921429999996</v>
      </c>
      <c r="M387">
        <v>79.123305740000006</v>
      </c>
      <c r="N387">
        <v>17.269915560000001</v>
      </c>
      <c r="O387">
        <v>3.6067787029999998</v>
      </c>
      <c r="P387">
        <v>0</v>
      </c>
      <c r="Q387">
        <v>5</v>
      </c>
      <c r="R387">
        <v>1.553163941999999</v>
      </c>
      <c r="S387">
        <v>1.5695340440000001</v>
      </c>
      <c r="T387">
        <v>0.96851942000000124</v>
      </c>
      <c r="U387">
        <f>ABS(Sheet1[[#This Row],[ARC_r]]-Sheet1[[#This Row],[ARC_u]])</f>
        <v>0.60101462399999883</v>
      </c>
      <c r="V387">
        <f>ROUND(Sheet1[[#This Row],[wat_bas_n]],0)</f>
        <v>56</v>
      </c>
      <c r="W387">
        <f>ROUND(Sheet1[[#This Row],[wat_bas_r]],0)</f>
        <v>37</v>
      </c>
      <c r="X387">
        <f>ROUND(Sheet1[[#This Row],[wat_bas_u]],0)</f>
        <v>79</v>
      </c>
      <c r="Y387" s="1" t="str">
        <f t="shared" si="16"/>
        <v>not full access</v>
      </c>
      <c r="Z387" s="1" t="str">
        <f t="shared" si="17"/>
        <v>not full access</v>
      </c>
      <c r="AA387" s="1" t="str">
        <f t="shared" si="18"/>
        <v>not full access</v>
      </c>
    </row>
    <row r="388" spans="1:27" hidden="1" x14ac:dyDescent="0.25">
      <c r="A388" s="1" t="s">
        <v>168</v>
      </c>
      <c r="B388">
        <v>2015</v>
      </c>
      <c r="C388">
        <v>55386.367189999997</v>
      </c>
      <c r="D388">
        <v>64.828002929999997</v>
      </c>
      <c r="E388">
        <v>91.876343869999999</v>
      </c>
      <c r="F388">
        <v>2.8031559650000002</v>
      </c>
      <c r="G388">
        <v>2.0788208039999998</v>
      </c>
      <c r="H388">
        <v>3.2416793589999999</v>
      </c>
      <c r="I388">
        <v>79.033738529999994</v>
      </c>
      <c r="J388">
        <v>6.6176674499999999</v>
      </c>
      <c r="K388">
        <v>5.1319458180000002</v>
      </c>
      <c r="L388">
        <v>9.216648202</v>
      </c>
      <c r="M388">
        <v>98.844013450000006</v>
      </c>
      <c r="N388">
        <v>0.73361828630000003</v>
      </c>
      <c r="O388">
        <v>0.42236825970000003</v>
      </c>
      <c r="P388">
        <v>0</v>
      </c>
      <c r="U388">
        <f>ABS(Sheet1[[#This Row],[ARC_r]]-Sheet1[[#This Row],[ARC_u]])</f>
        <v>0</v>
      </c>
      <c r="V388">
        <f>ROUND(Sheet1[[#This Row],[wat_bas_n]],0)</f>
        <v>92</v>
      </c>
      <c r="W388">
        <f>ROUND(Sheet1[[#This Row],[wat_bas_r]],0)</f>
        <v>79</v>
      </c>
      <c r="X388">
        <f>ROUND(Sheet1[[#This Row],[wat_bas_u]],0)</f>
        <v>99</v>
      </c>
      <c r="Y388" s="1" t="str">
        <f t="shared" si="16"/>
        <v>not full access</v>
      </c>
      <c r="Z388" s="1" t="str">
        <f t="shared" si="17"/>
        <v>not full access</v>
      </c>
      <c r="AA388" s="1" t="str">
        <f t="shared" si="18"/>
        <v>not full access</v>
      </c>
    </row>
    <row r="389" spans="1:27" hidden="1" x14ac:dyDescent="0.25">
      <c r="A389" s="1" t="s">
        <v>168</v>
      </c>
      <c r="B389">
        <v>2020</v>
      </c>
      <c r="C389">
        <v>59308.691409999999</v>
      </c>
      <c r="D389">
        <v>67.354003910000003</v>
      </c>
      <c r="E389">
        <v>93.885057439999997</v>
      </c>
      <c r="F389">
        <v>2.7727361859999999</v>
      </c>
      <c r="G389">
        <v>1.410816657</v>
      </c>
      <c r="H389">
        <v>1.9313897120000001</v>
      </c>
      <c r="I389">
        <v>83.329481180000002</v>
      </c>
      <c r="J389">
        <v>6.9773593590000003</v>
      </c>
      <c r="K389">
        <v>3.7769992870000002</v>
      </c>
      <c r="L389">
        <v>5.9161601729999997</v>
      </c>
      <c r="M389">
        <v>99.001264840000005</v>
      </c>
      <c r="N389">
        <v>0.73478540299999995</v>
      </c>
      <c r="O389">
        <v>0.26394975469999998</v>
      </c>
      <c r="P389">
        <v>0</v>
      </c>
      <c r="Q389">
        <v>5</v>
      </c>
      <c r="R389">
        <v>0.4017427139999995</v>
      </c>
      <c r="S389">
        <v>0.85914853000000169</v>
      </c>
      <c r="T389">
        <v>3.1450277999999797E-2</v>
      </c>
      <c r="U389">
        <f>ABS(Sheet1[[#This Row],[ARC_r]]-Sheet1[[#This Row],[ARC_u]])</f>
        <v>0.82769825200000191</v>
      </c>
      <c r="V389">
        <f>ROUND(Sheet1[[#This Row],[wat_bas_n]],0)</f>
        <v>94</v>
      </c>
      <c r="W389">
        <f>ROUND(Sheet1[[#This Row],[wat_bas_r]],0)</f>
        <v>83</v>
      </c>
      <c r="X389">
        <f>ROUND(Sheet1[[#This Row],[wat_bas_u]],0)</f>
        <v>99</v>
      </c>
      <c r="Y389" s="1" t="str">
        <f t="shared" si="16"/>
        <v>not full access</v>
      </c>
      <c r="Z389" s="1" t="str">
        <f t="shared" si="17"/>
        <v>not full access</v>
      </c>
      <c r="AA389" s="1" t="str">
        <f t="shared" si="18"/>
        <v>not full access</v>
      </c>
    </row>
    <row r="390" spans="1:27" hidden="1" x14ac:dyDescent="0.25">
      <c r="A390" s="1" t="s">
        <v>246</v>
      </c>
      <c r="B390">
        <v>2015</v>
      </c>
      <c r="C390">
        <v>10715.657230000001</v>
      </c>
      <c r="D390">
        <v>18.851999280000001</v>
      </c>
      <c r="E390">
        <v>41.247509460000003</v>
      </c>
      <c r="F390">
        <v>30.695737130000001</v>
      </c>
      <c r="G390">
        <v>13.55439295</v>
      </c>
      <c r="H390">
        <v>14.502360449999999</v>
      </c>
      <c r="I390">
        <v>36.726779729999997</v>
      </c>
      <c r="J390">
        <v>32.662799669999998</v>
      </c>
      <c r="K390">
        <v>14.310065379999999</v>
      </c>
      <c r="L390">
        <v>16.30035522</v>
      </c>
      <c r="M390">
        <v>60.70687736</v>
      </c>
      <c r="N390">
        <v>22.228553949999998</v>
      </c>
      <c r="O390">
        <v>10.301639140000001</v>
      </c>
      <c r="P390">
        <v>6.7629295520000001</v>
      </c>
      <c r="U390">
        <f>ABS(Sheet1[[#This Row],[ARC_r]]-Sheet1[[#This Row],[ARC_u]])</f>
        <v>0</v>
      </c>
      <c r="V390">
        <f>ROUND(Sheet1[[#This Row],[wat_bas_n]],0)</f>
        <v>41</v>
      </c>
      <c r="W390">
        <f>ROUND(Sheet1[[#This Row],[wat_bas_r]],0)</f>
        <v>37</v>
      </c>
      <c r="X390">
        <f>ROUND(Sheet1[[#This Row],[wat_bas_u]],0)</f>
        <v>61</v>
      </c>
      <c r="Y390" s="1" t="str">
        <f t="shared" si="16"/>
        <v>not full access</v>
      </c>
      <c r="Z390" s="1" t="str">
        <f t="shared" si="17"/>
        <v>not full access</v>
      </c>
      <c r="AA390" s="1" t="str">
        <f t="shared" si="18"/>
        <v>not full access</v>
      </c>
    </row>
    <row r="391" spans="1:27" hidden="1" x14ac:dyDescent="0.25">
      <c r="A391" s="1" t="s">
        <v>246</v>
      </c>
      <c r="B391">
        <v>2020</v>
      </c>
      <c r="C391">
        <v>11193.728520000001</v>
      </c>
      <c r="D391">
        <v>20.198999400000002</v>
      </c>
      <c r="E391">
        <v>40.95092717</v>
      </c>
      <c r="F391">
        <v>37.426962869999997</v>
      </c>
      <c r="G391">
        <v>13.537555190000001</v>
      </c>
      <c r="H391">
        <v>8.0845547619999998</v>
      </c>
      <c r="I391">
        <v>33.593628809999998</v>
      </c>
      <c r="J391">
        <v>42.164380680000001</v>
      </c>
      <c r="K391">
        <v>14.111096160000001</v>
      </c>
      <c r="L391">
        <v>10.13089435</v>
      </c>
      <c r="M391">
        <v>70.017704449999997</v>
      </c>
      <c r="N391">
        <v>18.710660919999999</v>
      </c>
      <c r="O391">
        <v>11.27163464</v>
      </c>
      <c r="P391">
        <v>0</v>
      </c>
      <c r="Q391">
        <v>5</v>
      </c>
      <c r="R391">
        <v>-5.9316458000000703E-2</v>
      </c>
      <c r="S391">
        <v>-0.6266301839999997</v>
      </c>
      <c r="T391">
        <v>1.8621654179999989</v>
      </c>
      <c r="U391">
        <f>ABS(Sheet1[[#This Row],[ARC_r]]-Sheet1[[#This Row],[ARC_u]])</f>
        <v>2.4887956019999988</v>
      </c>
      <c r="V391">
        <f>ROUND(Sheet1[[#This Row],[wat_bas_n]],0)</f>
        <v>41</v>
      </c>
      <c r="W391">
        <f>ROUND(Sheet1[[#This Row],[wat_bas_r]],0)</f>
        <v>34</v>
      </c>
      <c r="X391">
        <f>ROUND(Sheet1[[#This Row],[wat_bas_u]],0)</f>
        <v>70</v>
      </c>
      <c r="Y391" s="1" t="str">
        <f t="shared" si="16"/>
        <v>not full access</v>
      </c>
      <c r="Z391" s="1" t="str">
        <f t="shared" si="17"/>
        <v>not full access</v>
      </c>
      <c r="AA391" s="1" t="str">
        <f t="shared" si="18"/>
        <v>not full access</v>
      </c>
    </row>
    <row r="392" spans="1:27" x14ac:dyDescent="0.25">
      <c r="A392" s="1" t="s">
        <v>65</v>
      </c>
      <c r="B392">
        <v>2015</v>
      </c>
      <c r="C392">
        <v>46671.917970000002</v>
      </c>
      <c r="D392">
        <v>79.60199738</v>
      </c>
      <c r="E392">
        <v>99.926720459999999</v>
      </c>
      <c r="F392">
        <v>0</v>
      </c>
      <c r="G392">
        <v>7.3279544409999994E-2</v>
      </c>
      <c r="H392">
        <v>0</v>
      </c>
      <c r="I392">
        <v>100</v>
      </c>
      <c r="J392">
        <v>0</v>
      </c>
      <c r="K392">
        <v>0</v>
      </c>
      <c r="L392">
        <v>0</v>
      </c>
      <c r="M392">
        <v>99.907945209999994</v>
      </c>
      <c r="N392">
        <v>0</v>
      </c>
      <c r="O392">
        <v>9.2054794519999997E-2</v>
      </c>
      <c r="P392">
        <v>0</v>
      </c>
      <c r="U392">
        <f>ABS(Sheet1[[#This Row],[ARC_r]]-Sheet1[[#This Row],[ARC_u]])</f>
        <v>0</v>
      </c>
      <c r="V392">
        <f>ROUND(Sheet1[[#This Row],[wat_bas_n]],0)</f>
        <v>100</v>
      </c>
      <c r="W392">
        <f>ROUND(Sheet1[[#This Row],[wat_bas_r]],0)</f>
        <v>100</v>
      </c>
      <c r="X392">
        <f>ROUND(Sheet1[[#This Row],[wat_bas_u]],0)</f>
        <v>100</v>
      </c>
      <c r="Y392" s="1" t="str">
        <f t="shared" si="16"/>
        <v>full access</v>
      </c>
      <c r="Z392" s="1" t="str">
        <f t="shared" si="17"/>
        <v>full access</v>
      </c>
      <c r="AA392" s="1" t="str">
        <f t="shared" si="18"/>
        <v>full access</v>
      </c>
    </row>
    <row r="393" spans="1:27" x14ac:dyDescent="0.25">
      <c r="A393" s="1" t="s">
        <v>65</v>
      </c>
      <c r="B393">
        <v>2020</v>
      </c>
      <c r="C393">
        <v>46754.78125</v>
      </c>
      <c r="D393">
        <v>80.809997559999999</v>
      </c>
      <c r="E393">
        <v>99.925612610000002</v>
      </c>
      <c r="F393">
        <v>0</v>
      </c>
      <c r="G393">
        <v>7.4387391420000004E-2</v>
      </c>
      <c r="H393">
        <v>0</v>
      </c>
      <c r="I393">
        <v>100</v>
      </c>
      <c r="J393">
        <v>0</v>
      </c>
      <c r="K393">
        <v>0</v>
      </c>
      <c r="L393">
        <v>0</v>
      </c>
      <c r="M393">
        <v>99.907945209999994</v>
      </c>
      <c r="N393">
        <v>0</v>
      </c>
      <c r="O393">
        <v>9.2054794519999997E-2</v>
      </c>
      <c r="P393">
        <v>0</v>
      </c>
      <c r="Q393">
        <v>5</v>
      </c>
      <c r="R393">
        <v>-2.215699999993603E-4</v>
      </c>
      <c r="S393">
        <v>0</v>
      </c>
      <c r="T393">
        <v>0</v>
      </c>
      <c r="U393">
        <f>ABS(Sheet1[[#This Row],[ARC_r]]-Sheet1[[#This Row],[ARC_u]])</f>
        <v>0</v>
      </c>
      <c r="V393">
        <f>ROUND(Sheet1[[#This Row],[wat_bas_n]],0)</f>
        <v>100</v>
      </c>
      <c r="W393">
        <f>ROUND(Sheet1[[#This Row],[wat_bas_r]],0)</f>
        <v>100</v>
      </c>
      <c r="X393">
        <f>ROUND(Sheet1[[#This Row],[wat_bas_u]],0)</f>
        <v>100</v>
      </c>
      <c r="Y393" s="1" t="str">
        <f t="shared" si="16"/>
        <v>full access</v>
      </c>
      <c r="Z393" s="1" t="str">
        <f t="shared" si="17"/>
        <v>full access</v>
      </c>
      <c r="AA393" s="1" t="str">
        <f t="shared" si="18"/>
        <v>full access</v>
      </c>
    </row>
    <row r="394" spans="1:27" hidden="1" x14ac:dyDescent="0.25">
      <c r="A394" s="1" t="s">
        <v>174</v>
      </c>
      <c r="B394">
        <v>2015</v>
      </c>
      <c r="C394">
        <v>20908.023440000001</v>
      </c>
      <c r="D394">
        <v>18.256000520000001</v>
      </c>
      <c r="E394">
        <v>90.111028570000002</v>
      </c>
      <c r="F394">
        <v>0.91280129350000005</v>
      </c>
      <c r="G394">
        <v>6.7615228930000004</v>
      </c>
      <c r="H394">
        <v>2.2146472469999998</v>
      </c>
      <c r="I394">
        <v>88.257106140000005</v>
      </c>
      <c r="J394">
        <v>1.0162902579999999</v>
      </c>
      <c r="K394">
        <v>8.017356135</v>
      </c>
      <c r="L394">
        <v>2.7092474630000001</v>
      </c>
      <c r="M394">
        <v>98.412246519999997</v>
      </c>
      <c r="N394">
        <v>0.44941380939999998</v>
      </c>
      <c r="O394">
        <v>1.1383396720000001</v>
      </c>
      <c r="P394">
        <v>0</v>
      </c>
      <c r="U394">
        <f>ABS(Sheet1[[#This Row],[ARC_r]]-Sheet1[[#This Row],[ARC_u]])</f>
        <v>0</v>
      </c>
      <c r="V394">
        <f>ROUND(Sheet1[[#This Row],[wat_bas_n]],0)</f>
        <v>90</v>
      </c>
      <c r="W394">
        <f>ROUND(Sheet1[[#This Row],[wat_bas_r]],0)</f>
        <v>88</v>
      </c>
      <c r="X394">
        <f>ROUND(Sheet1[[#This Row],[wat_bas_u]],0)</f>
        <v>98</v>
      </c>
      <c r="Y394" s="1" t="str">
        <f t="shared" si="16"/>
        <v>not full access</v>
      </c>
      <c r="Z394" s="1" t="str">
        <f t="shared" si="17"/>
        <v>not full access</v>
      </c>
      <c r="AA394" s="1" t="str">
        <f t="shared" si="18"/>
        <v>not full access</v>
      </c>
    </row>
    <row r="395" spans="1:27" hidden="1" x14ac:dyDescent="0.25">
      <c r="A395" s="1" t="s">
        <v>174</v>
      </c>
      <c r="B395">
        <v>2020</v>
      </c>
      <c r="C395">
        <v>21413.25</v>
      </c>
      <c r="D395">
        <v>18.71299934</v>
      </c>
      <c r="E395">
        <v>92.227579370000001</v>
      </c>
      <c r="F395">
        <v>0.59545814949999998</v>
      </c>
      <c r="G395">
        <v>5.3489270639999997</v>
      </c>
      <c r="H395">
        <v>1.82803542</v>
      </c>
      <c r="I395">
        <v>90.537435700000003</v>
      </c>
      <c r="J395">
        <v>0.70320990380000004</v>
      </c>
      <c r="K395">
        <v>6.5104886119999996</v>
      </c>
      <c r="L395">
        <v>2.2488657820000002</v>
      </c>
      <c r="M395">
        <v>99.569380190000004</v>
      </c>
      <c r="N395">
        <v>0.12739779009999999</v>
      </c>
      <c r="O395">
        <v>0.3032220202</v>
      </c>
      <c r="P395">
        <v>0</v>
      </c>
      <c r="Q395">
        <v>5</v>
      </c>
      <c r="R395">
        <v>0.42331015999999982</v>
      </c>
      <c r="S395">
        <v>0.45606591199999968</v>
      </c>
      <c r="T395">
        <v>0.23142673400000149</v>
      </c>
      <c r="U395">
        <f>ABS(Sheet1[[#This Row],[ARC_r]]-Sheet1[[#This Row],[ARC_u]])</f>
        <v>0.22463917799999819</v>
      </c>
      <c r="V395">
        <f>ROUND(Sheet1[[#This Row],[wat_bas_n]],0)</f>
        <v>92</v>
      </c>
      <c r="W395">
        <f>ROUND(Sheet1[[#This Row],[wat_bas_r]],0)</f>
        <v>91</v>
      </c>
      <c r="X395">
        <f>ROUND(Sheet1[[#This Row],[wat_bas_u]],0)</f>
        <v>100</v>
      </c>
      <c r="Y395" s="1" t="str">
        <f t="shared" si="16"/>
        <v>not full access</v>
      </c>
      <c r="Z395" s="1" t="str">
        <f t="shared" si="17"/>
        <v>not full access</v>
      </c>
      <c r="AA395" s="1" t="str">
        <f t="shared" si="18"/>
        <v>not full access</v>
      </c>
    </row>
    <row r="396" spans="1:27" hidden="1" x14ac:dyDescent="0.25">
      <c r="A396" s="1" t="s">
        <v>231</v>
      </c>
      <c r="B396">
        <v>2015</v>
      </c>
      <c r="C396">
        <v>38902.949220000002</v>
      </c>
      <c r="D396">
        <v>33.894001009999997</v>
      </c>
      <c r="E396">
        <v>58.950253320000002</v>
      </c>
      <c r="F396">
        <v>26.111815979999999</v>
      </c>
      <c r="G396">
        <v>5.635847128</v>
      </c>
      <c r="H396">
        <v>9.3020835690000006</v>
      </c>
      <c r="I396">
        <v>51.707437730000002</v>
      </c>
      <c r="J396">
        <v>26.687789639999998</v>
      </c>
      <c r="K396">
        <v>8.1225675119999998</v>
      </c>
      <c r="L396">
        <v>13.482205130000001</v>
      </c>
      <c r="M396">
        <v>73.076457570000002</v>
      </c>
      <c r="N396">
        <v>24.98845154</v>
      </c>
      <c r="O396">
        <v>0.78581062170000004</v>
      </c>
      <c r="P396">
        <v>1.14928027</v>
      </c>
      <c r="U396">
        <f>ABS(Sheet1[[#This Row],[ARC_r]]-Sheet1[[#This Row],[ARC_u]])</f>
        <v>0</v>
      </c>
      <c r="V396">
        <f>ROUND(Sheet1[[#This Row],[wat_bas_n]],0)</f>
        <v>59</v>
      </c>
      <c r="W396">
        <f>ROUND(Sheet1[[#This Row],[wat_bas_r]],0)</f>
        <v>52</v>
      </c>
      <c r="X396">
        <f>ROUND(Sheet1[[#This Row],[wat_bas_u]],0)</f>
        <v>73</v>
      </c>
      <c r="Y396" s="1" t="str">
        <f t="shared" si="16"/>
        <v>not full access</v>
      </c>
      <c r="Z396" s="1" t="str">
        <f t="shared" si="17"/>
        <v>not full access</v>
      </c>
      <c r="AA396" s="1" t="str">
        <f t="shared" si="18"/>
        <v>not full access</v>
      </c>
    </row>
    <row r="397" spans="1:27" hidden="1" x14ac:dyDescent="0.25">
      <c r="A397" s="1" t="s">
        <v>231</v>
      </c>
      <c r="B397">
        <v>2020</v>
      </c>
      <c r="C397">
        <v>43849.269529999998</v>
      </c>
      <c r="D397">
        <v>35.252998349999999</v>
      </c>
      <c r="E397">
        <v>60.448675600000001</v>
      </c>
      <c r="F397">
        <v>26.670019750000002</v>
      </c>
      <c r="G397">
        <v>3.6502178750000001</v>
      </c>
      <c r="H397">
        <v>9.2310867739999996</v>
      </c>
      <c r="I397">
        <v>53.19902707</v>
      </c>
      <c r="J397">
        <v>27.457644510000002</v>
      </c>
      <c r="K397">
        <v>5.6376600080000001</v>
      </c>
      <c r="L397">
        <v>13.70566842</v>
      </c>
      <c r="M397">
        <v>73.763659559999994</v>
      </c>
      <c r="N397">
        <v>25.223439859999999</v>
      </c>
      <c r="O397">
        <v>0</v>
      </c>
      <c r="P397">
        <v>1.012900581</v>
      </c>
      <c r="Q397">
        <v>5</v>
      </c>
      <c r="R397">
        <v>0.29968445599999988</v>
      </c>
      <c r="S397">
        <v>0.29831786799999949</v>
      </c>
      <c r="T397">
        <v>0.13744039799999819</v>
      </c>
      <c r="U397">
        <f>ABS(Sheet1[[#This Row],[ARC_r]]-Sheet1[[#This Row],[ARC_u]])</f>
        <v>0.1608774700000013</v>
      </c>
      <c r="V397">
        <f>ROUND(Sheet1[[#This Row],[wat_bas_n]],0)</f>
        <v>60</v>
      </c>
      <c r="W397">
        <f>ROUND(Sheet1[[#This Row],[wat_bas_r]],0)</f>
        <v>53</v>
      </c>
      <c r="X397">
        <f>ROUND(Sheet1[[#This Row],[wat_bas_u]],0)</f>
        <v>74</v>
      </c>
      <c r="Y397" s="1" t="str">
        <f t="shared" si="16"/>
        <v>not full access</v>
      </c>
      <c r="Z397" s="1" t="str">
        <f t="shared" si="17"/>
        <v>not full access</v>
      </c>
      <c r="AA397" s="1" t="str">
        <f t="shared" si="18"/>
        <v>not full access</v>
      </c>
    </row>
    <row r="398" spans="1:27" hidden="1" x14ac:dyDescent="0.25">
      <c r="A398" s="1" t="s">
        <v>116</v>
      </c>
      <c r="B398">
        <v>2015</v>
      </c>
      <c r="C398">
        <v>559.13598630000001</v>
      </c>
      <c r="D398">
        <v>66.055999760000006</v>
      </c>
      <c r="E398">
        <v>95.747692169999993</v>
      </c>
      <c r="F398">
        <v>0.88280139830000004</v>
      </c>
      <c r="G398">
        <v>1.0138349760000001</v>
      </c>
      <c r="H398">
        <v>2.3556714599999999</v>
      </c>
      <c r="I398">
        <v>90.57961632</v>
      </c>
      <c r="J398">
        <v>1.2850321419999999</v>
      </c>
      <c r="K398">
        <v>1.200506574</v>
      </c>
      <c r="L398">
        <v>6.9348449649999999</v>
      </c>
      <c r="M398">
        <v>98.403399699999994</v>
      </c>
      <c r="N398">
        <v>0.67610833329999998</v>
      </c>
      <c r="O398">
        <v>0.91790651420000002</v>
      </c>
      <c r="P398">
        <v>2.585454545E-3</v>
      </c>
      <c r="U398">
        <f>ABS(Sheet1[[#This Row],[ARC_r]]-Sheet1[[#This Row],[ARC_u]])</f>
        <v>0</v>
      </c>
      <c r="V398">
        <f>ROUND(Sheet1[[#This Row],[wat_bas_n]],0)</f>
        <v>96</v>
      </c>
      <c r="W398">
        <f>ROUND(Sheet1[[#This Row],[wat_bas_r]],0)</f>
        <v>91</v>
      </c>
      <c r="X398">
        <f>ROUND(Sheet1[[#This Row],[wat_bas_u]],0)</f>
        <v>98</v>
      </c>
      <c r="Y398" s="1" t="str">
        <f t="shared" si="16"/>
        <v>not full access</v>
      </c>
      <c r="Z398" s="1" t="str">
        <f t="shared" si="17"/>
        <v>not full access</v>
      </c>
      <c r="AA398" s="1" t="str">
        <f t="shared" si="18"/>
        <v>not full access</v>
      </c>
    </row>
    <row r="399" spans="1:27" hidden="1" x14ac:dyDescent="0.25">
      <c r="A399" s="1" t="s">
        <v>116</v>
      </c>
      <c r="B399">
        <v>2020</v>
      </c>
      <c r="C399">
        <v>586.63397220000002</v>
      </c>
      <c r="D399">
        <v>66.149002080000002</v>
      </c>
      <c r="E399">
        <v>97.989631669999994</v>
      </c>
      <c r="F399">
        <v>1.0672469410000001</v>
      </c>
      <c r="G399">
        <v>0.37933650730000001</v>
      </c>
      <c r="H399">
        <v>0.56378488400000004</v>
      </c>
      <c r="I399">
        <v>96.574412629999998</v>
      </c>
      <c r="J399">
        <v>1.6002958599999999</v>
      </c>
      <c r="K399">
        <v>0.1598017947</v>
      </c>
      <c r="L399">
        <v>1.6654897200000001</v>
      </c>
      <c r="M399">
        <v>98.713853869999994</v>
      </c>
      <c r="N399">
        <v>0.79446523710000005</v>
      </c>
      <c r="O399">
        <v>0.49168089250000002</v>
      </c>
      <c r="P399">
        <v>0</v>
      </c>
      <c r="Q399">
        <v>5</v>
      </c>
      <c r="R399">
        <v>0.44838790000000017</v>
      </c>
      <c r="S399">
        <v>1.198959262</v>
      </c>
      <c r="T399">
        <v>6.209083399999997E-2</v>
      </c>
      <c r="U399">
        <f>ABS(Sheet1[[#This Row],[ARC_r]]-Sheet1[[#This Row],[ARC_u]])</f>
        <v>1.1368684280000001</v>
      </c>
      <c r="V399">
        <f>ROUND(Sheet1[[#This Row],[wat_bas_n]],0)</f>
        <v>98</v>
      </c>
      <c r="W399">
        <f>ROUND(Sheet1[[#This Row],[wat_bas_r]],0)</f>
        <v>97</v>
      </c>
      <c r="X399">
        <f>ROUND(Sheet1[[#This Row],[wat_bas_u]],0)</f>
        <v>99</v>
      </c>
      <c r="Y399" s="1" t="str">
        <f t="shared" si="16"/>
        <v>not full access</v>
      </c>
      <c r="Z399" s="1" t="str">
        <f t="shared" si="17"/>
        <v>not full access</v>
      </c>
      <c r="AA399" s="1" t="str">
        <f t="shared" si="18"/>
        <v>not full access</v>
      </c>
    </row>
    <row r="400" spans="1:27" x14ac:dyDescent="0.25">
      <c r="A400" s="1" t="s">
        <v>77</v>
      </c>
      <c r="B400">
        <v>2015</v>
      </c>
      <c r="C400">
        <v>9764.9492190000001</v>
      </c>
      <c r="D400">
        <v>86.553001399999999</v>
      </c>
      <c r="E400">
        <v>99.781231030000001</v>
      </c>
      <c r="F400">
        <v>0</v>
      </c>
      <c r="G400">
        <v>0.2187689729</v>
      </c>
      <c r="H400">
        <v>0</v>
      </c>
      <c r="I400">
        <v>99.549986529999998</v>
      </c>
      <c r="J400">
        <v>0</v>
      </c>
      <c r="K400">
        <v>0.4500134657</v>
      </c>
      <c r="L400">
        <v>0</v>
      </c>
      <c r="M400">
        <v>99.817160389999998</v>
      </c>
      <c r="N400">
        <v>0</v>
      </c>
      <c r="O400">
        <v>0.18283961479999999</v>
      </c>
      <c r="P400">
        <v>0</v>
      </c>
      <c r="U400">
        <f>ABS(Sheet1[[#This Row],[ARC_r]]-Sheet1[[#This Row],[ARC_u]])</f>
        <v>0</v>
      </c>
      <c r="V400">
        <f>ROUND(Sheet1[[#This Row],[wat_bas_n]],0)</f>
        <v>100</v>
      </c>
      <c r="W400">
        <f>ROUND(Sheet1[[#This Row],[wat_bas_r]],0)</f>
        <v>100</v>
      </c>
      <c r="X400">
        <f>ROUND(Sheet1[[#This Row],[wat_bas_u]],0)</f>
        <v>100</v>
      </c>
      <c r="Y400" s="1" t="str">
        <f t="shared" si="16"/>
        <v>full access</v>
      </c>
      <c r="Z400" s="1" t="str">
        <f t="shared" si="17"/>
        <v>full access</v>
      </c>
      <c r="AA400" s="1" t="str">
        <f t="shared" si="18"/>
        <v>full access</v>
      </c>
    </row>
    <row r="401" spans="1:27" x14ac:dyDescent="0.25">
      <c r="A401" s="1" t="s">
        <v>77</v>
      </c>
      <c r="B401">
        <v>2020</v>
      </c>
      <c r="C401">
        <v>10099.26953</v>
      </c>
      <c r="D401">
        <v>87.97699738</v>
      </c>
      <c r="E401">
        <v>99.826867629999995</v>
      </c>
      <c r="F401">
        <v>0</v>
      </c>
      <c r="G401">
        <v>0.17313237349999999</v>
      </c>
      <c r="H401">
        <v>0</v>
      </c>
      <c r="I401">
        <v>99.719374740000006</v>
      </c>
      <c r="J401">
        <v>0</v>
      </c>
      <c r="K401">
        <v>0.28062526259999998</v>
      </c>
      <c r="L401">
        <v>0</v>
      </c>
      <c r="M401">
        <v>99.841557679999994</v>
      </c>
      <c r="N401">
        <v>0</v>
      </c>
      <c r="O401">
        <v>0.1584423157</v>
      </c>
      <c r="P401">
        <v>0</v>
      </c>
      <c r="Q401">
        <v>5</v>
      </c>
      <c r="R401">
        <v>9.1273199999989171E-3</v>
      </c>
      <c r="S401">
        <v>3.387764200000163E-2</v>
      </c>
      <c r="T401">
        <v>4.8794579999992026E-3</v>
      </c>
      <c r="U401">
        <f>ABS(Sheet1[[#This Row],[ARC_r]]-Sheet1[[#This Row],[ARC_u]])</f>
        <v>2.8998184000002428E-2</v>
      </c>
      <c r="V401">
        <f>ROUND(Sheet1[[#This Row],[wat_bas_n]],0)</f>
        <v>100</v>
      </c>
      <c r="W401">
        <f>ROUND(Sheet1[[#This Row],[wat_bas_r]],0)</f>
        <v>100</v>
      </c>
      <c r="X401">
        <f>ROUND(Sheet1[[#This Row],[wat_bas_u]],0)</f>
        <v>100</v>
      </c>
      <c r="Y401" s="1" t="str">
        <f t="shared" si="16"/>
        <v>full access</v>
      </c>
      <c r="Z401" s="1" t="str">
        <f t="shared" si="17"/>
        <v>full access</v>
      </c>
      <c r="AA401" s="1" t="str">
        <f t="shared" si="18"/>
        <v>full access</v>
      </c>
    </row>
    <row r="402" spans="1:27" x14ac:dyDescent="0.25">
      <c r="A402" s="1" t="s">
        <v>21</v>
      </c>
      <c r="B402">
        <v>2015</v>
      </c>
      <c r="C402">
        <v>8296.7753909999992</v>
      </c>
      <c r="D402">
        <v>73.718002319999997</v>
      </c>
      <c r="E402">
        <v>100</v>
      </c>
      <c r="F402">
        <v>0</v>
      </c>
      <c r="G402">
        <v>0</v>
      </c>
      <c r="H402">
        <v>0</v>
      </c>
      <c r="I402">
        <v>100</v>
      </c>
      <c r="J402">
        <v>0</v>
      </c>
      <c r="K402">
        <v>0</v>
      </c>
      <c r="L402">
        <v>0</v>
      </c>
      <c r="M402">
        <v>100</v>
      </c>
      <c r="N402">
        <v>0</v>
      </c>
      <c r="O402">
        <v>0</v>
      </c>
      <c r="P402">
        <v>0</v>
      </c>
      <c r="U402">
        <f>ABS(Sheet1[[#This Row],[ARC_r]]-Sheet1[[#This Row],[ARC_u]])</f>
        <v>0</v>
      </c>
      <c r="V402">
        <f>ROUND(Sheet1[[#This Row],[wat_bas_n]],0)</f>
        <v>100</v>
      </c>
      <c r="W402">
        <f>ROUND(Sheet1[[#This Row],[wat_bas_r]],0)</f>
        <v>100</v>
      </c>
      <c r="X402">
        <f>ROUND(Sheet1[[#This Row],[wat_bas_u]],0)</f>
        <v>100</v>
      </c>
      <c r="Y402" s="1" t="str">
        <f t="shared" si="16"/>
        <v>full access</v>
      </c>
      <c r="Z402" s="1" t="str">
        <f t="shared" si="17"/>
        <v>full access</v>
      </c>
      <c r="AA402" s="1" t="str">
        <f t="shared" si="18"/>
        <v>full access</v>
      </c>
    </row>
    <row r="403" spans="1:27" x14ac:dyDescent="0.25">
      <c r="A403" s="1" t="s">
        <v>21</v>
      </c>
      <c r="B403">
        <v>2020</v>
      </c>
      <c r="C403">
        <v>8654.6181639999995</v>
      </c>
      <c r="D403">
        <v>73.915000919999997</v>
      </c>
      <c r="E403">
        <v>100.0000028</v>
      </c>
      <c r="F403">
        <v>0</v>
      </c>
      <c r="G403">
        <v>0</v>
      </c>
      <c r="H403">
        <v>0</v>
      </c>
      <c r="I403">
        <v>100</v>
      </c>
      <c r="J403">
        <v>0</v>
      </c>
      <c r="K403">
        <v>0</v>
      </c>
      <c r="L403">
        <v>0</v>
      </c>
      <c r="M403">
        <v>100</v>
      </c>
      <c r="N403">
        <v>0</v>
      </c>
      <c r="O403">
        <v>0</v>
      </c>
      <c r="P403">
        <v>0</v>
      </c>
      <c r="Q403">
        <v>5</v>
      </c>
      <c r="R403">
        <v>5.6000000085987263E-7</v>
      </c>
      <c r="S403">
        <v>0</v>
      </c>
      <c r="T403">
        <v>0</v>
      </c>
      <c r="U403">
        <f>ABS(Sheet1[[#This Row],[ARC_r]]-Sheet1[[#This Row],[ARC_u]])</f>
        <v>0</v>
      </c>
      <c r="V403">
        <f>ROUND(Sheet1[[#This Row],[wat_bas_n]],0)</f>
        <v>100</v>
      </c>
      <c r="W403">
        <f>ROUND(Sheet1[[#This Row],[wat_bas_r]],0)</f>
        <v>100</v>
      </c>
      <c r="X403">
        <f>ROUND(Sheet1[[#This Row],[wat_bas_u]],0)</f>
        <v>100</v>
      </c>
      <c r="Y403" s="1" t="str">
        <f t="shared" si="16"/>
        <v>full access</v>
      </c>
      <c r="Z403" s="1" t="str">
        <f t="shared" si="17"/>
        <v>full access</v>
      </c>
      <c r="AA403" s="1" t="str">
        <f t="shared" si="18"/>
        <v>full access</v>
      </c>
    </row>
    <row r="404" spans="1:27" hidden="1" x14ac:dyDescent="0.25">
      <c r="A404" s="1" t="s">
        <v>167</v>
      </c>
      <c r="B404">
        <v>2015</v>
      </c>
      <c r="C404">
        <v>17997.410159999999</v>
      </c>
      <c r="D404">
        <v>52.167999270000003</v>
      </c>
      <c r="E404">
        <v>93.509611480000004</v>
      </c>
      <c r="F404">
        <v>5.9680836279999996</v>
      </c>
      <c r="G404">
        <v>0.52230488829999999</v>
      </c>
      <c r="H404">
        <v>0</v>
      </c>
      <c r="I404">
        <v>91.385705099999996</v>
      </c>
      <c r="J404">
        <v>7.8573236560000002</v>
      </c>
      <c r="K404">
        <v>0.75697124390000003</v>
      </c>
      <c r="L404">
        <v>0</v>
      </c>
      <c r="M404">
        <v>95.456987190000007</v>
      </c>
      <c r="N404">
        <v>4.2358697369999998</v>
      </c>
      <c r="O404">
        <v>0.30714306949999998</v>
      </c>
      <c r="P404">
        <v>0</v>
      </c>
      <c r="U404">
        <f>ABS(Sheet1[[#This Row],[ARC_r]]-Sheet1[[#This Row],[ARC_u]])</f>
        <v>0</v>
      </c>
      <c r="V404">
        <f>ROUND(Sheet1[[#This Row],[wat_bas_n]],0)</f>
        <v>94</v>
      </c>
      <c r="W404">
        <f>ROUND(Sheet1[[#This Row],[wat_bas_r]],0)</f>
        <v>91</v>
      </c>
      <c r="X404">
        <f>ROUND(Sheet1[[#This Row],[wat_bas_u]],0)</f>
        <v>95</v>
      </c>
      <c r="Y404" s="1" t="str">
        <f t="shared" si="16"/>
        <v>not full access</v>
      </c>
      <c r="Z404" s="1" t="str">
        <f t="shared" si="17"/>
        <v>not full access</v>
      </c>
      <c r="AA404" s="1" t="str">
        <f t="shared" si="18"/>
        <v>not full access</v>
      </c>
    </row>
    <row r="405" spans="1:27" hidden="1" x14ac:dyDescent="0.25">
      <c r="A405" s="1" t="s">
        <v>167</v>
      </c>
      <c r="B405">
        <v>2020</v>
      </c>
      <c r="C405">
        <v>17500.65625</v>
      </c>
      <c r="D405">
        <v>55.475002289999999</v>
      </c>
      <c r="E405">
        <v>93.925857179999994</v>
      </c>
      <c r="F405">
        <v>5.8737307679999997</v>
      </c>
      <c r="G405">
        <v>0.20041205419999999</v>
      </c>
      <c r="H405">
        <v>0</v>
      </c>
      <c r="I405">
        <v>92.082745000000003</v>
      </c>
      <c r="J405">
        <v>7.9172549999999999</v>
      </c>
      <c r="K405">
        <v>0</v>
      </c>
      <c r="L405">
        <v>0</v>
      </c>
      <c r="M405">
        <v>95.405164360000001</v>
      </c>
      <c r="N405">
        <v>4.2335701170000002</v>
      </c>
      <c r="O405">
        <v>0.36126552499999998</v>
      </c>
      <c r="P405">
        <v>0</v>
      </c>
      <c r="Q405">
        <v>5</v>
      </c>
      <c r="R405">
        <v>8.3249139999998084E-2</v>
      </c>
      <c r="S405">
        <v>0.1394079800000014</v>
      </c>
      <c r="T405">
        <v>-1.036456600000122E-2</v>
      </c>
      <c r="U405">
        <f>ABS(Sheet1[[#This Row],[ARC_r]]-Sheet1[[#This Row],[ARC_u]])</f>
        <v>0.14977254600000262</v>
      </c>
      <c r="V405">
        <f>ROUND(Sheet1[[#This Row],[wat_bas_n]],0)</f>
        <v>94</v>
      </c>
      <c r="W405">
        <f>ROUND(Sheet1[[#This Row],[wat_bas_r]],0)</f>
        <v>92</v>
      </c>
      <c r="X405">
        <f>ROUND(Sheet1[[#This Row],[wat_bas_u]],0)</f>
        <v>95</v>
      </c>
      <c r="Y405" s="1" t="str">
        <f t="shared" si="16"/>
        <v>not full access</v>
      </c>
      <c r="Z405" s="1" t="str">
        <f t="shared" si="17"/>
        <v>not full access</v>
      </c>
      <c r="AA405" s="1" t="str">
        <f t="shared" si="18"/>
        <v>not full access</v>
      </c>
    </row>
    <row r="406" spans="1:27" hidden="1" x14ac:dyDescent="0.25">
      <c r="A406" s="1" t="s">
        <v>199</v>
      </c>
      <c r="B406">
        <v>2015</v>
      </c>
      <c r="C406">
        <v>8454.0185550000006</v>
      </c>
      <c r="D406">
        <v>26.742000579999999</v>
      </c>
      <c r="E406">
        <v>76.239495509999998</v>
      </c>
      <c r="F406">
        <v>3.050011091</v>
      </c>
      <c r="G406">
        <v>3.944733748</v>
      </c>
      <c r="H406">
        <v>16.76575965</v>
      </c>
      <c r="I406">
        <v>69.552182060000007</v>
      </c>
      <c r="J406">
        <v>3.681021887</v>
      </c>
      <c r="K406">
        <v>4.8574855120000002</v>
      </c>
      <c r="L406">
        <v>21.90931054</v>
      </c>
      <c r="M406">
        <v>94.558955389999994</v>
      </c>
      <c r="N406">
        <v>1.321396987</v>
      </c>
      <c r="O406">
        <v>1.444318955</v>
      </c>
      <c r="P406">
        <v>2.6753286630000002</v>
      </c>
      <c r="U406">
        <f>ABS(Sheet1[[#This Row],[ARC_r]]-Sheet1[[#This Row],[ARC_u]])</f>
        <v>0</v>
      </c>
      <c r="V406">
        <f>ROUND(Sheet1[[#This Row],[wat_bas_n]],0)</f>
        <v>76</v>
      </c>
      <c r="W406">
        <f>ROUND(Sheet1[[#This Row],[wat_bas_r]],0)</f>
        <v>70</v>
      </c>
      <c r="X406">
        <f>ROUND(Sheet1[[#This Row],[wat_bas_u]],0)</f>
        <v>95</v>
      </c>
      <c r="Y406" s="1" t="str">
        <f t="shared" si="16"/>
        <v>not full access</v>
      </c>
      <c r="Z406" s="1" t="str">
        <f t="shared" si="17"/>
        <v>not full access</v>
      </c>
      <c r="AA406" s="1" t="str">
        <f t="shared" si="18"/>
        <v>not full access</v>
      </c>
    </row>
    <row r="407" spans="1:27" hidden="1" x14ac:dyDescent="0.25">
      <c r="A407" s="1" t="s">
        <v>199</v>
      </c>
      <c r="B407">
        <v>2020</v>
      </c>
      <c r="C407">
        <v>9537.6416019999997</v>
      </c>
      <c r="D407">
        <v>27.505998609999999</v>
      </c>
      <c r="E407">
        <v>81.852415019999995</v>
      </c>
      <c r="F407">
        <v>2.5683639349999998</v>
      </c>
      <c r="G407">
        <v>3.4218570050000001</v>
      </c>
      <c r="H407">
        <v>12.157364039999999</v>
      </c>
      <c r="I407">
        <v>76.643599199999997</v>
      </c>
      <c r="J407">
        <v>3.2071439279999998</v>
      </c>
      <c r="K407">
        <v>4.1407069480000001</v>
      </c>
      <c r="L407">
        <v>16.00854992</v>
      </c>
      <c r="M407">
        <v>95.580623860000003</v>
      </c>
      <c r="N407">
        <v>0.88481447629999999</v>
      </c>
      <c r="O407">
        <v>1.5272683229999999</v>
      </c>
      <c r="P407">
        <v>2.0072933389999998</v>
      </c>
      <c r="Q407">
        <v>5</v>
      </c>
      <c r="R407">
        <v>1.122583901999999</v>
      </c>
      <c r="S407">
        <v>1.4182834279999981</v>
      </c>
      <c r="T407">
        <v>0.2043336940000017</v>
      </c>
      <c r="U407">
        <f>ABS(Sheet1[[#This Row],[ARC_r]]-Sheet1[[#This Row],[ARC_u]])</f>
        <v>1.2139497339999963</v>
      </c>
      <c r="V407">
        <f>ROUND(Sheet1[[#This Row],[wat_bas_n]],0)</f>
        <v>82</v>
      </c>
      <c r="W407">
        <f>ROUND(Sheet1[[#This Row],[wat_bas_r]],0)</f>
        <v>77</v>
      </c>
      <c r="X407">
        <f>ROUND(Sheet1[[#This Row],[wat_bas_u]],0)</f>
        <v>96</v>
      </c>
      <c r="Y407" s="1" t="str">
        <f t="shared" si="16"/>
        <v>not full access</v>
      </c>
      <c r="Z407" s="1" t="str">
        <f t="shared" si="17"/>
        <v>not full access</v>
      </c>
      <c r="AA407" s="1" t="str">
        <f t="shared" si="18"/>
        <v>not full access</v>
      </c>
    </row>
    <row r="408" spans="1:27" x14ac:dyDescent="0.25">
      <c r="A408" s="1" t="s">
        <v>53</v>
      </c>
      <c r="B408">
        <v>2015</v>
      </c>
      <c r="C408">
        <v>68714.515629999994</v>
      </c>
      <c r="D408">
        <v>47.694004059999997</v>
      </c>
      <c r="E408">
        <v>99.259170580000003</v>
      </c>
      <c r="F408">
        <v>0.2176525852</v>
      </c>
      <c r="G408">
        <v>0.1822513237</v>
      </c>
      <c r="H408">
        <v>0.34092551430000001</v>
      </c>
      <c r="I408">
        <v>98.879516710000004</v>
      </c>
      <c r="J408">
        <v>0.2456716052</v>
      </c>
      <c r="K408">
        <v>0.22302119049999999</v>
      </c>
      <c r="L408">
        <v>0.65179049</v>
      </c>
      <c r="M408">
        <v>99.675536840000007</v>
      </c>
      <c r="N408">
        <v>0.1869241354</v>
      </c>
      <c r="O408">
        <v>0.1375390245</v>
      </c>
      <c r="P408">
        <v>0</v>
      </c>
      <c r="U408">
        <f>ABS(Sheet1[[#This Row],[ARC_r]]-Sheet1[[#This Row],[ARC_u]])</f>
        <v>0</v>
      </c>
      <c r="V408">
        <f>ROUND(Sheet1[[#This Row],[wat_bas_n]],0)</f>
        <v>99</v>
      </c>
      <c r="W408">
        <f>ROUND(Sheet1[[#This Row],[wat_bas_r]],0)</f>
        <v>99</v>
      </c>
      <c r="X408">
        <f>ROUND(Sheet1[[#This Row],[wat_bas_u]],0)</f>
        <v>100</v>
      </c>
      <c r="Y408" s="1" t="str">
        <f t="shared" si="16"/>
        <v>full access</v>
      </c>
      <c r="Z408" s="1" t="str">
        <f t="shared" si="17"/>
        <v>not full access</v>
      </c>
      <c r="AA408" s="1" t="str">
        <f t="shared" si="18"/>
        <v>full access</v>
      </c>
    </row>
    <row r="409" spans="1:27" x14ac:dyDescent="0.25">
      <c r="A409" s="1" t="s">
        <v>53</v>
      </c>
      <c r="B409">
        <v>2020</v>
      </c>
      <c r="C409">
        <v>69799.976559999996</v>
      </c>
      <c r="D409">
        <v>51.430000309999997</v>
      </c>
      <c r="E409">
        <v>100</v>
      </c>
      <c r="F409">
        <v>0</v>
      </c>
      <c r="G409">
        <v>0</v>
      </c>
      <c r="H409">
        <v>0</v>
      </c>
      <c r="I409">
        <v>100</v>
      </c>
      <c r="J409">
        <v>0</v>
      </c>
      <c r="K409">
        <v>0</v>
      </c>
      <c r="L409">
        <v>0</v>
      </c>
      <c r="M409">
        <v>100</v>
      </c>
      <c r="N409">
        <v>0</v>
      </c>
      <c r="O409">
        <v>0</v>
      </c>
      <c r="P409">
        <v>0</v>
      </c>
      <c r="Q409">
        <v>5</v>
      </c>
      <c r="R409">
        <v>0.14816588399999939</v>
      </c>
      <c r="S409">
        <v>0.22409665799999909</v>
      </c>
      <c r="T409">
        <v>6.4892631999998687E-2</v>
      </c>
      <c r="U409">
        <f>ABS(Sheet1[[#This Row],[ARC_r]]-Sheet1[[#This Row],[ARC_u]])</f>
        <v>0.15920402600000039</v>
      </c>
      <c r="V409">
        <f>ROUND(Sheet1[[#This Row],[wat_bas_n]],0)</f>
        <v>100</v>
      </c>
      <c r="W409">
        <f>ROUND(Sheet1[[#This Row],[wat_bas_r]],0)</f>
        <v>100</v>
      </c>
      <c r="X409">
        <f>ROUND(Sheet1[[#This Row],[wat_bas_u]],0)</f>
        <v>100</v>
      </c>
      <c r="Y409" s="1" t="str">
        <f t="shared" si="16"/>
        <v>full access</v>
      </c>
      <c r="Z409" s="1" t="str">
        <f t="shared" si="17"/>
        <v>not full access</v>
      </c>
      <c r="AA409" s="1" t="str">
        <f t="shared" si="18"/>
        <v>full access</v>
      </c>
    </row>
    <row r="410" spans="1:27" hidden="1" x14ac:dyDescent="0.25">
      <c r="A410" s="1" t="s">
        <v>192</v>
      </c>
      <c r="B410">
        <v>2015</v>
      </c>
      <c r="C410">
        <v>1196.2939449999999</v>
      </c>
      <c r="D410">
        <v>29.489999770000001</v>
      </c>
      <c r="E410">
        <v>75.250103710000005</v>
      </c>
      <c r="F410">
        <v>3.486316247</v>
      </c>
      <c r="G410">
        <v>16.460746719999999</v>
      </c>
      <c r="H410">
        <v>4.8028333229999998</v>
      </c>
      <c r="I410">
        <v>68.95938975</v>
      </c>
      <c r="J410">
        <v>4.2085077100000001</v>
      </c>
      <c r="K410">
        <v>20.19524109</v>
      </c>
      <c r="L410">
        <v>6.6368614499999996</v>
      </c>
      <c r="M410">
        <v>90.291081230000003</v>
      </c>
      <c r="N410">
        <v>1.759571234</v>
      </c>
      <c r="O410">
        <v>7.5316383</v>
      </c>
      <c r="P410">
        <v>0.41770924009999999</v>
      </c>
      <c r="U410">
        <f>ABS(Sheet1[[#This Row],[ARC_r]]-Sheet1[[#This Row],[ARC_u]])</f>
        <v>0</v>
      </c>
      <c r="V410">
        <f>ROUND(Sheet1[[#This Row],[wat_bas_n]],0)</f>
        <v>75</v>
      </c>
      <c r="W410">
        <f>ROUND(Sheet1[[#This Row],[wat_bas_r]],0)</f>
        <v>69</v>
      </c>
      <c r="X410">
        <f>ROUND(Sheet1[[#This Row],[wat_bas_u]],0)</f>
        <v>90</v>
      </c>
      <c r="Y410" s="1" t="str">
        <f t="shared" si="16"/>
        <v>not full access</v>
      </c>
      <c r="Z410" s="1" t="str">
        <f t="shared" si="17"/>
        <v>not full access</v>
      </c>
      <c r="AA410" s="1" t="str">
        <f t="shared" si="18"/>
        <v>not full access</v>
      </c>
    </row>
    <row r="411" spans="1:27" hidden="1" x14ac:dyDescent="0.25">
      <c r="A411" s="1" t="s">
        <v>192</v>
      </c>
      <c r="B411">
        <v>2020</v>
      </c>
      <c r="C411">
        <v>1318.4420170000001</v>
      </c>
      <c r="D411">
        <v>31.31999969</v>
      </c>
      <c r="E411">
        <v>85.495601199999996</v>
      </c>
      <c r="F411">
        <v>1.88586597</v>
      </c>
      <c r="G411">
        <v>8.3600293969999999</v>
      </c>
      <c r="H411">
        <v>4.2585034329999996</v>
      </c>
      <c r="I411">
        <v>80.48779562</v>
      </c>
      <c r="J411">
        <v>2.0493646750000001</v>
      </c>
      <c r="K411">
        <v>11.26233968</v>
      </c>
      <c r="L411">
        <v>6.2005000179999996</v>
      </c>
      <c r="M411">
        <v>96.476957920000004</v>
      </c>
      <c r="N411">
        <v>1.527338152</v>
      </c>
      <c r="O411">
        <v>1.995703929</v>
      </c>
      <c r="P411">
        <v>0</v>
      </c>
      <c r="Q411">
        <v>5</v>
      </c>
      <c r="R411">
        <v>2.0490994979999981</v>
      </c>
      <c r="S411">
        <v>2.3056811740000001</v>
      </c>
      <c r="T411">
        <v>1.2371753379999999</v>
      </c>
      <c r="U411">
        <f>ABS(Sheet1[[#This Row],[ARC_r]]-Sheet1[[#This Row],[ARC_u]])</f>
        <v>1.0685058360000002</v>
      </c>
      <c r="V411">
        <f>ROUND(Sheet1[[#This Row],[wat_bas_n]],0)</f>
        <v>85</v>
      </c>
      <c r="W411">
        <f>ROUND(Sheet1[[#This Row],[wat_bas_r]],0)</f>
        <v>80</v>
      </c>
      <c r="X411">
        <f>ROUND(Sheet1[[#This Row],[wat_bas_u]],0)</f>
        <v>96</v>
      </c>
      <c r="Y411" s="1" t="str">
        <f t="shared" si="16"/>
        <v>not full access</v>
      </c>
      <c r="Z411" s="1" t="str">
        <f t="shared" si="17"/>
        <v>not full access</v>
      </c>
      <c r="AA411" s="1" t="str">
        <f t="shared" si="18"/>
        <v>not full access</v>
      </c>
    </row>
    <row r="412" spans="1:27" hidden="1" x14ac:dyDescent="0.25">
      <c r="A412" s="1" t="s">
        <v>217</v>
      </c>
      <c r="B412">
        <v>2015</v>
      </c>
      <c r="C412">
        <v>7323.1621089999999</v>
      </c>
      <c r="D412">
        <v>40.099998470000003</v>
      </c>
      <c r="E412">
        <v>63.637126350000003</v>
      </c>
      <c r="F412">
        <v>5.6657679649999997</v>
      </c>
      <c r="G412">
        <v>17.17891539</v>
      </c>
      <c r="H412">
        <v>13.51819029</v>
      </c>
      <c r="I412">
        <v>47.242183279999999</v>
      </c>
      <c r="J412">
        <v>7.3346522839999997</v>
      </c>
      <c r="K412">
        <v>23.470036180000001</v>
      </c>
      <c r="L412">
        <v>21.953128249999999</v>
      </c>
      <c r="M412">
        <v>88.127329700000004</v>
      </c>
      <c r="N412">
        <v>3.1728458380000002</v>
      </c>
      <c r="O412">
        <v>7.7814550410000001</v>
      </c>
      <c r="P412">
        <v>0.91836941770000002</v>
      </c>
      <c r="U412">
        <f>ABS(Sheet1[[#This Row],[ARC_r]]-Sheet1[[#This Row],[ARC_u]])</f>
        <v>0</v>
      </c>
      <c r="V412">
        <f>ROUND(Sheet1[[#This Row],[wat_bas_n]],0)</f>
        <v>64</v>
      </c>
      <c r="W412">
        <f>ROUND(Sheet1[[#This Row],[wat_bas_r]],0)</f>
        <v>47</v>
      </c>
      <c r="X412">
        <f>ROUND(Sheet1[[#This Row],[wat_bas_u]],0)</f>
        <v>88</v>
      </c>
      <c r="Y412" s="1" t="str">
        <f t="shared" si="16"/>
        <v>not full access</v>
      </c>
      <c r="Z412" s="1" t="str">
        <f t="shared" si="17"/>
        <v>not full access</v>
      </c>
      <c r="AA412" s="1" t="str">
        <f t="shared" si="18"/>
        <v>not full access</v>
      </c>
    </row>
    <row r="413" spans="1:27" hidden="1" x14ac:dyDescent="0.25">
      <c r="A413" s="1" t="s">
        <v>217</v>
      </c>
      <c r="B413">
        <v>2020</v>
      </c>
      <c r="C413">
        <v>8278.7373050000006</v>
      </c>
      <c r="D413">
        <v>42.799999239999998</v>
      </c>
      <c r="E413">
        <v>68.58372009</v>
      </c>
      <c r="F413">
        <v>6.065434765</v>
      </c>
      <c r="G413">
        <v>14.16432245</v>
      </c>
      <c r="H413">
        <v>11.18652269</v>
      </c>
      <c r="I413">
        <v>52.117552750000002</v>
      </c>
      <c r="J413">
        <v>8.1875420190000003</v>
      </c>
      <c r="K413">
        <v>20.7910842</v>
      </c>
      <c r="L413">
        <v>18.90382103</v>
      </c>
      <c r="M413">
        <v>90.589910009999997</v>
      </c>
      <c r="N413">
        <v>3.2293480560000001</v>
      </c>
      <c r="O413">
        <v>5.3079905280000004</v>
      </c>
      <c r="P413">
        <v>0.87275140490000003</v>
      </c>
      <c r="Q413">
        <v>5</v>
      </c>
      <c r="R413">
        <v>0.98931874799999941</v>
      </c>
      <c r="S413">
        <v>0.97507389400000055</v>
      </c>
      <c r="T413">
        <v>0.49251606199999848</v>
      </c>
      <c r="U413">
        <f>ABS(Sheet1[[#This Row],[ARC_r]]-Sheet1[[#This Row],[ARC_u]])</f>
        <v>0.48255783200000207</v>
      </c>
      <c r="V413">
        <f>ROUND(Sheet1[[#This Row],[wat_bas_n]],0)</f>
        <v>69</v>
      </c>
      <c r="W413">
        <f>ROUND(Sheet1[[#This Row],[wat_bas_r]],0)</f>
        <v>52</v>
      </c>
      <c r="X413">
        <f>ROUND(Sheet1[[#This Row],[wat_bas_u]],0)</f>
        <v>91</v>
      </c>
      <c r="Y413" s="1" t="str">
        <f t="shared" si="16"/>
        <v>not full access</v>
      </c>
      <c r="Z413" s="1" t="str">
        <f t="shared" si="17"/>
        <v>not full access</v>
      </c>
      <c r="AA413" s="1" t="str">
        <f t="shared" si="18"/>
        <v>not full access</v>
      </c>
    </row>
    <row r="414" spans="1:27" x14ac:dyDescent="0.25">
      <c r="A414" s="1" t="s">
        <v>84</v>
      </c>
      <c r="B414">
        <v>2015</v>
      </c>
      <c r="C414">
        <v>1.2469999789999999</v>
      </c>
      <c r="D414">
        <v>0</v>
      </c>
      <c r="E414">
        <v>99.457396000000003</v>
      </c>
      <c r="F414">
        <v>0</v>
      </c>
      <c r="G414">
        <v>0.54260399999999998</v>
      </c>
      <c r="H414">
        <v>0</v>
      </c>
      <c r="I414">
        <v>99.457396000000003</v>
      </c>
      <c r="J414">
        <v>0</v>
      </c>
      <c r="K414">
        <v>0.54260399999999998</v>
      </c>
      <c r="L414">
        <v>0</v>
      </c>
      <c r="U414">
        <f>ABS(Sheet1[[#This Row],[ARC_r]]-Sheet1[[#This Row],[ARC_u]])</f>
        <v>0</v>
      </c>
      <c r="V414">
        <f>ROUND(Sheet1[[#This Row],[wat_bas_n]],0)</f>
        <v>99</v>
      </c>
      <c r="W414">
        <f>ROUND(Sheet1[[#This Row],[wat_bas_r]],0)</f>
        <v>99</v>
      </c>
      <c r="X414">
        <f>ROUND(Sheet1[[#This Row],[wat_bas_u]],0)</f>
        <v>0</v>
      </c>
      <c r="Y414" s="1" t="str">
        <f t="shared" si="16"/>
        <v>full access</v>
      </c>
      <c r="Z414" s="1" t="str">
        <f t="shared" si="17"/>
        <v>full access</v>
      </c>
      <c r="AA414" s="1" t="str">
        <f t="shared" si="18"/>
        <v>not full access</v>
      </c>
    </row>
    <row r="415" spans="1:27" x14ac:dyDescent="0.25">
      <c r="A415" s="1" t="s">
        <v>84</v>
      </c>
      <c r="B415">
        <v>2020</v>
      </c>
      <c r="C415">
        <v>1.3500000240000001</v>
      </c>
      <c r="D415">
        <v>0</v>
      </c>
      <c r="E415">
        <v>99.707676649999996</v>
      </c>
      <c r="F415">
        <v>0</v>
      </c>
      <c r="G415">
        <v>0.29232334589999998</v>
      </c>
      <c r="H415">
        <v>0</v>
      </c>
      <c r="I415">
        <v>99.707676649999996</v>
      </c>
      <c r="J415">
        <v>0</v>
      </c>
      <c r="K415">
        <v>0.29232334589999998</v>
      </c>
      <c r="L415">
        <v>0</v>
      </c>
      <c r="Q415">
        <v>5</v>
      </c>
      <c r="R415">
        <v>5.0056129999998693E-2</v>
      </c>
      <c r="S415">
        <v>5.0056129999998693E-2</v>
      </c>
      <c r="U415">
        <f>ABS(Sheet1[[#This Row],[ARC_r]]-Sheet1[[#This Row],[ARC_u]])</f>
        <v>5.0056129999998693E-2</v>
      </c>
      <c r="V415">
        <f>ROUND(Sheet1[[#This Row],[wat_bas_n]],0)</f>
        <v>100</v>
      </c>
      <c r="W415">
        <f>ROUND(Sheet1[[#This Row],[wat_bas_r]],0)</f>
        <v>100</v>
      </c>
      <c r="X415">
        <f>ROUND(Sheet1[[#This Row],[wat_bas_u]],0)</f>
        <v>0</v>
      </c>
      <c r="Y415" s="1" t="str">
        <f t="shared" si="16"/>
        <v>full access</v>
      </c>
      <c r="Z415" s="1" t="str">
        <f t="shared" si="17"/>
        <v>full access</v>
      </c>
      <c r="AA415" s="1" t="str">
        <f t="shared" si="18"/>
        <v>not full access</v>
      </c>
    </row>
    <row r="416" spans="1:27" hidden="1" x14ac:dyDescent="0.25">
      <c r="A416" s="1" t="s">
        <v>108</v>
      </c>
      <c r="B416">
        <v>2015</v>
      </c>
      <c r="C416">
        <v>100.7799988</v>
      </c>
      <c r="D416">
        <v>23.274999619999999</v>
      </c>
      <c r="E416">
        <v>98.549705349999996</v>
      </c>
      <c r="F416">
        <v>0.87898212229999995</v>
      </c>
      <c r="G416">
        <v>0.57131252860000004</v>
      </c>
      <c r="H416">
        <v>0</v>
      </c>
      <c r="I416">
        <v>98.393048230000005</v>
      </c>
      <c r="J416">
        <v>1.1023191240000001</v>
      </c>
      <c r="K416">
        <v>0.50463264750000003</v>
      </c>
      <c r="L416">
        <v>0</v>
      </c>
      <c r="M416">
        <v>99.066110559999998</v>
      </c>
      <c r="N416">
        <v>0.14276156700000001</v>
      </c>
      <c r="O416">
        <v>0.79112787279999996</v>
      </c>
      <c r="P416">
        <v>0</v>
      </c>
      <c r="U416">
        <f>ABS(Sheet1[[#This Row],[ARC_r]]-Sheet1[[#This Row],[ARC_u]])</f>
        <v>0</v>
      </c>
      <c r="V416">
        <f>ROUND(Sheet1[[#This Row],[wat_bas_n]],0)</f>
        <v>99</v>
      </c>
      <c r="W416">
        <f>ROUND(Sheet1[[#This Row],[wat_bas_r]],0)</f>
        <v>98</v>
      </c>
      <c r="X416">
        <f>ROUND(Sheet1[[#This Row],[wat_bas_u]],0)</f>
        <v>99</v>
      </c>
      <c r="Y416" s="1" t="str">
        <f t="shared" si="16"/>
        <v>not full access</v>
      </c>
      <c r="Z416" s="1" t="str">
        <f t="shared" si="17"/>
        <v>not full access</v>
      </c>
      <c r="AA416" s="1" t="str">
        <f t="shared" si="18"/>
        <v>full access</v>
      </c>
    </row>
    <row r="417" spans="1:27" hidden="1" x14ac:dyDescent="0.25">
      <c r="A417" s="1" t="s">
        <v>108</v>
      </c>
      <c r="B417">
        <v>2020</v>
      </c>
      <c r="C417">
        <v>105.6969986</v>
      </c>
      <c r="D417">
        <v>23.098999020000001</v>
      </c>
      <c r="E417">
        <v>98.731080829999996</v>
      </c>
      <c r="F417">
        <v>0.88149729619999995</v>
      </c>
      <c r="G417">
        <v>0.38742187769999997</v>
      </c>
      <c r="H417">
        <v>0</v>
      </c>
      <c r="I417">
        <v>98.468078539999993</v>
      </c>
      <c r="J417">
        <v>1.103159706</v>
      </c>
      <c r="K417">
        <v>0.42876175509999997</v>
      </c>
      <c r="L417">
        <v>0</v>
      </c>
      <c r="M417">
        <v>99.606658190000005</v>
      </c>
      <c r="N417">
        <v>0.143540536</v>
      </c>
      <c r="O417">
        <v>0.2498012758</v>
      </c>
      <c r="P417">
        <v>0</v>
      </c>
      <c r="Q417">
        <v>5</v>
      </c>
      <c r="R417">
        <v>3.6275095999999972E-2</v>
      </c>
      <c r="S417">
        <v>1.500606199999766E-2</v>
      </c>
      <c r="T417">
        <v>0.1081095260000012</v>
      </c>
      <c r="U417">
        <f>ABS(Sheet1[[#This Row],[ARC_r]]-Sheet1[[#This Row],[ARC_u]])</f>
        <v>9.310346400000355E-2</v>
      </c>
      <c r="V417">
        <f>ROUND(Sheet1[[#This Row],[wat_bas_n]],0)</f>
        <v>99</v>
      </c>
      <c r="W417">
        <f>ROUND(Sheet1[[#This Row],[wat_bas_r]],0)</f>
        <v>98</v>
      </c>
      <c r="X417">
        <f>ROUND(Sheet1[[#This Row],[wat_bas_u]],0)</f>
        <v>100</v>
      </c>
      <c r="Y417" s="1" t="str">
        <f t="shared" si="16"/>
        <v>not full access</v>
      </c>
      <c r="Z417" s="1" t="str">
        <f t="shared" si="17"/>
        <v>not full access</v>
      </c>
      <c r="AA417" s="1" t="str">
        <f t="shared" si="18"/>
        <v>full access</v>
      </c>
    </row>
    <row r="418" spans="1:27" hidden="1" x14ac:dyDescent="0.25">
      <c r="A418" s="1" t="s">
        <v>105</v>
      </c>
      <c r="B418">
        <v>2015</v>
      </c>
      <c r="C418">
        <v>1370.3320309999999</v>
      </c>
      <c r="D418">
        <v>53.319000240000001</v>
      </c>
      <c r="E418">
        <v>98.136177649999993</v>
      </c>
      <c r="F418">
        <v>1.1164222559999999</v>
      </c>
      <c r="G418">
        <v>0.56928192339999995</v>
      </c>
      <c r="H418">
        <v>0.17811817260000001</v>
      </c>
      <c r="U418">
        <f>ABS(Sheet1[[#This Row],[ARC_r]]-Sheet1[[#This Row],[ARC_u]])</f>
        <v>0</v>
      </c>
      <c r="V418">
        <f>ROUND(Sheet1[[#This Row],[wat_bas_n]],0)</f>
        <v>98</v>
      </c>
      <c r="W418">
        <f>ROUND(Sheet1[[#This Row],[wat_bas_r]],0)</f>
        <v>0</v>
      </c>
      <c r="X418">
        <f>ROUND(Sheet1[[#This Row],[wat_bas_u]],0)</f>
        <v>0</v>
      </c>
      <c r="Y418" s="1" t="str">
        <f t="shared" si="16"/>
        <v>not full access</v>
      </c>
      <c r="Z418" s="1" t="str">
        <f t="shared" si="17"/>
        <v>not full access</v>
      </c>
      <c r="AA418" s="1" t="str">
        <f t="shared" si="18"/>
        <v>not full access</v>
      </c>
    </row>
    <row r="419" spans="1:27" hidden="1" x14ac:dyDescent="0.25">
      <c r="A419" s="1" t="s">
        <v>105</v>
      </c>
      <c r="B419">
        <v>2020</v>
      </c>
      <c r="C419">
        <v>1399.490967</v>
      </c>
      <c r="D419">
        <v>53.2140007</v>
      </c>
      <c r="E419">
        <v>98.875170769999997</v>
      </c>
      <c r="F419">
        <v>1.1248292310000001</v>
      </c>
      <c r="G419">
        <v>0</v>
      </c>
      <c r="H419">
        <v>0</v>
      </c>
      <c r="Q419">
        <v>5</v>
      </c>
      <c r="R419">
        <v>0.14779862400000071</v>
      </c>
      <c r="U419">
        <f>ABS(Sheet1[[#This Row],[ARC_r]]-Sheet1[[#This Row],[ARC_u]])</f>
        <v>0</v>
      </c>
      <c r="V419">
        <f>ROUND(Sheet1[[#This Row],[wat_bas_n]],0)</f>
        <v>99</v>
      </c>
      <c r="W419">
        <f>ROUND(Sheet1[[#This Row],[wat_bas_r]],0)</f>
        <v>0</v>
      </c>
      <c r="X419">
        <f>ROUND(Sheet1[[#This Row],[wat_bas_u]],0)</f>
        <v>0</v>
      </c>
      <c r="Y419" s="1" t="str">
        <f t="shared" si="16"/>
        <v>not full access</v>
      </c>
      <c r="Z419" s="1" t="str">
        <f t="shared" si="17"/>
        <v>not full access</v>
      </c>
      <c r="AA419" s="1" t="str">
        <f t="shared" si="18"/>
        <v>not full access</v>
      </c>
    </row>
    <row r="420" spans="1:27" hidden="1" x14ac:dyDescent="0.25">
      <c r="A420" s="1" t="s">
        <v>124</v>
      </c>
      <c r="B420">
        <v>2015</v>
      </c>
      <c r="C420">
        <v>11179.95117</v>
      </c>
      <c r="D420">
        <v>68.055999760000006</v>
      </c>
      <c r="E420">
        <v>94.845455099999995</v>
      </c>
      <c r="F420">
        <v>2.9001003930000002</v>
      </c>
      <c r="G420">
        <v>2.1791030770000002</v>
      </c>
      <c r="H420">
        <v>7.5341425109999999E-2</v>
      </c>
      <c r="I420">
        <v>85.59067297</v>
      </c>
      <c r="J420">
        <v>7.6364837000000003</v>
      </c>
      <c r="K420">
        <v>6.5369886399999997</v>
      </c>
      <c r="L420">
        <v>0.23585469070000001</v>
      </c>
      <c r="M420">
        <v>99.189447939999994</v>
      </c>
      <c r="N420">
        <v>0.67694539840000001</v>
      </c>
      <c r="O420">
        <v>0.13360666639999999</v>
      </c>
      <c r="P420">
        <v>0</v>
      </c>
      <c r="U420">
        <f>ABS(Sheet1[[#This Row],[ARC_r]]-Sheet1[[#This Row],[ARC_u]])</f>
        <v>0</v>
      </c>
      <c r="V420">
        <f>ROUND(Sheet1[[#This Row],[wat_bas_n]],0)</f>
        <v>95</v>
      </c>
      <c r="W420">
        <f>ROUND(Sheet1[[#This Row],[wat_bas_r]],0)</f>
        <v>86</v>
      </c>
      <c r="X420">
        <f>ROUND(Sheet1[[#This Row],[wat_bas_u]],0)</f>
        <v>99</v>
      </c>
      <c r="Y420" s="1" t="str">
        <f t="shared" si="16"/>
        <v>not full access</v>
      </c>
      <c r="Z420" s="1" t="str">
        <f t="shared" si="17"/>
        <v>not full access</v>
      </c>
      <c r="AA420" s="1" t="str">
        <f t="shared" si="18"/>
        <v>full access</v>
      </c>
    </row>
    <row r="421" spans="1:27" hidden="1" x14ac:dyDescent="0.25">
      <c r="A421" s="1" t="s">
        <v>124</v>
      </c>
      <c r="B421">
        <v>2020</v>
      </c>
      <c r="C421">
        <v>11818.61816</v>
      </c>
      <c r="D421">
        <v>69.568000789999999</v>
      </c>
      <c r="E421">
        <v>97.54330899</v>
      </c>
      <c r="F421">
        <v>1.63135067</v>
      </c>
      <c r="G421">
        <v>0.82534033780000005</v>
      </c>
      <c r="H421">
        <v>0</v>
      </c>
      <c r="I421">
        <v>93.936231930000005</v>
      </c>
      <c r="J421">
        <v>3.3516873569999999</v>
      </c>
      <c r="K421">
        <v>2.71208071</v>
      </c>
      <c r="L421">
        <v>0</v>
      </c>
      <c r="M421">
        <v>99.121197629999998</v>
      </c>
      <c r="N421">
        <v>0.87880236840000003</v>
      </c>
      <c r="O421">
        <v>0</v>
      </c>
      <c r="P421">
        <v>0</v>
      </c>
      <c r="Q421">
        <v>5</v>
      </c>
      <c r="R421">
        <v>0.53957077800000097</v>
      </c>
      <c r="S421">
        <v>1.6691117920000009</v>
      </c>
      <c r="T421">
        <v>-1.365006199999925E-2</v>
      </c>
      <c r="U421">
        <f>ABS(Sheet1[[#This Row],[ARC_r]]-Sheet1[[#This Row],[ARC_u]])</f>
        <v>1.6827618540000002</v>
      </c>
      <c r="V421">
        <f>ROUND(Sheet1[[#This Row],[wat_bas_n]],0)</f>
        <v>98</v>
      </c>
      <c r="W421">
        <f>ROUND(Sheet1[[#This Row],[wat_bas_r]],0)</f>
        <v>94</v>
      </c>
      <c r="X421">
        <f>ROUND(Sheet1[[#This Row],[wat_bas_u]],0)</f>
        <v>99</v>
      </c>
      <c r="Y421" s="1" t="str">
        <f t="shared" si="16"/>
        <v>not full access</v>
      </c>
      <c r="Z421" s="1" t="str">
        <f t="shared" si="17"/>
        <v>not full access</v>
      </c>
      <c r="AA421" s="1" t="str">
        <f t="shared" si="18"/>
        <v>full access</v>
      </c>
    </row>
    <row r="422" spans="1:27" hidden="1" x14ac:dyDescent="0.25">
      <c r="A422" s="1" t="s">
        <v>132</v>
      </c>
      <c r="B422">
        <v>2015</v>
      </c>
      <c r="C422">
        <v>78529.414059999996</v>
      </c>
      <c r="D422">
        <v>73.611000059999995</v>
      </c>
      <c r="E422">
        <v>96.256159120000007</v>
      </c>
      <c r="F422">
        <v>2.0267476019999999</v>
      </c>
      <c r="G422">
        <v>1.5188707130000001</v>
      </c>
      <c r="H422">
        <v>0.1982225671</v>
      </c>
      <c r="I422">
        <v>94.203882989999997</v>
      </c>
      <c r="J422">
        <v>2.6336569440000002</v>
      </c>
      <c r="K422">
        <v>2.7404600640000001</v>
      </c>
      <c r="L422">
        <v>0.42199999999999999</v>
      </c>
      <c r="M422">
        <v>96.99188504</v>
      </c>
      <c r="N422">
        <v>1.8091750579999999</v>
      </c>
      <c r="O422">
        <v>1.080939898</v>
      </c>
      <c r="P422">
        <v>0.11799999999999999</v>
      </c>
      <c r="U422">
        <f>ABS(Sheet1[[#This Row],[ARC_r]]-Sheet1[[#This Row],[ARC_u]])</f>
        <v>0</v>
      </c>
      <c r="V422">
        <f>ROUND(Sheet1[[#This Row],[wat_bas_n]],0)</f>
        <v>96</v>
      </c>
      <c r="W422">
        <f>ROUND(Sheet1[[#This Row],[wat_bas_r]],0)</f>
        <v>94</v>
      </c>
      <c r="X422">
        <f>ROUND(Sheet1[[#This Row],[wat_bas_u]],0)</f>
        <v>97</v>
      </c>
      <c r="Y422" s="1" t="str">
        <f t="shared" si="16"/>
        <v>not full access</v>
      </c>
      <c r="Z422" s="1" t="str">
        <f t="shared" si="17"/>
        <v>not full access</v>
      </c>
      <c r="AA422" s="1" t="str">
        <f t="shared" si="18"/>
        <v>not full access</v>
      </c>
    </row>
    <row r="423" spans="1:27" hidden="1" x14ac:dyDescent="0.25">
      <c r="A423" s="1" t="s">
        <v>132</v>
      </c>
      <c r="B423">
        <v>2020</v>
      </c>
      <c r="C423">
        <v>84339.070309999996</v>
      </c>
      <c r="D423">
        <v>76.105003359999998</v>
      </c>
      <c r="E423">
        <v>97.014269159999998</v>
      </c>
      <c r="F423">
        <v>2.0230780749999999</v>
      </c>
      <c r="G423">
        <v>0.73767495449999998</v>
      </c>
      <c r="H423">
        <v>0.2249778093</v>
      </c>
      <c r="I423">
        <v>96.025169770000005</v>
      </c>
      <c r="J423">
        <v>2.684574639</v>
      </c>
      <c r="K423">
        <v>0.78825559109999999</v>
      </c>
      <c r="L423">
        <v>0.502</v>
      </c>
      <c r="M423">
        <v>97.324817830000001</v>
      </c>
      <c r="N423">
        <v>1.8153852029999999</v>
      </c>
      <c r="O423">
        <v>0.72179696339999999</v>
      </c>
      <c r="P423">
        <v>0.13800000000000001</v>
      </c>
      <c r="Q423">
        <v>5</v>
      </c>
      <c r="R423">
        <v>0.1516220079999982</v>
      </c>
      <c r="S423">
        <v>0.36425735600000159</v>
      </c>
      <c r="T423">
        <v>6.6586558000000198E-2</v>
      </c>
      <c r="U423">
        <f>ABS(Sheet1[[#This Row],[ARC_r]]-Sheet1[[#This Row],[ARC_u]])</f>
        <v>0.2976707980000014</v>
      </c>
      <c r="V423">
        <f>ROUND(Sheet1[[#This Row],[wat_bas_n]],0)</f>
        <v>97</v>
      </c>
      <c r="W423">
        <f>ROUND(Sheet1[[#This Row],[wat_bas_r]],0)</f>
        <v>96</v>
      </c>
      <c r="X423">
        <f>ROUND(Sheet1[[#This Row],[wat_bas_u]],0)</f>
        <v>97</v>
      </c>
      <c r="Y423" s="1" t="str">
        <f t="shared" si="16"/>
        <v>not full access</v>
      </c>
      <c r="Z423" s="1" t="str">
        <f t="shared" si="17"/>
        <v>not full access</v>
      </c>
      <c r="AA423" s="1" t="str">
        <f t="shared" si="18"/>
        <v>not full access</v>
      </c>
    </row>
    <row r="424" spans="1:27" hidden="1" x14ac:dyDescent="0.25">
      <c r="A424" s="1" t="s">
        <v>47</v>
      </c>
      <c r="B424">
        <v>2015</v>
      </c>
      <c r="C424">
        <v>5565.283203</v>
      </c>
      <c r="D424">
        <v>50.317001339999997</v>
      </c>
      <c r="E424">
        <v>97.658944309999995</v>
      </c>
      <c r="F424">
        <v>0.94791505470000004</v>
      </c>
      <c r="G424">
        <v>0.24775003200000001</v>
      </c>
      <c r="H424">
        <v>1.1453906060000001</v>
      </c>
      <c r="I424">
        <v>96.219783160000006</v>
      </c>
      <c r="J424">
        <v>1.0009544290000001</v>
      </c>
      <c r="K424">
        <v>0.47386486500000002</v>
      </c>
      <c r="L424">
        <v>2.305397551</v>
      </c>
      <c r="M424">
        <v>99.079971720000003</v>
      </c>
      <c r="N424">
        <v>0.89554398800000001</v>
      </c>
      <c r="O424">
        <v>2.4484294899999998E-2</v>
      </c>
      <c r="P424">
        <v>0</v>
      </c>
      <c r="U424">
        <f>ABS(Sheet1[[#This Row],[ARC_r]]-Sheet1[[#This Row],[ARC_u]])</f>
        <v>0</v>
      </c>
      <c r="V424">
        <f>ROUND(Sheet1[[#This Row],[wat_bas_n]],0)</f>
        <v>98</v>
      </c>
      <c r="W424">
        <f>ROUND(Sheet1[[#This Row],[wat_bas_r]],0)</f>
        <v>96</v>
      </c>
      <c r="X424">
        <f>ROUND(Sheet1[[#This Row],[wat_bas_u]],0)</f>
        <v>99</v>
      </c>
      <c r="Y424" s="1" t="str">
        <f t="shared" si="16"/>
        <v>not full access</v>
      </c>
      <c r="Z424" s="1" t="str">
        <f t="shared" si="17"/>
        <v>not full access</v>
      </c>
      <c r="AA424" s="1" t="str">
        <f t="shared" si="18"/>
        <v>full access</v>
      </c>
    </row>
    <row r="425" spans="1:27" hidden="1" x14ac:dyDescent="0.25">
      <c r="A425" s="1" t="s">
        <v>47</v>
      </c>
      <c r="B425">
        <v>2020</v>
      </c>
      <c r="C425">
        <v>6031.1870120000003</v>
      </c>
      <c r="D425">
        <v>52.516002659999998</v>
      </c>
      <c r="E425">
        <v>100</v>
      </c>
      <c r="F425">
        <v>0</v>
      </c>
      <c r="G425">
        <v>0</v>
      </c>
      <c r="H425">
        <v>0</v>
      </c>
      <c r="I425">
        <v>100</v>
      </c>
      <c r="J425">
        <v>0</v>
      </c>
      <c r="K425">
        <v>0</v>
      </c>
      <c r="L425">
        <v>0</v>
      </c>
      <c r="M425">
        <v>100</v>
      </c>
      <c r="N425">
        <v>0</v>
      </c>
      <c r="O425">
        <v>0</v>
      </c>
      <c r="P425">
        <v>0</v>
      </c>
      <c r="Q425">
        <v>5</v>
      </c>
      <c r="R425">
        <v>0.46821113800000091</v>
      </c>
      <c r="S425">
        <v>0.75604336799999883</v>
      </c>
      <c r="T425">
        <v>0.18400565599999941</v>
      </c>
      <c r="U425">
        <f>ABS(Sheet1[[#This Row],[ARC_r]]-Sheet1[[#This Row],[ARC_u]])</f>
        <v>0.57203771199999942</v>
      </c>
      <c r="V425">
        <f>ROUND(Sheet1[[#This Row],[wat_bas_n]],0)</f>
        <v>100</v>
      </c>
      <c r="W425">
        <f>ROUND(Sheet1[[#This Row],[wat_bas_r]],0)</f>
        <v>100</v>
      </c>
      <c r="X425">
        <f>ROUND(Sheet1[[#This Row],[wat_bas_u]],0)</f>
        <v>100</v>
      </c>
      <c r="Y425" s="1" t="str">
        <f t="shared" si="16"/>
        <v>not full access</v>
      </c>
      <c r="Z425" s="1" t="str">
        <f t="shared" si="17"/>
        <v>not full access</v>
      </c>
      <c r="AA425" s="1" t="str">
        <f t="shared" si="18"/>
        <v>full access</v>
      </c>
    </row>
    <row r="426" spans="1:27" hidden="1" x14ac:dyDescent="0.25">
      <c r="A426" s="1" t="s">
        <v>160</v>
      </c>
      <c r="B426">
        <v>2015</v>
      </c>
      <c r="C426">
        <v>35.97900009</v>
      </c>
      <c r="D426">
        <v>92.194992069999998</v>
      </c>
      <c r="E426">
        <v>94.318181820000007</v>
      </c>
      <c r="F426">
        <v>0</v>
      </c>
      <c r="G426">
        <v>5.6818181819999998</v>
      </c>
      <c r="H426">
        <v>0</v>
      </c>
      <c r="U426">
        <f>ABS(Sheet1[[#This Row],[ARC_r]]-Sheet1[[#This Row],[ARC_u]])</f>
        <v>0</v>
      </c>
      <c r="V426">
        <f>ROUND(Sheet1[[#This Row],[wat_bas_n]],0)</f>
        <v>94</v>
      </c>
      <c r="W426">
        <f>ROUND(Sheet1[[#This Row],[wat_bas_r]],0)</f>
        <v>0</v>
      </c>
      <c r="X426">
        <f>ROUND(Sheet1[[#This Row],[wat_bas_u]],0)</f>
        <v>0</v>
      </c>
      <c r="Y426" s="1" t="str">
        <f t="shared" si="16"/>
        <v>not full access</v>
      </c>
      <c r="Z426" s="1" t="str">
        <f t="shared" si="17"/>
        <v>not full access</v>
      </c>
      <c r="AA426" s="1" t="str">
        <f t="shared" si="18"/>
        <v>not full access</v>
      </c>
    </row>
    <row r="427" spans="1:27" hidden="1" x14ac:dyDescent="0.25">
      <c r="A427" s="1" t="s">
        <v>160</v>
      </c>
      <c r="B427">
        <v>2018</v>
      </c>
      <c r="C427">
        <v>37.666999820000001</v>
      </c>
      <c r="D427">
        <v>93.097999569999999</v>
      </c>
      <c r="E427">
        <v>94.318181820000007</v>
      </c>
      <c r="F427">
        <v>0</v>
      </c>
      <c r="G427">
        <v>5.6818181819999998</v>
      </c>
      <c r="H427">
        <v>0</v>
      </c>
      <c r="Q427">
        <v>3</v>
      </c>
      <c r="R427">
        <v>0</v>
      </c>
      <c r="U427">
        <f>ABS(Sheet1[[#This Row],[ARC_r]]-Sheet1[[#This Row],[ARC_u]])</f>
        <v>0</v>
      </c>
      <c r="V427">
        <f>ROUND(Sheet1[[#This Row],[wat_bas_n]],0)</f>
        <v>94</v>
      </c>
      <c r="W427">
        <f>ROUND(Sheet1[[#This Row],[wat_bas_r]],0)</f>
        <v>0</v>
      </c>
      <c r="X427">
        <f>ROUND(Sheet1[[#This Row],[wat_bas_u]],0)</f>
        <v>0</v>
      </c>
      <c r="Y427" s="1" t="str">
        <f t="shared" si="16"/>
        <v>not full access</v>
      </c>
      <c r="Z427" s="1" t="str">
        <f t="shared" si="17"/>
        <v>not full access</v>
      </c>
      <c r="AA427" s="1" t="str">
        <f t="shared" si="18"/>
        <v>not full access</v>
      </c>
    </row>
    <row r="428" spans="1:27" x14ac:dyDescent="0.25">
      <c r="A428" s="1" t="s">
        <v>33</v>
      </c>
      <c r="B428">
        <v>2015</v>
      </c>
      <c r="C428">
        <v>11.09899998</v>
      </c>
      <c r="D428">
        <v>59.729999540000001</v>
      </c>
      <c r="E428">
        <v>100</v>
      </c>
      <c r="F428">
        <v>0</v>
      </c>
      <c r="G428">
        <v>0</v>
      </c>
      <c r="H428">
        <v>0</v>
      </c>
      <c r="I428">
        <v>100</v>
      </c>
      <c r="J428">
        <v>0</v>
      </c>
      <c r="K428">
        <v>0</v>
      </c>
      <c r="L428">
        <v>0</v>
      </c>
      <c r="M428">
        <v>100</v>
      </c>
      <c r="N428">
        <v>0</v>
      </c>
      <c r="O428">
        <v>0</v>
      </c>
      <c r="P428">
        <v>0</v>
      </c>
      <c r="U428">
        <f>ABS(Sheet1[[#This Row],[ARC_r]]-Sheet1[[#This Row],[ARC_u]])</f>
        <v>0</v>
      </c>
      <c r="V428">
        <f>ROUND(Sheet1[[#This Row],[wat_bas_n]],0)</f>
        <v>100</v>
      </c>
      <c r="W428">
        <f>ROUND(Sheet1[[#This Row],[wat_bas_r]],0)</f>
        <v>100</v>
      </c>
      <c r="X428">
        <f>ROUND(Sheet1[[#This Row],[wat_bas_u]],0)</f>
        <v>100</v>
      </c>
      <c r="Y428" s="1" t="str">
        <f t="shared" si="16"/>
        <v>full access</v>
      </c>
      <c r="Z428" s="1" t="str">
        <f t="shared" si="17"/>
        <v>full access</v>
      </c>
      <c r="AA428" s="1" t="str">
        <f t="shared" si="18"/>
        <v>full access</v>
      </c>
    </row>
    <row r="429" spans="1:27" x14ac:dyDescent="0.25">
      <c r="A429" s="1" t="s">
        <v>33</v>
      </c>
      <c r="B429">
        <v>2020</v>
      </c>
      <c r="C429">
        <v>11.791999819999999</v>
      </c>
      <c r="D429">
        <v>64.013999940000005</v>
      </c>
      <c r="E429">
        <v>100</v>
      </c>
      <c r="F429">
        <v>0</v>
      </c>
      <c r="G429">
        <v>0</v>
      </c>
      <c r="H429">
        <v>0</v>
      </c>
      <c r="I429">
        <v>100</v>
      </c>
      <c r="J429">
        <v>0</v>
      </c>
      <c r="K429">
        <v>0</v>
      </c>
      <c r="L429">
        <v>0</v>
      </c>
      <c r="M429">
        <v>100</v>
      </c>
      <c r="N429">
        <v>0</v>
      </c>
      <c r="O429">
        <v>0</v>
      </c>
      <c r="P429">
        <v>0</v>
      </c>
      <c r="Q429">
        <v>5</v>
      </c>
      <c r="R429">
        <v>0</v>
      </c>
      <c r="S429">
        <v>0</v>
      </c>
      <c r="T429">
        <v>0</v>
      </c>
      <c r="U429">
        <f>ABS(Sheet1[[#This Row],[ARC_r]]-Sheet1[[#This Row],[ARC_u]])</f>
        <v>0</v>
      </c>
      <c r="V429">
        <f>ROUND(Sheet1[[#This Row],[wat_bas_n]],0)</f>
        <v>100</v>
      </c>
      <c r="W429">
        <f>ROUND(Sheet1[[#This Row],[wat_bas_r]],0)</f>
        <v>100</v>
      </c>
      <c r="X429">
        <f>ROUND(Sheet1[[#This Row],[wat_bas_u]],0)</f>
        <v>100</v>
      </c>
      <c r="Y429" s="1" t="str">
        <f t="shared" si="16"/>
        <v>full access</v>
      </c>
      <c r="Z429" s="1" t="str">
        <f t="shared" si="17"/>
        <v>full access</v>
      </c>
      <c r="AA429" s="1" t="str">
        <f t="shared" si="18"/>
        <v>full access</v>
      </c>
    </row>
    <row r="430" spans="1:27" hidden="1" x14ac:dyDescent="0.25">
      <c r="A430" s="1" t="s">
        <v>236</v>
      </c>
      <c r="B430">
        <v>2015</v>
      </c>
      <c r="C430">
        <v>38225.445310000003</v>
      </c>
      <c r="D430">
        <v>22.059999470000001</v>
      </c>
      <c r="E430">
        <v>47.841558360000001</v>
      </c>
      <c r="F430">
        <v>30.095403770000001</v>
      </c>
      <c r="G430">
        <v>15.106768450000001</v>
      </c>
      <c r="H430">
        <v>6.9562694199999999</v>
      </c>
      <c r="I430">
        <v>39.717003130000002</v>
      </c>
      <c r="J430">
        <v>34.176563299999998</v>
      </c>
      <c r="K430">
        <v>17.519117219999998</v>
      </c>
      <c r="L430">
        <v>8.5873163479999999</v>
      </c>
      <c r="M430">
        <v>76.546356090000003</v>
      </c>
      <c r="N430">
        <v>15.67629339</v>
      </c>
      <c r="O430">
        <v>6.5837192800000004</v>
      </c>
      <c r="P430">
        <v>1.1936312419999999</v>
      </c>
      <c r="U430">
        <f>ABS(Sheet1[[#This Row],[ARC_r]]-Sheet1[[#This Row],[ARC_u]])</f>
        <v>0</v>
      </c>
      <c r="V430">
        <f>ROUND(Sheet1[[#This Row],[wat_bas_n]],0)</f>
        <v>48</v>
      </c>
      <c r="W430">
        <f>ROUND(Sheet1[[#This Row],[wat_bas_r]],0)</f>
        <v>40</v>
      </c>
      <c r="X430">
        <f>ROUND(Sheet1[[#This Row],[wat_bas_u]],0)</f>
        <v>77</v>
      </c>
      <c r="Y430" s="1" t="str">
        <f t="shared" si="16"/>
        <v>not full access</v>
      </c>
      <c r="Z430" s="1" t="str">
        <f t="shared" si="17"/>
        <v>not full access</v>
      </c>
      <c r="AA430" s="1" t="str">
        <f t="shared" si="18"/>
        <v>not full access</v>
      </c>
    </row>
    <row r="431" spans="1:27" hidden="1" x14ac:dyDescent="0.25">
      <c r="A431" s="1" t="s">
        <v>236</v>
      </c>
      <c r="B431">
        <v>2020</v>
      </c>
      <c r="C431">
        <v>45741</v>
      </c>
      <c r="D431">
        <v>24.95400047</v>
      </c>
      <c r="E431">
        <v>55.855049209999997</v>
      </c>
      <c r="F431">
        <v>27.282859999999999</v>
      </c>
      <c r="G431">
        <v>12.16590654</v>
      </c>
      <c r="H431">
        <v>4.6961842520000001</v>
      </c>
      <c r="I431">
        <v>48.231189579999999</v>
      </c>
      <c r="J431">
        <v>31.784694259999998</v>
      </c>
      <c r="K431">
        <v>14.076160610000001</v>
      </c>
      <c r="L431">
        <v>5.9079555460000002</v>
      </c>
      <c r="M431">
        <v>78.782851800000003</v>
      </c>
      <c r="N431">
        <v>13.74416783</v>
      </c>
      <c r="O431">
        <v>6.4210441329999997</v>
      </c>
      <c r="P431">
        <v>1.0519362379999999</v>
      </c>
      <c r="Q431">
        <v>5</v>
      </c>
      <c r="R431">
        <v>1.6026981699999989</v>
      </c>
      <c r="S431">
        <v>1.7028372899999991</v>
      </c>
      <c r="T431">
        <v>0.44729914199999998</v>
      </c>
      <c r="U431">
        <f>ABS(Sheet1[[#This Row],[ARC_r]]-Sheet1[[#This Row],[ARC_u]])</f>
        <v>1.255538147999999</v>
      </c>
      <c r="V431">
        <f>ROUND(Sheet1[[#This Row],[wat_bas_n]],0)</f>
        <v>56</v>
      </c>
      <c r="W431">
        <f>ROUND(Sheet1[[#This Row],[wat_bas_r]],0)</f>
        <v>48</v>
      </c>
      <c r="X431">
        <f>ROUND(Sheet1[[#This Row],[wat_bas_u]],0)</f>
        <v>79</v>
      </c>
      <c r="Y431" s="1" t="str">
        <f t="shared" si="16"/>
        <v>not full access</v>
      </c>
      <c r="Z431" s="1" t="str">
        <f t="shared" si="17"/>
        <v>not full access</v>
      </c>
      <c r="AA431" s="1" t="str">
        <f t="shared" si="18"/>
        <v>not full access</v>
      </c>
    </row>
    <row r="432" spans="1:27" hidden="1" x14ac:dyDescent="0.25">
      <c r="A432" s="1" t="s">
        <v>166</v>
      </c>
      <c r="B432">
        <v>2015</v>
      </c>
      <c r="C432">
        <v>44921.636720000002</v>
      </c>
      <c r="D432">
        <v>69.061004639999993</v>
      </c>
      <c r="E432">
        <v>93.65690669</v>
      </c>
      <c r="F432">
        <v>5.6308737229999997</v>
      </c>
      <c r="G432">
        <v>0.4364563488</v>
      </c>
      <c r="H432">
        <v>0.27576323949999998</v>
      </c>
      <c r="I432">
        <v>98.843111609999994</v>
      </c>
      <c r="J432">
        <v>0</v>
      </c>
      <c r="K432">
        <v>0.944405312</v>
      </c>
      <c r="L432">
        <v>0.21248308169999999</v>
      </c>
      <c r="M432">
        <v>91.333508530000003</v>
      </c>
      <c r="N432">
        <v>8.1534782769999996</v>
      </c>
      <c r="O432">
        <v>0.20890075559999999</v>
      </c>
      <c r="P432">
        <v>0.30411244139999999</v>
      </c>
      <c r="U432">
        <f>ABS(Sheet1[[#This Row],[ARC_r]]-Sheet1[[#This Row],[ARC_u]])</f>
        <v>0</v>
      </c>
      <c r="V432">
        <f>ROUND(Sheet1[[#This Row],[wat_bas_n]],0)</f>
        <v>94</v>
      </c>
      <c r="W432">
        <f>ROUND(Sheet1[[#This Row],[wat_bas_r]],0)</f>
        <v>99</v>
      </c>
      <c r="X432">
        <f>ROUND(Sheet1[[#This Row],[wat_bas_u]],0)</f>
        <v>91</v>
      </c>
      <c r="Y432" s="1" t="str">
        <f t="shared" si="16"/>
        <v>not full access</v>
      </c>
      <c r="Z432" s="1" t="str">
        <f t="shared" si="17"/>
        <v>not full access</v>
      </c>
      <c r="AA432" s="1" t="str">
        <f t="shared" si="18"/>
        <v>not full access</v>
      </c>
    </row>
    <row r="433" spans="1:27" hidden="1" x14ac:dyDescent="0.25">
      <c r="A433" s="1" t="s">
        <v>166</v>
      </c>
      <c r="B433">
        <v>2020</v>
      </c>
      <c r="C433">
        <v>43733.757810000003</v>
      </c>
      <c r="D433">
        <v>69.608001709999996</v>
      </c>
      <c r="E433">
        <v>93.928281949999999</v>
      </c>
      <c r="F433">
        <v>5.671978717</v>
      </c>
      <c r="G433">
        <v>7.5904501289999995E-2</v>
      </c>
      <c r="H433">
        <v>0.32383483600000001</v>
      </c>
      <c r="I433">
        <v>100</v>
      </c>
      <c r="J433">
        <v>0</v>
      </c>
      <c r="K433">
        <v>0</v>
      </c>
      <c r="L433">
        <v>0</v>
      </c>
      <c r="M433">
        <v>91.277270110000003</v>
      </c>
      <c r="N433">
        <v>8.1484577900000001</v>
      </c>
      <c r="O433">
        <v>0.1090456533</v>
      </c>
      <c r="P433">
        <v>0.46522644460000001</v>
      </c>
      <c r="Q433">
        <v>5</v>
      </c>
      <c r="R433">
        <v>5.4275051999999838E-2</v>
      </c>
      <c r="S433">
        <v>0.2313776780000012</v>
      </c>
      <c r="T433">
        <v>-1.124768399999993E-2</v>
      </c>
      <c r="U433">
        <f>ABS(Sheet1[[#This Row],[ARC_r]]-Sheet1[[#This Row],[ARC_u]])</f>
        <v>0.24262536200000112</v>
      </c>
      <c r="V433">
        <f>ROUND(Sheet1[[#This Row],[wat_bas_n]],0)</f>
        <v>94</v>
      </c>
      <c r="W433">
        <f>ROUND(Sheet1[[#This Row],[wat_bas_r]],0)</f>
        <v>100</v>
      </c>
      <c r="X433">
        <f>ROUND(Sheet1[[#This Row],[wat_bas_u]],0)</f>
        <v>91</v>
      </c>
      <c r="Y433" s="1" t="str">
        <f t="shared" si="16"/>
        <v>not full access</v>
      </c>
      <c r="Z433" s="1" t="str">
        <f t="shared" si="17"/>
        <v>not full access</v>
      </c>
      <c r="AA433" s="1" t="str">
        <f t="shared" si="18"/>
        <v>not full access</v>
      </c>
    </row>
    <row r="434" spans="1:27" x14ac:dyDescent="0.25">
      <c r="A434" s="1" t="s">
        <v>60</v>
      </c>
      <c r="B434">
        <v>2015</v>
      </c>
      <c r="C434">
        <v>9262.8964840000008</v>
      </c>
      <c r="D434">
        <v>85.674003600000006</v>
      </c>
      <c r="E434">
        <v>99.971332469999993</v>
      </c>
      <c r="F434">
        <v>0</v>
      </c>
      <c r="G434">
        <v>2.8667534309999999E-2</v>
      </c>
      <c r="H434">
        <v>0</v>
      </c>
      <c r="U434">
        <f>ABS(Sheet1[[#This Row],[ARC_r]]-Sheet1[[#This Row],[ARC_u]])</f>
        <v>0</v>
      </c>
      <c r="V434">
        <f>ROUND(Sheet1[[#This Row],[wat_bas_n]],0)</f>
        <v>100</v>
      </c>
      <c r="W434">
        <f>ROUND(Sheet1[[#This Row],[wat_bas_r]],0)</f>
        <v>0</v>
      </c>
      <c r="X434">
        <f>ROUND(Sheet1[[#This Row],[wat_bas_u]],0)</f>
        <v>0</v>
      </c>
      <c r="Y434" s="1" t="str">
        <f t="shared" si="16"/>
        <v>full access</v>
      </c>
      <c r="Z434" s="1" t="str">
        <f t="shared" si="17"/>
        <v>not full access</v>
      </c>
      <c r="AA434" s="1" t="str">
        <f t="shared" si="18"/>
        <v>not full access</v>
      </c>
    </row>
    <row r="435" spans="1:27" x14ac:dyDescent="0.25">
      <c r="A435" s="1" t="s">
        <v>60</v>
      </c>
      <c r="B435">
        <v>2020</v>
      </c>
      <c r="C435">
        <v>9890.4003909999992</v>
      </c>
      <c r="D435">
        <v>87.047996519999998</v>
      </c>
      <c r="E435">
        <v>99.965596000000005</v>
      </c>
      <c r="F435">
        <v>0</v>
      </c>
      <c r="G435">
        <v>3.4403999999999997E-2</v>
      </c>
      <c r="H435">
        <v>0</v>
      </c>
      <c r="Q435">
        <v>5</v>
      </c>
      <c r="R435">
        <v>-1.147293999997601E-3</v>
      </c>
      <c r="U435">
        <f>ABS(Sheet1[[#This Row],[ARC_r]]-Sheet1[[#This Row],[ARC_u]])</f>
        <v>0</v>
      </c>
      <c r="V435">
        <f>ROUND(Sheet1[[#This Row],[wat_bas_n]],0)</f>
        <v>100</v>
      </c>
      <c r="W435">
        <f>ROUND(Sheet1[[#This Row],[wat_bas_r]],0)</f>
        <v>0</v>
      </c>
      <c r="X435">
        <f>ROUND(Sheet1[[#This Row],[wat_bas_u]],0)</f>
        <v>0</v>
      </c>
      <c r="Y435" s="1" t="str">
        <f t="shared" si="16"/>
        <v>full access</v>
      </c>
      <c r="Z435" s="1" t="str">
        <f t="shared" si="17"/>
        <v>not full access</v>
      </c>
      <c r="AA435" s="1" t="str">
        <f t="shared" si="18"/>
        <v>not full access</v>
      </c>
    </row>
    <row r="436" spans="1:27" x14ac:dyDescent="0.25">
      <c r="A436" s="1" t="s">
        <v>26</v>
      </c>
      <c r="B436">
        <v>2015</v>
      </c>
      <c r="C436">
        <v>65860.148440000004</v>
      </c>
      <c r="D436">
        <v>82.625999449999995</v>
      </c>
      <c r="E436">
        <v>100.0000015</v>
      </c>
      <c r="F436">
        <v>0</v>
      </c>
      <c r="G436">
        <v>0</v>
      </c>
      <c r="H436">
        <v>0</v>
      </c>
      <c r="I436">
        <v>100</v>
      </c>
      <c r="J436">
        <v>0</v>
      </c>
      <c r="K436">
        <v>0</v>
      </c>
      <c r="L436">
        <v>0</v>
      </c>
      <c r="M436">
        <v>100</v>
      </c>
      <c r="N436">
        <v>0</v>
      </c>
      <c r="O436">
        <v>0</v>
      </c>
      <c r="P436">
        <v>0</v>
      </c>
      <c r="U436">
        <f>ABS(Sheet1[[#This Row],[ARC_r]]-Sheet1[[#This Row],[ARC_u]])</f>
        <v>0</v>
      </c>
      <c r="V436">
        <f>ROUND(Sheet1[[#This Row],[wat_bas_n]],0)</f>
        <v>100</v>
      </c>
      <c r="W436">
        <f>ROUND(Sheet1[[#This Row],[wat_bas_r]],0)</f>
        <v>100</v>
      </c>
      <c r="X436">
        <f>ROUND(Sheet1[[#This Row],[wat_bas_u]],0)</f>
        <v>100</v>
      </c>
      <c r="Y436" s="1" t="str">
        <f t="shared" si="16"/>
        <v>full access</v>
      </c>
      <c r="Z436" s="1" t="str">
        <f t="shared" si="17"/>
        <v>full access</v>
      </c>
      <c r="AA436" s="1" t="str">
        <f t="shared" si="18"/>
        <v>full access</v>
      </c>
    </row>
    <row r="437" spans="1:27" x14ac:dyDescent="0.25">
      <c r="A437" s="1" t="s">
        <v>26</v>
      </c>
      <c r="B437">
        <v>2020</v>
      </c>
      <c r="C437">
        <v>67886.007809999996</v>
      </c>
      <c r="D437">
        <v>83.902999879999996</v>
      </c>
      <c r="E437">
        <v>99.999998559999995</v>
      </c>
      <c r="F437">
        <v>0</v>
      </c>
      <c r="G437">
        <v>1.4385328199999999E-6</v>
      </c>
      <c r="H437">
        <v>0</v>
      </c>
      <c r="I437">
        <v>100</v>
      </c>
      <c r="J437">
        <v>0</v>
      </c>
      <c r="K437">
        <v>0</v>
      </c>
      <c r="L437">
        <v>0</v>
      </c>
      <c r="M437">
        <v>100</v>
      </c>
      <c r="N437">
        <v>0</v>
      </c>
      <c r="O437">
        <v>0</v>
      </c>
      <c r="P437">
        <v>0</v>
      </c>
      <c r="Q437">
        <v>5</v>
      </c>
      <c r="R437">
        <v>-5.8800000033443214E-7</v>
      </c>
      <c r="S437">
        <v>0</v>
      </c>
      <c r="T437">
        <v>0</v>
      </c>
      <c r="U437">
        <f>ABS(Sheet1[[#This Row],[ARC_r]]-Sheet1[[#This Row],[ARC_u]])</f>
        <v>0</v>
      </c>
      <c r="V437">
        <f>ROUND(Sheet1[[#This Row],[wat_bas_n]],0)</f>
        <v>100</v>
      </c>
      <c r="W437">
        <f>ROUND(Sheet1[[#This Row],[wat_bas_r]],0)</f>
        <v>100</v>
      </c>
      <c r="X437">
        <f>ROUND(Sheet1[[#This Row],[wat_bas_u]],0)</f>
        <v>100</v>
      </c>
      <c r="Y437" s="1" t="str">
        <f t="shared" si="16"/>
        <v>full access</v>
      </c>
      <c r="Z437" s="1" t="str">
        <f t="shared" si="17"/>
        <v>full access</v>
      </c>
      <c r="AA437" s="1" t="str">
        <f t="shared" si="18"/>
        <v>full access</v>
      </c>
    </row>
    <row r="438" spans="1:27" hidden="1" x14ac:dyDescent="0.25">
      <c r="A438" s="1" t="s">
        <v>229</v>
      </c>
      <c r="B438">
        <v>2015</v>
      </c>
      <c r="C438">
        <v>51482.636720000002</v>
      </c>
      <c r="D438">
        <v>31.617000579999999</v>
      </c>
      <c r="E438">
        <v>52.963794589999999</v>
      </c>
      <c r="F438">
        <v>11.30893693</v>
      </c>
      <c r="G438">
        <v>21.385247880000001</v>
      </c>
      <c r="H438">
        <v>14.3420206</v>
      </c>
      <c r="I438">
        <v>38.863424559999999</v>
      </c>
      <c r="J438">
        <v>13.19289824</v>
      </c>
      <c r="K438">
        <v>28.1932841</v>
      </c>
      <c r="L438">
        <v>19.750393110000001</v>
      </c>
      <c r="M438">
        <v>83.4608554</v>
      </c>
      <c r="N438">
        <v>7.2342011279999996</v>
      </c>
      <c r="O438">
        <v>6.6604502999999999</v>
      </c>
      <c r="P438">
        <v>2.6444931710000001</v>
      </c>
      <c r="U438">
        <f>ABS(Sheet1[[#This Row],[ARC_r]]-Sheet1[[#This Row],[ARC_u]])</f>
        <v>0</v>
      </c>
      <c r="V438">
        <f>ROUND(Sheet1[[#This Row],[wat_bas_n]],0)</f>
        <v>53</v>
      </c>
      <c r="W438">
        <f>ROUND(Sheet1[[#This Row],[wat_bas_r]],0)</f>
        <v>39</v>
      </c>
      <c r="X438">
        <f>ROUND(Sheet1[[#This Row],[wat_bas_u]],0)</f>
        <v>83</v>
      </c>
      <c r="Y438" s="1" t="str">
        <f t="shared" si="16"/>
        <v>not full access</v>
      </c>
      <c r="Z438" s="1" t="str">
        <f t="shared" si="17"/>
        <v>not full access</v>
      </c>
      <c r="AA438" s="1" t="str">
        <f t="shared" si="18"/>
        <v>not full access</v>
      </c>
    </row>
    <row r="439" spans="1:27" hidden="1" x14ac:dyDescent="0.25">
      <c r="A439" s="1" t="s">
        <v>229</v>
      </c>
      <c r="B439">
        <v>2020</v>
      </c>
      <c r="C439">
        <v>59734.214840000001</v>
      </c>
      <c r="D439">
        <v>35.227001190000003</v>
      </c>
      <c r="E439">
        <v>60.716797589999999</v>
      </c>
      <c r="F439">
        <v>11.29007067</v>
      </c>
      <c r="G439">
        <v>14.51775136</v>
      </c>
      <c r="H439">
        <v>13.475380380000001</v>
      </c>
      <c r="I439">
        <v>45.446965339999998</v>
      </c>
      <c r="J439">
        <v>13.98368881</v>
      </c>
      <c r="K439">
        <v>21.21996133</v>
      </c>
      <c r="L439">
        <v>19.349384520000001</v>
      </c>
      <c r="M439">
        <v>88.793924899999993</v>
      </c>
      <c r="N439">
        <v>6.3372311659999996</v>
      </c>
      <c r="O439">
        <v>2.1941787860000002</v>
      </c>
      <c r="P439">
        <v>2.6746651520000002</v>
      </c>
      <c r="Q439">
        <v>5</v>
      </c>
      <c r="R439">
        <v>1.5506006000000001</v>
      </c>
      <c r="S439">
        <v>1.316708156</v>
      </c>
      <c r="T439">
        <v>1.066613899999999</v>
      </c>
      <c r="U439">
        <f>ABS(Sheet1[[#This Row],[ARC_r]]-Sheet1[[#This Row],[ARC_u]])</f>
        <v>0.25009425600000101</v>
      </c>
      <c r="V439">
        <f>ROUND(Sheet1[[#This Row],[wat_bas_n]],0)</f>
        <v>61</v>
      </c>
      <c r="W439">
        <f>ROUND(Sheet1[[#This Row],[wat_bas_r]],0)</f>
        <v>45</v>
      </c>
      <c r="X439">
        <f>ROUND(Sheet1[[#This Row],[wat_bas_u]],0)</f>
        <v>89</v>
      </c>
      <c r="Y439" s="1" t="str">
        <f t="shared" si="16"/>
        <v>not full access</v>
      </c>
      <c r="Z439" s="1" t="str">
        <f t="shared" si="17"/>
        <v>not full access</v>
      </c>
      <c r="AA439" s="1" t="str">
        <f t="shared" si="18"/>
        <v>not full access</v>
      </c>
    </row>
    <row r="440" spans="1:27" hidden="1" x14ac:dyDescent="0.25">
      <c r="A440" s="1" t="s">
        <v>109</v>
      </c>
      <c r="B440">
        <v>2015</v>
      </c>
      <c r="C440">
        <v>104.9499969</v>
      </c>
      <c r="D440">
        <v>95.349998470000003</v>
      </c>
      <c r="E440">
        <v>98.718272810000002</v>
      </c>
      <c r="F440">
        <v>0</v>
      </c>
      <c r="G440">
        <v>1.2817271859999999</v>
      </c>
      <c r="H440">
        <v>0</v>
      </c>
      <c r="U440">
        <f>ABS(Sheet1[[#This Row],[ARC_r]]-Sheet1[[#This Row],[ARC_u]])</f>
        <v>0</v>
      </c>
      <c r="V440">
        <f>ROUND(Sheet1[[#This Row],[wat_bas_n]],0)</f>
        <v>99</v>
      </c>
      <c r="W440">
        <f>ROUND(Sheet1[[#This Row],[wat_bas_r]],0)</f>
        <v>0</v>
      </c>
      <c r="X440">
        <f>ROUND(Sheet1[[#This Row],[wat_bas_u]],0)</f>
        <v>0</v>
      </c>
      <c r="Y440" s="1" t="str">
        <f t="shared" si="16"/>
        <v>not full access</v>
      </c>
      <c r="Z440" s="1" t="str">
        <f t="shared" si="17"/>
        <v>not full access</v>
      </c>
      <c r="AA440" s="1" t="str">
        <f t="shared" si="18"/>
        <v>not full access</v>
      </c>
    </row>
    <row r="441" spans="1:27" hidden="1" x14ac:dyDescent="0.25">
      <c r="A441" s="1" t="s">
        <v>109</v>
      </c>
      <c r="B441">
        <v>2020</v>
      </c>
      <c r="C441">
        <v>104.4229965</v>
      </c>
      <c r="D441">
        <v>95.939002990000006</v>
      </c>
      <c r="E441">
        <v>98.71826738</v>
      </c>
      <c r="F441">
        <v>0</v>
      </c>
      <c r="G441">
        <v>1.281732624</v>
      </c>
      <c r="H441">
        <v>0</v>
      </c>
      <c r="Q441">
        <v>5</v>
      </c>
      <c r="R441">
        <v>-1.086000000327658E-6</v>
      </c>
      <c r="U441">
        <f>ABS(Sheet1[[#This Row],[ARC_r]]-Sheet1[[#This Row],[ARC_u]])</f>
        <v>0</v>
      </c>
      <c r="V441">
        <f>ROUND(Sheet1[[#This Row],[wat_bas_n]],0)</f>
        <v>99</v>
      </c>
      <c r="W441">
        <f>ROUND(Sheet1[[#This Row],[wat_bas_r]],0)</f>
        <v>0</v>
      </c>
      <c r="X441">
        <f>ROUND(Sheet1[[#This Row],[wat_bas_u]],0)</f>
        <v>0</v>
      </c>
      <c r="Y441" s="1" t="str">
        <f t="shared" si="16"/>
        <v>not full access</v>
      </c>
      <c r="Z441" s="1" t="str">
        <f t="shared" si="17"/>
        <v>not full access</v>
      </c>
      <c r="AA441" s="1" t="str">
        <f t="shared" si="18"/>
        <v>not full access</v>
      </c>
    </row>
    <row r="442" spans="1:27" x14ac:dyDescent="0.25">
      <c r="A442" s="1" t="s">
        <v>72</v>
      </c>
      <c r="B442">
        <v>2015</v>
      </c>
      <c r="C442">
        <v>320878.3125</v>
      </c>
      <c r="D442">
        <v>81.671005249999993</v>
      </c>
      <c r="E442">
        <v>99.447157759999996</v>
      </c>
      <c r="F442">
        <v>0</v>
      </c>
      <c r="G442">
        <v>0.55284223720000003</v>
      </c>
      <c r="H442">
        <v>0</v>
      </c>
      <c r="I442">
        <v>97.780118509999994</v>
      </c>
      <c r="J442">
        <v>0</v>
      </c>
      <c r="K442">
        <v>2.2198814850000002</v>
      </c>
      <c r="L442">
        <v>0</v>
      </c>
      <c r="M442">
        <v>99.821279809999993</v>
      </c>
      <c r="N442">
        <v>0</v>
      </c>
      <c r="O442">
        <v>0.1787201944</v>
      </c>
      <c r="P442">
        <v>0</v>
      </c>
      <c r="U442">
        <f>ABS(Sheet1[[#This Row],[ARC_r]]-Sheet1[[#This Row],[ARC_u]])</f>
        <v>0</v>
      </c>
      <c r="V442">
        <f>ROUND(Sheet1[[#This Row],[wat_bas_n]],0)</f>
        <v>99</v>
      </c>
      <c r="W442">
        <f>ROUND(Sheet1[[#This Row],[wat_bas_r]],0)</f>
        <v>98</v>
      </c>
      <c r="X442">
        <f>ROUND(Sheet1[[#This Row],[wat_bas_u]],0)</f>
        <v>100</v>
      </c>
      <c r="Y442" s="1" t="str">
        <f t="shared" si="16"/>
        <v>full access</v>
      </c>
      <c r="Z442" s="1" t="str">
        <f t="shared" si="17"/>
        <v>not full access</v>
      </c>
      <c r="AA442" s="1" t="str">
        <f t="shared" si="18"/>
        <v>full access</v>
      </c>
    </row>
    <row r="443" spans="1:27" x14ac:dyDescent="0.25">
      <c r="A443" s="1" t="s">
        <v>72</v>
      </c>
      <c r="B443">
        <v>2020</v>
      </c>
      <c r="C443">
        <v>331002.65629999997</v>
      </c>
      <c r="D443">
        <v>82.664001459999994</v>
      </c>
      <c r="E443">
        <v>99.883526680000003</v>
      </c>
      <c r="F443">
        <v>0</v>
      </c>
      <c r="G443">
        <v>0.1164733182</v>
      </c>
      <c r="H443">
        <v>0</v>
      </c>
      <c r="I443">
        <v>99.670787340000004</v>
      </c>
      <c r="J443">
        <v>0</v>
      </c>
      <c r="K443">
        <v>0.3292126628</v>
      </c>
      <c r="L443">
        <v>0</v>
      </c>
      <c r="M443">
        <v>99.928144470000007</v>
      </c>
      <c r="N443">
        <v>0</v>
      </c>
      <c r="O443">
        <v>7.1855529599999995E-2</v>
      </c>
      <c r="P443">
        <v>0</v>
      </c>
      <c r="Q443">
        <v>5</v>
      </c>
      <c r="R443">
        <v>8.7273784000001339E-2</v>
      </c>
      <c r="S443">
        <v>0.37813376600000198</v>
      </c>
      <c r="T443">
        <v>2.1372932000002721E-2</v>
      </c>
      <c r="U443">
        <f>ABS(Sheet1[[#This Row],[ARC_r]]-Sheet1[[#This Row],[ARC_u]])</f>
        <v>0.35676083399999925</v>
      </c>
      <c r="V443">
        <f>ROUND(Sheet1[[#This Row],[wat_bas_n]],0)</f>
        <v>100</v>
      </c>
      <c r="W443">
        <f>ROUND(Sheet1[[#This Row],[wat_bas_r]],0)</f>
        <v>100</v>
      </c>
      <c r="X443">
        <f>ROUND(Sheet1[[#This Row],[wat_bas_u]],0)</f>
        <v>100</v>
      </c>
      <c r="Y443" s="1" t="str">
        <f t="shared" si="16"/>
        <v>full access</v>
      </c>
      <c r="Z443" s="1" t="str">
        <f t="shared" si="17"/>
        <v>not full access</v>
      </c>
      <c r="AA443" s="1" t="str">
        <f t="shared" si="18"/>
        <v>full access</v>
      </c>
    </row>
    <row r="444" spans="1:27" x14ac:dyDescent="0.25">
      <c r="A444" s="1" t="s">
        <v>93</v>
      </c>
      <c r="B444">
        <v>2015</v>
      </c>
      <c r="C444">
        <v>3412.0129390000002</v>
      </c>
      <c r="D444">
        <v>95.04499817</v>
      </c>
      <c r="E444">
        <v>99.131397559999996</v>
      </c>
      <c r="F444">
        <v>0.53810473530000003</v>
      </c>
      <c r="G444">
        <v>0.30749747300000002</v>
      </c>
      <c r="H444">
        <v>2.3000230189999998E-2</v>
      </c>
      <c r="I444">
        <v>91.495843840000006</v>
      </c>
      <c r="J444">
        <v>4.5115506810000001</v>
      </c>
      <c r="K444">
        <v>3.5284232109999998</v>
      </c>
      <c r="L444">
        <v>0.46418227099999998</v>
      </c>
      <c r="M444">
        <v>99.529461979999994</v>
      </c>
      <c r="N444">
        <v>0.3309562908</v>
      </c>
      <c r="O444">
        <v>0.13958172699999999</v>
      </c>
      <c r="P444">
        <v>0</v>
      </c>
      <c r="U444">
        <f>ABS(Sheet1[[#This Row],[ARC_r]]-Sheet1[[#This Row],[ARC_u]])</f>
        <v>0</v>
      </c>
      <c r="V444">
        <f>ROUND(Sheet1[[#This Row],[wat_bas_n]],0)</f>
        <v>99</v>
      </c>
      <c r="W444">
        <f>ROUND(Sheet1[[#This Row],[wat_bas_r]],0)</f>
        <v>91</v>
      </c>
      <c r="X444">
        <f>ROUND(Sheet1[[#This Row],[wat_bas_u]],0)</f>
        <v>100</v>
      </c>
      <c r="Y444" s="1" t="str">
        <f t="shared" si="16"/>
        <v>full access</v>
      </c>
      <c r="Z444" s="1" t="str">
        <f t="shared" si="17"/>
        <v>not full access</v>
      </c>
      <c r="AA444" s="1" t="str">
        <f t="shared" si="18"/>
        <v>full access</v>
      </c>
    </row>
    <row r="445" spans="1:27" x14ac:dyDescent="0.25">
      <c r="A445" s="1" t="s">
        <v>93</v>
      </c>
      <c r="B445">
        <v>2020</v>
      </c>
      <c r="C445">
        <v>3473.7270509999998</v>
      </c>
      <c r="D445">
        <v>95.51499939</v>
      </c>
      <c r="E445">
        <v>99.495757560000001</v>
      </c>
      <c r="F445">
        <v>0.50424244119999995</v>
      </c>
      <c r="G445">
        <v>0</v>
      </c>
      <c r="H445">
        <v>0</v>
      </c>
      <c r="I445">
        <v>95.300830000000005</v>
      </c>
      <c r="J445">
        <v>4.6991699999999996</v>
      </c>
      <c r="K445">
        <v>0</v>
      </c>
      <c r="L445">
        <v>0</v>
      </c>
      <c r="M445">
        <v>99.692734439999995</v>
      </c>
      <c r="N445">
        <v>0.30726556170000002</v>
      </c>
      <c r="O445">
        <v>0</v>
      </c>
      <c r="P445">
        <v>0</v>
      </c>
      <c r="Q445">
        <v>5</v>
      </c>
      <c r="R445">
        <v>7.2872000000000978E-2</v>
      </c>
      <c r="S445">
        <v>0.76099723199999969</v>
      </c>
      <c r="T445">
        <v>3.2654492000000347E-2</v>
      </c>
      <c r="U445">
        <f>ABS(Sheet1[[#This Row],[ARC_r]]-Sheet1[[#This Row],[ARC_u]])</f>
        <v>0.72834273999999932</v>
      </c>
      <c r="V445">
        <f>ROUND(Sheet1[[#This Row],[wat_bas_n]],0)</f>
        <v>99</v>
      </c>
      <c r="W445">
        <f>ROUND(Sheet1[[#This Row],[wat_bas_r]],0)</f>
        <v>95</v>
      </c>
      <c r="X445">
        <f>ROUND(Sheet1[[#This Row],[wat_bas_u]],0)</f>
        <v>100</v>
      </c>
      <c r="Y445" s="1" t="str">
        <f t="shared" si="16"/>
        <v>full access</v>
      </c>
      <c r="Z445" s="1" t="str">
        <f t="shared" si="17"/>
        <v>not full access</v>
      </c>
      <c r="AA445" s="1" t="str">
        <f t="shared" si="18"/>
        <v>full access</v>
      </c>
    </row>
    <row r="446" spans="1:27" hidden="1" x14ac:dyDescent="0.25">
      <c r="A446" s="1" t="s">
        <v>120</v>
      </c>
      <c r="B446">
        <v>2015</v>
      </c>
      <c r="C446">
        <v>30929.556639999999</v>
      </c>
      <c r="D446">
        <v>50.75</v>
      </c>
      <c r="E446">
        <v>97.528578260000003</v>
      </c>
      <c r="F446">
        <v>0</v>
      </c>
      <c r="G446">
        <v>0</v>
      </c>
      <c r="H446">
        <v>2.4714217359999999</v>
      </c>
      <c r="I446">
        <v>95.642391549999999</v>
      </c>
      <c r="J446">
        <v>0</v>
      </c>
      <c r="K446">
        <v>0</v>
      </c>
      <c r="L446">
        <v>4.3576084509999999</v>
      </c>
      <c r="M446">
        <v>99.359015619999994</v>
      </c>
      <c r="N446">
        <v>0</v>
      </c>
      <c r="O446">
        <v>0</v>
      </c>
      <c r="P446">
        <v>0.64098438430000004</v>
      </c>
      <c r="U446">
        <f>ABS(Sheet1[[#This Row],[ARC_r]]-Sheet1[[#This Row],[ARC_u]])</f>
        <v>0</v>
      </c>
      <c r="V446">
        <f>ROUND(Sheet1[[#This Row],[wat_bas_n]],0)</f>
        <v>98</v>
      </c>
      <c r="W446">
        <f>ROUND(Sheet1[[#This Row],[wat_bas_r]],0)</f>
        <v>96</v>
      </c>
      <c r="X446">
        <f>ROUND(Sheet1[[#This Row],[wat_bas_u]],0)</f>
        <v>99</v>
      </c>
      <c r="Y446" s="1" t="str">
        <f t="shared" si="16"/>
        <v>not full access</v>
      </c>
      <c r="Z446" s="1" t="str">
        <f t="shared" si="17"/>
        <v>not full access</v>
      </c>
      <c r="AA446" s="1" t="str">
        <f t="shared" si="18"/>
        <v>full access</v>
      </c>
    </row>
    <row r="447" spans="1:27" hidden="1" x14ac:dyDescent="0.25">
      <c r="A447" s="1" t="s">
        <v>120</v>
      </c>
      <c r="B447">
        <v>2020</v>
      </c>
      <c r="C447">
        <v>33469.199220000002</v>
      </c>
      <c r="D447">
        <v>50.415996550000003</v>
      </c>
      <c r="E447">
        <v>97.828784850000005</v>
      </c>
      <c r="F447">
        <v>0</v>
      </c>
      <c r="G447">
        <v>0.22384422000000001</v>
      </c>
      <c r="H447">
        <v>1.947370925</v>
      </c>
      <c r="I447">
        <v>96.072582359999998</v>
      </c>
      <c r="J447">
        <v>0</v>
      </c>
      <c r="K447">
        <v>0</v>
      </c>
      <c r="L447">
        <v>3.927417637</v>
      </c>
      <c r="M447">
        <v>99.556005560000003</v>
      </c>
      <c r="N447">
        <v>0</v>
      </c>
      <c r="O447">
        <v>0.44399444339999999</v>
      </c>
      <c r="P447">
        <v>0</v>
      </c>
      <c r="Q447">
        <v>5</v>
      </c>
      <c r="R447">
        <v>6.0041318000000378E-2</v>
      </c>
      <c r="S447">
        <v>8.6038161999999835E-2</v>
      </c>
      <c r="T447">
        <v>3.9397988000001757E-2</v>
      </c>
      <c r="U447">
        <f>ABS(Sheet1[[#This Row],[ARC_r]]-Sheet1[[#This Row],[ARC_u]])</f>
        <v>4.6640173999998077E-2</v>
      </c>
      <c r="V447">
        <f>ROUND(Sheet1[[#This Row],[wat_bas_n]],0)</f>
        <v>98</v>
      </c>
      <c r="W447">
        <f>ROUND(Sheet1[[#This Row],[wat_bas_r]],0)</f>
        <v>96</v>
      </c>
      <c r="X447">
        <f>ROUND(Sheet1[[#This Row],[wat_bas_u]],0)</f>
        <v>100</v>
      </c>
      <c r="Y447" s="1" t="str">
        <f t="shared" si="16"/>
        <v>not full access</v>
      </c>
      <c r="Z447" s="1" t="str">
        <f t="shared" si="17"/>
        <v>not full access</v>
      </c>
      <c r="AA447" s="1" t="str">
        <f t="shared" si="18"/>
        <v>full access</v>
      </c>
    </row>
    <row r="448" spans="1:27" hidden="1" x14ac:dyDescent="0.25">
      <c r="A448" s="1" t="s">
        <v>180</v>
      </c>
      <c r="B448">
        <v>2015</v>
      </c>
      <c r="C448">
        <v>271.1279907</v>
      </c>
      <c r="D448">
        <v>24.961002350000001</v>
      </c>
      <c r="E448">
        <v>89.988176490000001</v>
      </c>
      <c r="F448">
        <v>1.05094321</v>
      </c>
      <c r="G448">
        <v>1.545004807</v>
      </c>
      <c r="H448">
        <v>7.4158754880000002</v>
      </c>
      <c r="I448">
        <v>86.978050659999994</v>
      </c>
      <c r="J448">
        <v>1.234982464</v>
      </c>
      <c r="K448">
        <v>1.9042720630000001</v>
      </c>
      <c r="L448">
        <v>9.8826948130000005</v>
      </c>
      <c r="M448">
        <v>99.037355989999995</v>
      </c>
      <c r="N448">
        <v>0.49767515569999998</v>
      </c>
      <c r="O448">
        <v>0.46496885310000002</v>
      </c>
      <c r="P448">
        <v>0</v>
      </c>
      <c r="U448">
        <f>ABS(Sheet1[[#This Row],[ARC_r]]-Sheet1[[#This Row],[ARC_u]])</f>
        <v>0</v>
      </c>
      <c r="V448">
        <f>ROUND(Sheet1[[#This Row],[wat_bas_n]],0)</f>
        <v>90</v>
      </c>
      <c r="W448">
        <f>ROUND(Sheet1[[#This Row],[wat_bas_r]],0)</f>
        <v>87</v>
      </c>
      <c r="X448">
        <f>ROUND(Sheet1[[#This Row],[wat_bas_u]],0)</f>
        <v>99</v>
      </c>
      <c r="Y448" s="1" t="str">
        <f t="shared" si="16"/>
        <v>not full access</v>
      </c>
      <c r="Z448" s="1" t="str">
        <f t="shared" si="17"/>
        <v>not full access</v>
      </c>
      <c r="AA448" s="1" t="str">
        <f t="shared" si="18"/>
        <v>full access</v>
      </c>
    </row>
    <row r="449" spans="1:27" hidden="1" x14ac:dyDescent="0.25">
      <c r="A449" s="1" t="s">
        <v>180</v>
      </c>
      <c r="B449">
        <v>2020</v>
      </c>
      <c r="C449">
        <v>307.14999390000003</v>
      </c>
      <c r="D449">
        <v>25.525001530000001</v>
      </c>
      <c r="E449">
        <v>91.231190749999996</v>
      </c>
      <c r="F449">
        <v>1.0623850500000001</v>
      </c>
      <c r="G449">
        <v>0</v>
      </c>
      <c r="H449">
        <v>7.706424202</v>
      </c>
      <c r="I449">
        <v>88.397201229999993</v>
      </c>
      <c r="J449">
        <v>1.255132675</v>
      </c>
      <c r="K449">
        <v>0</v>
      </c>
      <c r="L449">
        <v>10.3476661</v>
      </c>
      <c r="M449">
        <v>99.5</v>
      </c>
      <c r="N449">
        <v>0.5</v>
      </c>
      <c r="O449">
        <v>0</v>
      </c>
      <c r="P449">
        <v>0</v>
      </c>
      <c r="Q449">
        <v>5</v>
      </c>
      <c r="R449">
        <v>0.2486028519999991</v>
      </c>
      <c r="S449">
        <v>0.28383011399999991</v>
      </c>
      <c r="T449">
        <v>9.2528802000001062E-2</v>
      </c>
      <c r="U449">
        <f>ABS(Sheet1[[#This Row],[ARC_r]]-Sheet1[[#This Row],[ARC_u]])</f>
        <v>0.19130131199999884</v>
      </c>
      <c r="V449">
        <f>ROUND(Sheet1[[#This Row],[wat_bas_n]],0)</f>
        <v>91</v>
      </c>
      <c r="W449">
        <f>ROUND(Sheet1[[#This Row],[wat_bas_r]],0)</f>
        <v>88</v>
      </c>
      <c r="X449">
        <f>ROUND(Sheet1[[#This Row],[wat_bas_u]],0)</f>
        <v>100</v>
      </c>
      <c r="Y449" s="1" t="str">
        <f t="shared" si="16"/>
        <v>not full access</v>
      </c>
      <c r="Z449" s="1" t="str">
        <f t="shared" si="17"/>
        <v>not full access</v>
      </c>
      <c r="AA449" s="1" t="str">
        <f t="shared" si="18"/>
        <v>full access</v>
      </c>
    </row>
    <row r="450" spans="1:27" hidden="1" x14ac:dyDescent="0.25">
      <c r="A450" s="1" t="s">
        <v>157</v>
      </c>
      <c r="B450">
        <v>2015</v>
      </c>
      <c r="C450">
        <v>30081.82617</v>
      </c>
      <c r="D450">
        <v>88.153999330000005</v>
      </c>
      <c r="E450">
        <v>94.571275009999994</v>
      </c>
      <c r="F450">
        <v>0.47523253770000001</v>
      </c>
      <c r="G450">
        <v>3.5752642610000001</v>
      </c>
      <c r="H450">
        <v>1.3782281919999999</v>
      </c>
      <c r="U450">
        <f>ABS(Sheet1[[#This Row],[ARC_r]]-Sheet1[[#This Row],[ARC_u]])</f>
        <v>0</v>
      </c>
      <c r="V450">
        <f>ROUND(Sheet1[[#This Row],[wat_bas_n]],0)</f>
        <v>95</v>
      </c>
      <c r="W450">
        <f>ROUND(Sheet1[[#This Row],[wat_bas_r]],0)</f>
        <v>0</v>
      </c>
      <c r="X450">
        <f>ROUND(Sheet1[[#This Row],[wat_bas_u]],0)</f>
        <v>0</v>
      </c>
      <c r="Y450" s="1" t="str">
        <f t="shared" ref="Y450:Y463" si="19">IF(AND(COUNTIFS($A:$A,A450)&gt;1, COUNTIFS($A:$A,A450,$E:$E,"&gt;99")=COUNTIFS($A:$A,A450)), "full access", "not full access")</f>
        <v>not full access</v>
      </c>
      <c r="Z450" s="1" t="str">
        <f t="shared" ref="Z450:Z463" si="20">IF(AND(COUNTIFS($A:$A,A450)&gt;1, COUNTIFS($A:$A,A450,$I:$I,"&gt;99")=COUNTIFS($A:$A,A450)), "full access", "not full access")</f>
        <v>not full access</v>
      </c>
      <c r="AA450" s="1" t="str">
        <f t="shared" ref="AA450:AA463" si="21">IF(AND(COUNTIFS($A:$A,A450)&gt;1, COUNTIFS($A:$A,A450,$M:$M,"&gt;99")=COUNTIFS($A:$A,A450)), "full access", "not full access")</f>
        <v>not full access</v>
      </c>
    </row>
    <row r="451" spans="1:27" hidden="1" x14ac:dyDescent="0.25">
      <c r="A451" s="1" t="s">
        <v>157</v>
      </c>
      <c r="B451">
        <v>2020</v>
      </c>
      <c r="C451">
        <v>28435.943360000001</v>
      </c>
      <c r="D451">
        <v>88.278999330000005</v>
      </c>
      <c r="E451">
        <v>93.685800709999995</v>
      </c>
      <c r="F451">
        <v>0.4707829181</v>
      </c>
      <c r="G451">
        <v>5.8434163730000002</v>
      </c>
      <c r="Q451">
        <v>5</v>
      </c>
      <c r="R451">
        <v>-0.17709485999999969</v>
      </c>
      <c r="U451">
        <f>ABS(Sheet1[[#This Row],[ARC_r]]-Sheet1[[#This Row],[ARC_u]])</f>
        <v>0</v>
      </c>
      <c r="V451">
        <f>ROUND(Sheet1[[#This Row],[wat_bas_n]],0)</f>
        <v>94</v>
      </c>
      <c r="W451">
        <f>ROUND(Sheet1[[#This Row],[wat_bas_r]],0)</f>
        <v>0</v>
      </c>
      <c r="X451">
        <f>ROUND(Sheet1[[#This Row],[wat_bas_u]],0)</f>
        <v>0</v>
      </c>
      <c r="Y451" s="1" t="str">
        <f t="shared" si="19"/>
        <v>not full access</v>
      </c>
      <c r="Z451" s="1" t="str">
        <f t="shared" si="20"/>
        <v>not full access</v>
      </c>
      <c r="AA451" s="1" t="str">
        <f t="shared" si="21"/>
        <v>not full access</v>
      </c>
    </row>
    <row r="452" spans="1:27" hidden="1" x14ac:dyDescent="0.25">
      <c r="A452" s="1" t="s">
        <v>136</v>
      </c>
      <c r="B452">
        <v>2015</v>
      </c>
      <c r="C452">
        <v>92677.078129999994</v>
      </c>
      <c r="D452">
        <v>33.80900192</v>
      </c>
      <c r="E452">
        <v>93.328060579999999</v>
      </c>
      <c r="F452">
        <v>5.2071837849999997E-2</v>
      </c>
      <c r="G452">
        <v>6.1636180359999999</v>
      </c>
      <c r="H452">
        <v>0.45624954629999998</v>
      </c>
      <c r="I452">
        <v>90.833067990000004</v>
      </c>
      <c r="J452">
        <v>0</v>
      </c>
      <c r="K452">
        <v>8.4776395650000005</v>
      </c>
      <c r="L452">
        <v>0.68929244290000002</v>
      </c>
      <c r="M452">
        <v>98.212743520000004</v>
      </c>
      <c r="N452">
        <v>0.15401768120000001</v>
      </c>
      <c r="O452">
        <v>1.6332387960000001</v>
      </c>
      <c r="P452">
        <v>0</v>
      </c>
      <c r="U452">
        <f>ABS(Sheet1[[#This Row],[ARC_r]]-Sheet1[[#This Row],[ARC_u]])</f>
        <v>0</v>
      </c>
      <c r="V452">
        <f>ROUND(Sheet1[[#This Row],[wat_bas_n]],0)</f>
        <v>93</v>
      </c>
      <c r="W452">
        <f>ROUND(Sheet1[[#This Row],[wat_bas_r]],0)</f>
        <v>91</v>
      </c>
      <c r="X452">
        <f>ROUND(Sheet1[[#This Row],[wat_bas_u]],0)</f>
        <v>98</v>
      </c>
      <c r="Y452" s="1" t="str">
        <f t="shared" si="19"/>
        <v>not full access</v>
      </c>
      <c r="Z452" s="1" t="str">
        <f t="shared" si="20"/>
        <v>not full access</v>
      </c>
      <c r="AA452" s="1" t="str">
        <f t="shared" si="21"/>
        <v>not full access</v>
      </c>
    </row>
    <row r="453" spans="1:27" hidden="1" x14ac:dyDescent="0.25">
      <c r="A453" s="1" t="s">
        <v>136</v>
      </c>
      <c r="B453">
        <v>2020</v>
      </c>
      <c r="C453">
        <v>97338.585940000004</v>
      </c>
      <c r="D453">
        <v>37.340000150000002</v>
      </c>
      <c r="E453">
        <v>96.884356870000005</v>
      </c>
      <c r="F453">
        <v>0</v>
      </c>
      <c r="G453">
        <v>3.1156431260000002</v>
      </c>
      <c r="H453">
        <v>0</v>
      </c>
      <c r="I453">
        <v>95.514538439999995</v>
      </c>
      <c r="J453">
        <v>0</v>
      </c>
      <c r="K453">
        <v>4.4854615600000001</v>
      </c>
      <c r="L453">
        <v>0</v>
      </c>
      <c r="M453">
        <v>99.183040009999999</v>
      </c>
      <c r="N453">
        <v>0</v>
      </c>
      <c r="O453">
        <v>0.81695998700000005</v>
      </c>
      <c r="P453">
        <v>0</v>
      </c>
      <c r="Q453">
        <v>5</v>
      </c>
      <c r="R453">
        <v>0.71125925800000123</v>
      </c>
      <c r="S453">
        <v>0.93629408999999841</v>
      </c>
      <c r="T453">
        <v>0.1940592979999991</v>
      </c>
      <c r="U453">
        <f>ABS(Sheet1[[#This Row],[ARC_r]]-Sheet1[[#This Row],[ARC_u]])</f>
        <v>0.74223479199999931</v>
      </c>
      <c r="V453">
        <f>ROUND(Sheet1[[#This Row],[wat_bas_n]],0)</f>
        <v>97</v>
      </c>
      <c r="W453">
        <f>ROUND(Sheet1[[#This Row],[wat_bas_r]],0)</f>
        <v>96</v>
      </c>
      <c r="X453">
        <f>ROUND(Sheet1[[#This Row],[wat_bas_u]],0)</f>
        <v>99</v>
      </c>
      <c r="Y453" s="1" t="str">
        <f t="shared" si="19"/>
        <v>not full access</v>
      </c>
      <c r="Z453" s="1" t="str">
        <f t="shared" si="20"/>
        <v>not full access</v>
      </c>
      <c r="AA453" s="1" t="str">
        <f t="shared" si="21"/>
        <v>not full access</v>
      </c>
    </row>
    <row r="454" spans="1:27" x14ac:dyDescent="0.25">
      <c r="A454" s="1" t="s">
        <v>95</v>
      </c>
      <c r="B454">
        <v>2015</v>
      </c>
      <c r="C454">
        <v>12.26200008</v>
      </c>
      <c r="D454">
        <v>0</v>
      </c>
      <c r="E454">
        <v>99.321381529999996</v>
      </c>
      <c r="F454">
        <v>0</v>
      </c>
      <c r="G454">
        <v>0.67861847409999998</v>
      </c>
      <c r="H454">
        <v>0</v>
      </c>
      <c r="I454">
        <v>99.321381529999996</v>
      </c>
      <c r="J454">
        <v>0</v>
      </c>
      <c r="K454">
        <v>0.67861847409999998</v>
      </c>
      <c r="L454">
        <v>0</v>
      </c>
      <c r="U454">
        <f>ABS(Sheet1[[#This Row],[ARC_r]]-Sheet1[[#This Row],[ARC_u]])</f>
        <v>0</v>
      </c>
      <c r="V454">
        <f>ROUND(Sheet1[[#This Row],[wat_bas_n]],0)</f>
        <v>99</v>
      </c>
      <c r="W454">
        <f>ROUND(Sheet1[[#This Row],[wat_bas_r]],0)</f>
        <v>99</v>
      </c>
      <c r="X454">
        <f>ROUND(Sheet1[[#This Row],[wat_bas_u]],0)</f>
        <v>0</v>
      </c>
      <c r="Y454" s="1" t="str">
        <f t="shared" si="19"/>
        <v>full access</v>
      </c>
      <c r="Z454" s="1" t="str">
        <f t="shared" si="20"/>
        <v>full access</v>
      </c>
      <c r="AA454" s="1" t="str">
        <f t="shared" si="21"/>
        <v>not full access</v>
      </c>
    </row>
    <row r="455" spans="1:27" x14ac:dyDescent="0.25">
      <c r="A455" s="1" t="s">
        <v>95</v>
      </c>
      <c r="B455">
        <v>2020</v>
      </c>
      <c r="C455">
        <v>11.24600029</v>
      </c>
      <c r="D455">
        <v>0</v>
      </c>
      <c r="E455">
        <v>99.143287360000002</v>
      </c>
      <c r="F455">
        <v>0</v>
      </c>
      <c r="G455">
        <v>0.85671263900000005</v>
      </c>
      <c r="H455">
        <v>0</v>
      </c>
      <c r="I455">
        <v>99.143287360000002</v>
      </c>
      <c r="J455">
        <v>0</v>
      </c>
      <c r="K455">
        <v>0.85671263900000005</v>
      </c>
      <c r="L455">
        <v>0</v>
      </c>
      <c r="Q455">
        <v>5</v>
      </c>
      <c r="R455">
        <v>-3.5618833999998857E-2</v>
      </c>
      <c r="S455">
        <v>-3.5618833999998857E-2</v>
      </c>
      <c r="U455">
        <f>ABS(Sheet1[[#This Row],[ARC_r]]-Sheet1[[#This Row],[ARC_u]])</f>
        <v>3.5618833999998857E-2</v>
      </c>
      <c r="V455">
        <f>ROUND(Sheet1[[#This Row],[wat_bas_n]],0)</f>
        <v>99</v>
      </c>
      <c r="W455">
        <f>ROUND(Sheet1[[#This Row],[wat_bas_r]],0)</f>
        <v>99</v>
      </c>
      <c r="X455">
        <f>ROUND(Sheet1[[#This Row],[wat_bas_u]],0)</f>
        <v>0</v>
      </c>
      <c r="Y455" s="1" t="str">
        <f t="shared" si="19"/>
        <v>full access</v>
      </c>
      <c r="Z455" s="1" t="str">
        <f t="shared" si="20"/>
        <v>full access</v>
      </c>
      <c r="AA455" s="1" t="str">
        <f t="shared" si="21"/>
        <v>not full access</v>
      </c>
    </row>
    <row r="456" spans="1:27" hidden="1" x14ac:dyDescent="0.25">
      <c r="A456" s="1" t="s">
        <v>118</v>
      </c>
      <c r="B456">
        <v>2015</v>
      </c>
      <c r="C456">
        <v>4529.1601559999999</v>
      </c>
      <c r="D456">
        <v>75.367996219999995</v>
      </c>
      <c r="E456">
        <v>96.379856709999999</v>
      </c>
      <c r="F456">
        <v>0.58753466440000002</v>
      </c>
      <c r="G456">
        <v>3.0326086220000001</v>
      </c>
      <c r="I456">
        <v>95.381142350000005</v>
      </c>
      <c r="J456">
        <v>0.99273120920000002</v>
      </c>
      <c r="K456">
        <v>3.6261264409999998</v>
      </c>
      <c r="M456">
        <v>96.706259619999997</v>
      </c>
      <c r="N456">
        <v>0.45510708030000002</v>
      </c>
      <c r="O456">
        <v>2.838633298</v>
      </c>
      <c r="U456">
        <f>ABS(Sheet1[[#This Row],[ARC_r]]-Sheet1[[#This Row],[ARC_u]])</f>
        <v>0</v>
      </c>
      <c r="V456">
        <f>ROUND(Sheet1[[#This Row],[wat_bas_n]],0)</f>
        <v>96</v>
      </c>
      <c r="W456">
        <f>ROUND(Sheet1[[#This Row],[wat_bas_r]],0)</f>
        <v>95</v>
      </c>
      <c r="X456">
        <f>ROUND(Sheet1[[#This Row],[wat_bas_u]],0)</f>
        <v>97</v>
      </c>
      <c r="Y456" s="1" t="str">
        <f t="shared" si="19"/>
        <v>not full access</v>
      </c>
      <c r="Z456" s="1" t="str">
        <f t="shared" si="20"/>
        <v>not full access</v>
      </c>
      <c r="AA456" s="1" t="str">
        <f t="shared" si="21"/>
        <v>not full access</v>
      </c>
    </row>
    <row r="457" spans="1:27" hidden="1" x14ac:dyDescent="0.25">
      <c r="A457" s="1" t="s">
        <v>118</v>
      </c>
      <c r="B457">
        <v>2020</v>
      </c>
      <c r="C457">
        <v>5101.4160160000001</v>
      </c>
      <c r="D457">
        <v>76.718994140000007</v>
      </c>
      <c r="E457">
        <v>97.880397220000006</v>
      </c>
      <c r="F457">
        <v>1.029979486</v>
      </c>
      <c r="G457">
        <v>1.089623295</v>
      </c>
      <c r="I457">
        <v>98.715556419999999</v>
      </c>
      <c r="J457">
        <v>0.31740062730000002</v>
      </c>
      <c r="K457">
        <v>0.96704295760000003</v>
      </c>
      <c r="M457">
        <v>97.626964430000001</v>
      </c>
      <c r="N457">
        <v>1.246217358</v>
      </c>
      <c r="O457">
        <v>1.126818208</v>
      </c>
      <c r="Q457">
        <v>5</v>
      </c>
      <c r="R457">
        <v>0.30010810200000149</v>
      </c>
      <c r="S457">
        <v>0.66688281399999882</v>
      </c>
      <c r="T457">
        <v>0.18414096200000071</v>
      </c>
      <c r="U457">
        <f>ABS(Sheet1[[#This Row],[ARC_r]]-Sheet1[[#This Row],[ARC_u]])</f>
        <v>0.48274185199999808</v>
      </c>
      <c r="V457">
        <f>ROUND(Sheet1[[#This Row],[wat_bas_n]],0)</f>
        <v>98</v>
      </c>
      <c r="W457">
        <f>ROUND(Sheet1[[#This Row],[wat_bas_r]],0)</f>
        <v>99</v>
      </c>
      <c r="X457">
        <f>ROUND(Sheet1[[#This Row],[wat_bas_u]],0)</f>
        <v>98</v>
      </c>
      <c r="Y457" s="1" t="str">
        <f t="shared" si="19"/>
        <v>not full access</v>
      </c>
      <c r="Z457" s="1" t="str">
        <f t="shared" si="20"/>
        <v>not full access</v>
      </c>
      <c r="AA457" s="1" t="str">
        <f t="shared" si="21"/>
        <v>not full access</v>
      </c>
    </row>
    <row r="458" spans="1:27" hidden="1" x14ac:dyDescent="0.25">
      <c r="A458" s="1" t="s">
        <v>230</v>
      </c>
      <c r="B458">
        <v>2015</v>
      </c>
      <c r="C458">
        <v>26497.880860000001</v>
      </c>
      <c r="D458">
        <v>34.777000430000001</v>
      </c>
      <c r="E458">
        <v>55.778868629999998</v>
      </c>
      <c r="F458">
        <v>26.035606600000001</v>
      </c>
      <c r="G458">
        <v>14.70974567</v>
      </c>
      <c r="H458">
        <v>3.4757790979999998</v>
      </c>
      <c r="I458">
        <v>44.958268160000003</v>
      </c>
      <c r="J458">
        <v>28.794611020000001</v>
      </c>
      <c r="K458">
        <v>21.10381293</v>
      </c>
      <c r="L458">
        <v>5.1433078959999996</v>
      </c>
      <c r="M458">
        <v>76.072511899999995</v>
      </c>
      <c r="N458">
        <v>20.861194009999998</v>
      </c>
      <c r="O458">
        <v>2.7179047039999999</v>
      </c>
      <c r="P458">
        <v>0.3483893924</v>
      </c>
      <c r="U458">
        <f>ABS(Sheet1[[#This Row],[ARC_r]]-Sheet1[[#This Row],[ARC_u]])</f>
        <v>0</v>
      </c>
      <c r="V458">
        <f>ROUND(Sheet1[[#This Row],[wat_bas_n]],0)</f>
        <v>56</v>
      </c>
      <c r="W458">
        <f>ROUND(Sheet1[[#This Row],[wat_bas_r]],0)</f>
        <v>45</v>
      </c>
      <c r="X458">
        <f>ROUND(Sheet1[[#This Row],[wat_bas_u]],0)</f>
        <v>76</v>
      </c>
      <c r="Y458" s="1" t="str">
        <f t="shared" si="19"/>
        <v>not full access</v>
      </c>
      <c r="Z458" s="1" t="str">
        <f t="shared" si="20"/>
        <v>not full access</v>
      </c>
      <c r="AA458" s="1" t="str">
        <f t="shared" si="21"/>
        <v>not full access</v>
      </c>
    </row>
    <row r="459" spans="1:27" hidden="1" x14ac:dyDescent="0.25">
      <c r="A459" s="1" t="s">
        <v>230</v>
      </c>
      <c r="B459">
        <v>2020</v>
      </c>
      <c r="C459">
        <v>29825.96875</v>
      </c>
      <c r="D459">
        <v>37.907997129999998</v>
      </c>
      <c r="E459">
        <v>60.663569840000001</v>
      </c>
      <c r="F459">
        <v>28.9627418</v>
      </c>
      <c r="G459">
        <v>7.77785276</v>
      </c>
      <c r="H459">
        <v>2.595835594</v>
      </c>
      <c r="I459">
        <v>50.681334370000002</v>
      </c>
      <c r="J459">
        <v>33.53021373</v>
      </c>
      <c r="K459">
        <v>11.60782393</v>
      </c>
      <c r="L459">
        <v>4.1806279780000004</v>
      </c>
      <c r="M459">
        <v>77.014129339999997</v>
      </c>
      <c r="N459">
        <v>21.481379369999999</v>
      </c>
      <c r="O459">
        <v>1.5044912859999999</v>
      </c>
      <c r="P459">
        <v>0</v>
      </c>
      <c r="Q459">
        <v>5</v>
      </c>
      <c r="R459">
        <v>0.97694024200000062</v>
      </c>
      <c r="S459">
        <v>1.1446132419999999</v>
      </c>
      <c r="T459">
        <v>0.18832348800000029</v>
      </c>
      <c r="U459">
        <f>ABS(Sheet1[[#This Row],[ARC_r]]-Sheet1[[#This Row],[ARC_u]])</f>
        <v>0.9562897539999996</v>
      </c>
      <c r="V459">
        <f>ROUND(Sheet1[[#This Row],[wat_bas_n]],0)</f>
        <v>61</v>
      </c>
      <c r="W459">
        <f>ROUND(Sheet1[[#This Row],[wat_bas_r]],0)</f>
        <v>51</v>
      </c>
      <c r="X459">
        <f>ROUND(Sheet1[[#This Row],[wat_bas_u]],0)</f>
        <v>77</v>
      </c>
      <c r="Y459" s="1" t="str">
        <f t="shared" si="19"/>
        <v>not full access</v>
      </c>
      <c r="Z459" s="1" t="str">
        <f t="shared" si="20"/>
        <v>not full access</v>
      </c>
      <c r="AA459" s="1" t="str">
        <f t="shared" si="21"/>
        <v>not full access</v>
      </c>
    </row>
    <row r="460" spans="1:27" hidden="1" x14ac:dyDescent="0.25">
      <c r="A460" s="1" t="s">
        <v>221</v>
      </c>
      <c r="B460">
        <v>2015</v>
      </c>
      <c r="C460">
        <v>15879.37012</v>
      </c>
      <c r="D460">
        <v>41.9070015</v>
      </c>
      <c r="E460">
        <v>61.338746280000002</v>
      </c>
      <c r="F460">
        <v>5.6539172300000002</v>
      </c>
      <c r="G460">
        <v>23.3359001</v>
      </c>
      <c r="H460">
        <v>9.6714363920000004</v>
      </c>
      <c r="I460">
        <v>43.616834320000002</v>
      </c>
      <c r="J460">
        <v>7.2108648679999998</v>
      </c>
      <c r="K460">
        <v>33.257219489999997</v>
      </c>
      <c r="L460">
        <v>15.915081320000001</v>
      </c>
      <c r="M460">
        <v>85.90549729</v>
      </c>
      <c r="N460">
        <v>3.495619671</v>
      </c>
      <c r="O460">
        <v>9.5826138469999993</v>
      </c>
      <c r="P460">
        <v>1.0162691930000001</v>
      </c>
      <c r="U460">
        <f>ABS(Sheet1[[#This Row],[ARC_r]]-Sheet1[[#This Row],[ARC_u]])</f>
        <v>0</v>
      </c>
      <c r="V460">
        <f>ROUND(Sheet1[[#This Row],[wat_bas_n]],0)</f>
        <v>61</v>
      </c>
      <c r="W460">
        <f>ROUND(Sheet1[[#This Row],[wat_bas_r]],0)</f>
        <v>44</v>
      </c>
      <c r="X460">
        <f>ROUND(Sheet1[[#This Row],[wat_bas_u]],0)</f>
        <v>86</v>
      </c>
      <c r="Y460" s="1" t="str">
        <f t="shared" si="19"/>
        <v>not full access</v>
      </c>
      <c r="Z460" s="1" t="str">
        <f t="shared" si="20"/>
        <v>not full access</v>
      </c>
      <c r="AA460" s="1" t="str">
        <f t="shared" si="21"/>
        <v>not full access</v>
      </c>
    </row>
    <row r="461" spans="1:27" hidden="1" x14ac:dyDescent="0.25">
      <c r="A461" s="1" t="s">
        <v>221</v>
      </c>
      <c r="B461">
        <v>2020</v>
      </c>
      <c r="C461">
        <v>18383.95508</v>
      </c>
      <c r="D461">
        <v>44.6289978</v>
      </c>
      <c r="E461">
        <v>65.412383570000003</v>
      </c>
      <c r="F461">
        <v>6.1539390200000001</v>
      </c>
      <c r="G461">
        <v>21.576840709999999</v>
      </c>
      <c r="H461">
        <v>6.8568367060000002</v>
      </c>
      <c r="I461">
        <v>48.22728833</v>
      </c>
      <c r="J461">
        <v>8.3317036130000002</v>
      </c>
      <c r="K461">
        <v>31.608654439999999</v>
      </c>
      <c r="L461">
        <v>11.832353619999999</v>
      </c>
      <c r="M461">
        <v>86.733854660000006</v>
      </c>
      <c r="N461">
        <v>3.4519961939999999</v>
      </c>
      <c r="O461">
        <v>9.1304141049999998</v>
      </c>
      <c r="P461">
        <v>0.68373504630000004</v>
      </c>
      <c r="Q461">
        <v>5</v>
      </c>
      <c r="R461">
        <v>0.81472745800000013</v>
      </c>
      <c r="S461">
        <v>0.9220908019999996</v>
      </c>
      <c r="T461">
        <v>0.16567147400000121</v>
      </c>
      <c r="U461">
        <f>ABS(Sheet1[[#This Row],[ARC_r]]-Sheet1[[#This Row],[ARC_u]])</f>
        <v>0.75641932799999845</v>
      </c>
      <c r="V461">
        <f>ROUND(Sheet1[[#This Row],[wat_bas_n]],0)</f>
        <v>65</v>
      </c>
      <c r="W461">
        <f>ROUND(Sheet1[[#This Row],[wat_bas_r]],0)</f>
        <v>48</v>
      </c>
      <c r="X461">
        <f>ROUND(Sheet1[[#This Row],[wat_bas_u]],0)</f>
        <v>87</v>
      </c>
      <c r="Y461" s="1" t="str">
        <f t="shared" si="19"/>
        <v>not full access</v>
      </c>
      <c r="Z461" s="1" t="str">
        <f t="shared" si="20"/>
        <v>not full access</v>
      </c>
      <c r="AA461" s="1" t="str">
        <f t="shared" si="21"/>
        <v>not full access</v>
      </c>
    </row>
    <row r="462" spans="1:27" hidden="1" x14ac:dyDescent="0.25">
      <c r="A462" s="1" t="s">
        <v>222</v>
      </c>
      <c r="B462">
        <v>2015</v>
      </c>
      <c r="D462">
        <v>32</v>
      </c>
      <c r="E462">
        <v>65</v>
      </c>
      <c r="F462">
        <v>12</v>
      </c>
      <c r="G462">
        <v>16</v>
      </c>
      <c r="H462">
        <v>7</v>
      </c>
      <c r="I462">
        <v>51</v>
      </c>
      <c r="J462">
        <v>16</v>
      </c>
      <c r="K462">
        <v>23</v>
      </c>
      <c r="L462">
        <v>10</v>
      </c>
      <c r="M462">
        <v>94</v>
      </c>
      <c r="N462">
        <v>4</v>
      </c>
      <c r="O462">
        <v>2</v>
      </c>
      <c r="U462">
        <f>ABS(Sheet1[[#This Row],[ARC_r]]-Sheet1[[#This Row],[ARC_u]])</f>
        <v>0</v>
      </c>
      <c r="V462">
        <f>ROUND(Sheet1[[#This Row],[wat_bas_n]],0)</f>
        <v>65</v>
      </c>
      <c r="W462">
        <f>ROUND(Sheet1[[#This Row],[wat_bas_r]],0)</f>
        <v>51</v>
      </c>
      <c r="X462">
        <f>ROUND(Sheet1[[#This Row],[wat_bas_u]],0)</f>
        <v>94</v>
      </c>
      <c r="Y462" s="1" t="str">
        <f t="shared" si="19"/>
        <v>not full access</v>
      </c>
      <c r="Z462" s="1" t="str">
        <f t="shared" si="20"/>
        <v>not full access</v>
      </c>
      <c r="AA462" s="1" t="str">
        <f t="shared" si="21"/>
        <v>not full access</v>
      </c>
    </row>
    <row r="463" spans="1:27" hidden="1" x14ac:dyDescent="0.25">
      <c r="A463" s="1" t="s">
        <v>222</v>
      </c>
      <c r="B463">
        <v>2020</v>
      </c>
      <c r="D463">
        <v>32</v>
      </c>
      <c r="E463">
        <v>63</v>
      </c>
      <c r="F463">
        <v>14</v>
      </c>
      <c r="G463">
        <v>16</v>
      </c>
      <c r="H463">
        <v>7</v>
      </c>
      <c r="I463">
        <v>48</v>
      </c>
      <c r="J463">
        <v>19</v>
      </c>
      <c r="K463">
        <v>23</v>
      </c>
      <c r="L463">
        <v>10</v>
      </c>
      <c r="M463">
        <v>93</v>
      </c>
      <c r="N463">
        <v>5</v>
      </c>
      <c r="O463">
        <v>2</v>
      </c>
      <c r="Q463">
        <v>5</v>
      </c>
      <c r="R463">
        <v>-0.4</v>
      </c>
      <c r="S463">
        <v>-0.6</v>
      </c>
      <c r="T463">
        <v>-0.2</v>
      </c>
      <c r="U463">
        <f>ABS(Sheet1[[#This Row],[ARC_r]]-Sheet1[[#This Row],[ARC_u]])</f>
        <v>0.39999999999999997</v>
      </c>
      <c r="V463">
        <f>ROUND(Sheet1[[#This Row],[wat_bas_n]],0)</f>
        <v>63</v>
      </c>
      <c r="W463">
        <f>ROUND(Sheet1[[#This Row],[wat_bas_r]],0)</f>
        <v>48</v>
      </c>
      <c r="X463">
        <f>ROUND(Sheet1[[#This Row],[wat_bas_u]],0)</f>
        <v>93</v>
      </c>
      <c r="Y463" s="1" t="str">
        <f t="shared" si="19"/>
        <v>not full access</v>
      </c>
      <c r="Z463" s="1" t="str">
        <f t="shared" si="20"/>
        <v>not full access</v>
      </c>
      <c r="AA463" s="1" t="str">
        <f t="shared" si="21"/>
        <v>not full access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B3E9D5-EFCB-4E69-B10B-026D98863C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Estimates of the use of water (</vt:lpstr>
      <vt:lpstr>Regions</vt:lpstr>
      <vt:lpstr>Summary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2026-02-09T08:20:13Z</dcterms:created>
  <dcterms:modified xsi:type="dcterms:W3CDTF">2026-02-09T13:56:21Z</dcterms:modified>
</cp:coreProperties>
</file>